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7.xml" ContentType="application/vnd.openxmlformats-officedocument.themeOverride+xml"/>
  <Override PartName="/xl/charts/chart2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8.xml" ContentType="application/vnd.openxmlformats-officedocument.themeOverrid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VIS\Desktop\업무\00. 곽원용\01. PJT\2025\3. 12.9 inch_VDA129BLAC01\0. 양산 대응 폴더\Daily data 정리\"/>
    </mc:Choice>
  </mc:AlternateContent>
  <xr:revisionPtr revIDLastSave="0" documentId="13_ncr:1_{AA34086A-D379-4000-B369-F060556A9ADB}" xr6:coauthVersionLast="47" xr6:coauthVersionMax="47" xr10:uidLastSave="{00000000-0000-0000-0000-000000000000}"/>
  <bookViews>
    <workbookView xWindow="-110" yWindow="-110" windowWidth="25820" windowHeight="15500" xr2:uid="{45B38169-1DB0-48C0-820D-C30C1A8F2D9F}"/>
  </bookViews>
  <sheets>
    <sheet name="Daily_BU설비데이터 " sheetId="1" r:id="rId1"/>
    <sheet name="출하데이터_Vlookup" sheetId="5" r:id="rId2"/>
    <sheet name="출하데이터_data" sheetId="6" r:id="rId3"/>
    <sheet name="양식" sheetId="3" r:id="rId4"/>
  </sheets>
  <externalReferences>
    <externalReference r:id="rId5"/>
  </externalReferences>
  <definedNames>
    <definedName name="_" localSheetId="0">#REF!</definedName>
    <definedName name="_" localSheetId="3">#REF!</definedName>
    <definedName name="_" localSheetId="2">#REF!</definedName>
    <definedName name="_" localSheetId="1">#REF!</definedName>
    <definedName name="_">#REF!</definedName>
    <definedName name="_?쨲?f" localSheetId="0">#REF!</definedName>
    <definedName name="_?쨲?f" localSheetId="3">#REF!</definedName>
    <definedName name="_?쨲?f" localSheetId="2">#REF!</definedName>
    <definedName name="_?쨲?f" localSheetId="1">#REF!</definedName>
    <definedName name="_?쨲?f">#REF!</definedName>
    <definedName name="__?쨲?f" localSheetId="0">#REF!</definedName>
    <definedName name="__?쨲?f" localSheetId="3">#REF!</definedName>
    <definedName name="__?쨲?f" localSheetId="2">#REF!</definedName>
    <definedName name="__?쨲?f" localSheetId="1">#REF!</definedName>
    <definedName name="__?쨲?f">#REF!</definedName>
    <definedName name="___?쨲?f">#REF!</definedName>
    <definedName name="__________aof2">#REF!</definedName>
    <definedName name="_________aof2">#REF!</definedName>
    <definedName name="________aof2">#REF!</definedName>
    <definedName name="_______aof2">#REF!</definedName>
    <definedName name="______aof2">#REF!</definedName>
    <definedName name="_____aof2">#REF!</definedName>
    <definedName name="____aof2">#REF!</definedName>
    <definedName name="___aof2">#REF!</definedName>
    <definedName name="__10W03_" localSheetId="0" hidden="1">#REF!,#REF!,#REF!,#REF!</definedName>
    <definedName name="__10W03_" localSheetId="3" hidden="1">#REF!,#REF!,#REF!,#REF!</definedName>
    <definedName name="__10W03_" localSheetId="2" hidden="1">#REF!,#REF!,#REF!,#REF!</definedName>
    <definedName name="__10W03_" localSheetId="1" hidden="1">#REF!,#REF!,#REF!,#REF!</definedName>
    <definedName name="__10W03_" hidden="1">#REF!,#REF!,#REF!,#REF!</definedName>
    <definedName name="__11W04_" localSheetId="0" hidden="1">#REF!,#REF!,#REF!,#REF!</definedName>
    <definedName name="__11W04_" localSheetId="3" hidden="1">#REF!,#REF!,#REF!,#REF!</definedName>
    <definedName name="__11W04_" localSheetId="2" hidden="1">#REF!,#REF!,#REF!,#REF!</definedName>
    <definedName name="__11W04_" localSheetId="1" hidden="1">#REF!,#REF!,#REF!,#REF!</definedName>
    <definedName name="__11W04_" hidden="1">#REF!,#REF!,#REF!,#REF!</definedName>
    <definedName name="__12W05_" hidden="1">#REF!</definedName>
    <definedName name="__13W09_" localSheetId="0" hidden="1">#REF!,#REF!,#REF!</definedName>
    <definedName name="__13W09_" localSheetId="3" hidden="1">#REF!,#REF!,#REF!</definedName>
    <definedName name="__13W09_" localSheetId="2" hidden="1">#REF!,#REF!,#REF!</definedName>
    <definedName name="__13W09_" localSheetId="1" hidden="1">#REF!,#REF!,#REF!</definedName>
    <definedName name="__13W09_" hidden="1">#REF!,#REF!,#REF!</definedName>
    <definedName name="__14W11_" hidden="1">#REF!,#REF!,#REF!</definedName>
    <definedName name="__15W12_" hidden="1">#REF!</definedName>
    <definedName name="__16W13_" hidden="1">#REF!,#REF!,#REF!</definedName>
    <definedName name="__17W14_" localSheetId="0" hidden="1">#REF!,#REF!,#REF!,#REF!</definedName>
    <definedName name="__17W14_" localSheetId="3" hidden="1">#REF!,#REF!,#REF!,#REF!</definedName>
    <definedName name="__17W14_" localSheetId="2" hidden="1">#REF!,#REF!,#REF!,#REF!</definedName>
    <definedName name="__17W14_" localSheetId="1" hidden="1">#REF!,#REF!,#REF!,#REF!</definedName>
    <definedName name="__17W14_" hidden="1">#REF!,#REF!,#REF!,#REF!</definedName>
    <definedName name="__18W15_" hidden="1">#REF!,#REF!,#REF!,#REF!</definedName>
    <definedName name="__19W16_" hidden="1">#REF!</definedName>
    <definedName name="__2__123Graph_Aｸﾞﾗﾌ_2" hidden="1">#REF!</definedName>
    <definedName name="__20W18_" hidden="1">#REF!,#REF!,#REF!</definedName>
    <definedName name="__21W19_" hidden="1">#REF!,#REF!,#REF!,#REF!</definedName>
    <definedName name="__22W21_" hidden="1">#REF!</definedName>
    <definedName name="__3__123Graph_Aｸﾞﾗﾌ_3" hidden="1">#REF!</definedName>
    <definedName name="__4__123Graph_Aｸﾞﾗﾌ_5" hidden="1">#REF!</definedName>
    <definedName name="__5__123Graph_Aｸﾞﾗﾌ_6" hidden="1">#REF!</definedName>
    <definedName name="__6__123Graph_Bｸﾞﾗﾌ_6" hidden="1">#REF!</definedName>
    <definedName name="__7H1_" hidden="1">#REF!</definedName>
    <definedName name="__8W01_" hidden="1">#REF!</definedName>
    <definedName name="__9W02_" hidden="1">#REF!,#REF!,#REF!</definedName>
    <definedName name="__aof2">#REF!</definedName>
    <definedName name="__bookmark_1">#REF!</definedName>
    <definedName name="__H1" hidden="1">#REF!</definedName>
    <definedName name="__IntlFixup" hidden="1">TRUE</definedName>
    <definedName name="__P4" hidden="1">#REF!</definedName>
    <definedName name="__W01" hidden="1">#REF!</definedName>
    <definedName name="__W02" hidden="1">#REF!,#REF!,#REF!</definedName>
    <definedName name="__W03" hidden="1">#REF!,#REF!,#REF!,#REF!</definedName>
    <definedName name="__W04" hidden="1">#REF!,#REF!,#REF!,#REF!</definedName>
    <definedName name="__W05" hidden="1">#REF!</definedName>
    <definedName name="__W09" hidden="1">#REF!,#REF!,#REF!</definedName>
    <definedName name="__W11" hidden="1">#REF!,#REF!,#REF!</definedName>
    <definedName name="__W12" hidden="1">#REF!</definedName>
    <definedName name="__W13" hidden="1">#REF!,#REF!,#REF!</definedName>
    <definedName name="__W14" hidden="1">#REF!,#REF!,#REF!,#REF!</definedName>
    <definedName name="__W15" hidden="1">#REF!,#REF!,#REF!,#REF!</definedName>
    <definedName name="__W16" hidden="1">#REF!</definedName>
    <definedName name="__W18" hidden="1">#REF!,#REF!,#REF!</definedName>
    <definedName name="__W19" hidden="1">#REF!,#REF!,#REF!,#REF!</definedName>
    <definedName name="__W21" hidden="1">#REF!</definedName>
    <definedName name="_1">#REF!</definedName>
    <definedName name="_1_?쨲?f">#REF!</definedName>
    <definedName name="_10W01_" hidden="1">#REF!</definedName>
    <definedName name="_10W03_" hidden="1">#REF!,#REF!,#REF!,#REF!</definedName>
    <definedName name="_11__123Graph_Bｸﾞﾗﾌ_6" hidden="1">#REF!</definedName>
    <definedName name="_11W02_" hidden="1">#REF!,#REF!,#REF!</definedName>
    <definedName name="_11W04_" hidden="1">#REF!,#REF!,#REF!,#REF!</definedName>
    <definedName name="_12H1_" hidden="1">#REF!</definedName>
    <definedName name="_12W03_" hidden="1">#REF!,#REF!,#REF!,#REF!</definedName>
    <definedName name="_12W05_" hidden="1">#REF!</definedName>
    <definedName name="_13W01_" hidden="1">#REF!</definedName>
    <definedName name="_13W04_" hidden="1">#REF!,#REF!,#REF!,#REF!</definedName>
    <definedName name="_13W09_" hidden="1">#REF!,#REF!,#REF!</definedName>
    <definedName name="_14W02_" hidden="1">#REF!,#REF!,#REF!</definedName>
    <definedName name="_14W05_" hidden="1">#REF!</definedName>
    <definedName name="_14W11_" hidden="1">#REF!,#REF!,#REF!</definedName>
    <definedName name="_15W03_" hidden="1">#REF!,#REF!,#REF!,#REF!</definedName>
    <definedName name="_15W09_" hidden="1">#REF!,#REF!,#REF!</definedName>
    <definedName name="_15W12_" hidden="1">#REF!</definedName>
    <definedName name="_16W04_" hidden="1">#REF!,#REF!,#REF!,#REF!</definedName>
    <definedName name="_16W11_" hidden="1">#REF!,#REF!,#REF!</definedName>
    <definedName name="_16W13_" hidden="1">#REF!,#REF!,#REF!</definedName>
    <definedName name="_17W05_" hidden="1">#REF!</definedName>
    <definedName name="_17W12_" hidden="1">#REF!</definedName>
    <definedName name="_17W14_" hidden="1">#REF!,#REF!,#REF!,#REF!</definedName>
    <definedName name="_18W09_" hidden="1">#REF!,#REF!,#REF!</definedName>
    <definedName name="_18W13_" hidden="1">#REF!,#REF!,#REF!</definedName>
    <definedName name="_18W15_" hidden="1">#REF!,#REF!,#REF!,#REF!</definedName>
    <definedName name="_19W11_" hidden="1">#REF!,#REF!,#REF!</definedName>
    <definedName name="_19W14_" hidden="1">#REF!,#REF!,#REF!,#REF!</definedName>
    <definedName name="_19W16_" hidden="1">#REF!</definedName>
    <definedName name="_2">#REF!</definedName>
    <definedName name="_2__123Graph_Aｸﾞﾗﾌ_2" hidden="1">#REF!</definedName>
    <definedName name="_20W12_" hidden="1">#REF!</definedName>
    <definedName name="_20W15_" hidden="1">#REF!,#REF!,#REF!,#REF!</definedName>
    <definedName name="_20W18_" hidden="1">#REF!,#REF!,#REF!</definedName>
    <definedName name="_21W13_" hidden="1">#REF!,#REF!,#REF!</definedName>
    <definedName name="_21W16_" hidden="1">#REF!</definedName>
    <definedName name="_21W19_" hidden="1">#REF!,#REF!,#REF!,#REF!</definedName>
    <definedName name="_22W14_" hidden="1">#REF!,#REF!,#REF!,#REF!</definedName>
    <definedName name="_22W18_" hidden="1">#REF!,#REF!,#REF!</definedName>
    <definedName name="_22W21_" hidden="1">#REF!</definedName>
    <definedName name="_23W15_" hidden="1">#REF!,#REF!,#REF!,#REF!</definedName>
    <definedName name="_23W19_" hidden="1">#REF!,#REF!,#REF!,#REF!</definedName>
    <definedName name="_24W16_" hidden="1">#REF!</definedName>
    <definedName name="_24W21_" hidden="1">#REF!</definedName>
    <definedName name="_25W18_" hidden="1">#REF!,#REF!,#REF!</definedName>
    <definedName name="_26W19_" hidden="1">#REF!,#REF!,#REF!,#REF!</definedName>
    <definedName name="_27W21_" hidden="1">#REF!</definedName>
    <definedName name="_3__123Graph_Aｸﾞﾗﾌ_2" hidden="1">#REF!</definedName>
    <definedName name="_3__123Graph_Aｸﾞﾗﾌ_3" hidden="1">#REF!</definedName>
    <definedName name="_3_piece_type_과_2_piece_type_선정">#REF!</definedName>
    <definedName name="_3D_Mesh_올_풀림_발생_검토">#REF!</definedName>
    <definedName name="_4__123Graph_Aｸﾞﾗﾌ_5" hidden="1">#REF!</definedName>
    <definedName name="_4면_단가공_Guide">#REF!</definedName>
    <definedName name="_5__123Graph_Aｸﾞﾗﾌ_3" hidden="1">#REF!</definedName>
    <definedName name="_5__123Graph_Aｸﾞﾗﾌ_6" hidden="1">#REF!</definedName>
    <definedName name="_5__0_S" hidden="1">#REF!</definedName>
    <definedName name="_5°_이상인_경우_P_L_구조">#REF!</definedName>
    <definedName name="_6__123Graph_Bｸﾞﾗﾌ_6" hidden="1">#REF!</definedName>
    <definedName name="_7__123Graph_Aｸﾞﾗﾌ_5" hidden="1">#REF!</definedName>
    <definedName name="_7H1_" hidden="1">#REF!</definedName>
    <definedName name="_8W01_" hidden="1">#REF!</definedName>
    <definedName name="_9__123Graph_Aｸﾞﾗﾌ_6" hidden="1">#REF!</definedName>
    <definedName name="_9H1_" hidden="1">#REF!</definedName>
    <definedName name="_9W02_" hidden="1">#REF!,#REF!,#REF!</definedName>
    <definedName name="_aof2">#REF!</definedName>
    <definedName name="_xlnm._FilterDatabase" localSheetId="0" hidden="1">'Daily_BU설비데이터 '!$C$20:$P$101</definedName>
    <definedName name="_xlnm._FilterDatabase" localSheetId="3" hidden="1">양식!$C$20:$P$101</definedName>
    <definedName name="_xlnm._FilterDatabase" localSheetId="2" hidden="1">출하데이터_data!$C$20:$P$101</definedName>
    <definedName name="_xlnm._FilterDatabase" localSheetId="1" hidden="1">출하데이터_Vlookup!$C$20:$P$101</definedName>
    <definedName name="_xlnm._FilterDatabase" hidden="1">#REF!</definedName>
    <definedName name="_H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4" hidden="1">#REF!</definedName>
    <definedName name="_Sort" hidden="1">#REF!</definedName>
    <definedName name="_t" hidden="1">#REF!</definedName>
    <definedName name="_W01" hidden="1">#REF!</definedName>
    <definedName name="_W02" hidden="1">#REF!,#REF!,#REF!</definedName>
    <definedName name="_W03" hidden="1">#REF!,#REF!,#REF!,#REF!</definedName>
    <definedName name="_W04" hidden="1">#REF!,#REF!,#REF!,#REF!</definedName>
    <definedName name="_W05" hidden="1">#REF!</definedName>
    <definedName name="_W09" hidden="1">#REF!,#REF!,#REF!</definedName>
    <definedName name="_W11" hidden="1">#REF!,#REF!,#REF!</definedName>
    <definedName name="_W12" hidden="1">#REF!</definedName>
    <definedName name="_W13" hidden="1">#REF!,#REF!,#REF!</definedName>
    <definedName name="_W14" hidden="1">#REF!,#REF!,#REF!,#REF!</definedName>
    <definedName name="_W15" hidden="1">#REF!,#REF!,#REF!,#REF!</definedName>
    <definedName name="_W16" hidden="1">#REF!</definedName>
    <definedName name="_W18" hidden="1">#REF!,#REF!,#REF!</definedName>
    <definedName name="_W19" hidden="1">#REF!,#REF!,#REF!,#REF!</definedName>
    <definedName name="_W21" hidden="1">#REF!</definedName>
    <definedName name="√">"SQRT"</definedName>
    <definedName name="▣_5°_미만인_경우_P_L_구조">#REF!</definedName>
    <definedName name="▣_Battery_Cover_착탈감_Guide_2">#REF!</definedName>
    <definedName name="▣_Battery_분리를_위한_공간_확보__빼기_홈">#REF!</definedName>
    <definedName name="▣_Module_Assy’_선정">#REF!</definedName>
    <definedName name="A">#REF!</definedName>
    <definedName name="AA" localSheetId="0" hidden="1">{#N/A,#N/A,FALSE,"P.C.B"}</definedName>
    <definedName name="AA" localSheetId="3" hidden="1">{#N/A,#N/A,FALSE,"P.C.B"}</definedName>
    <definedName name="AA" localSheetId="2" hidden="1">{#N/A,#N/A,FALSE,"P.C.B"}</definedName>
    <definedName name="AA" localSheetId="1" hidden="1">{#N/A,#N/A,FALSE,"P.C.B"}</definedName>
    <definedName name="AA" hidden="1">{#N/A,#N/A,FALSE,"P.C.B"}</definedName>
    <definedName name="AAA">#REF!</definedName>
    <definedName name="aaaa" hidden="1">#REF!</definedName>
    <definedName name="ABS_도금_Key_Guide">#REF!</definedName>
    <definedName name="ABS_도금_Key_Guide_2">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OG" hidden="1">#REF!,#REF!,#REF!</definedName>
    <definedName name="Acryl_Mold_Key_Guide">#REF!</definedName>
    <definedName name="Actuator_형상_및_Click감_확보">#REF!</definedName>
    <definedName name="AF_Camera_Key___Dome_조립_치수">#REF!</definedName>
    <definedName name="AF_Camera_Key_FPCB의_두께_Check">#REF!</definedName>
    <definedName name="AF_Camera_Key_FPCB의_두께_Check_2">#REF!</definedName>
    <definedName name="AF_Camera_Key_기능_사양에_따른_돌출량">#REF!</definedName>
    <definedName name="ahebf">#REF!</definedName>
    <definedName name="Air_gap_및_Air_path_구조">#REF!</definedName>
    <definedName name="Air_Path_체적_확보_여부_Check">#REF!</definedName>
    <definedName name="Air_Path_체적_확보_여부_Check_2">#REF!</definedName>
    <definedName name="Air_Path_체적_확보_여부를_Check">#REF!</definedName>
    <definedName name="Al_Key_Guide">#REF!</definedName>
    <definedName name="Antenna부_C_Clip_Overlap량_Check">#REF!</definedName>
    <definedName name="Antenna부_Guide">#REF!</definedName>
    <definedName name="Antenna부_재질_선정">#REF!</definedName>
    <definedName name="Antenna접점부_Pad_Size_Guide">#REF!</definedName>
    <definedName name="Antenna접점부_Pattern_Crack_방지_Guide">#REF!</definedName>
    <definedName name="ASDF" localSheetId="0" hidden="1">{#N/A,#N/A,FALSE,"P.C.B"}</definedName>
    <definedName name="ASDF" localSheetId="3" hidden="1">{#N/A,#N/A,FALSE,"P.C.B"}</definedName>
    <definedName name="ASDF" localSheetId="2" hidden="1">{#N/A,#N/A,FALSE,"P.C.B"}</definedName>
    <definedName name="ASDF" localSheetId="1" hidden="1">{#N/A,#N/A,FALSE,"P.C.B"}</definedName>
    <definedName name="ASDF" hidden="1">{#N/A,#N/A,FALSE,"P.C.B"}</definedName>
    <definedName name="ASDFADGAFGFG" localSheetId="0" hidden="1">{#N/A,#N/A,FALSE,"P.C.B"}</definedName>
    <definedName name="ASDFADGAFGFG" localSheetId="3" hidden="1">{#N/A,#N/A,FALSE,"P.C.B"}</definedName>
    <definedName name="ASDFADGAFGFG" localSheetId="2" hidden="1">{#N/A,#N/A,FALSE,"P.C.B"}</definedName>
    <definedName name="ASDFADGAFGFG" localSheetId="1" hidden="1">{#N/A,#N/A,FALSE,"P.C.B"}</definedName>
    <definedName name="ASDFADGAFGFG" hidden="1">{#N/A,#N/A,FALSE,"P.C.B"}</definedName>
    <definedName name="ASDFADSF" localSheetId="0" hidden="1">{#N/A,#N/A,FALSE,"P.C.B"}</definedName>
    <definedName name="ASDFADSF" localSheetId="3" hidden="1">{#N/A,#N/A,FALSE,"P.C.B"}</definedName>
    <definedName name="ASDFADSF" localSheetId="2" hidden="1">{#N/A,#N/A,FALSE,"P.C.B"}</definedName>
    <definedName name="ASDFADSF" localSheetId="1" hidden="1">{#N/A,#N/A,FALSE,"P.C.B"}</definedName>
    <definedName name="ASDFADSF" hidden="1">{#N/A,#N/A,FALSE,"P.C.B"}</definedName>
    <definedName name="ASDFASDF" localSheetId="0" hidden="1">{#N/A,#N/A,FALSE,"P.C.B"}</definedName>
    <definedName name="ASDFASDF" localSheetId="3" hidden="1">{#N/A,#N/A,FALSE,"P.C.B"}</definedName>
    <definedName name="ASDFASDF" localSheetId="2" hidden="1">{#N/A,#N/A,FALSE,"P.C.B"}</definedName>
    <definedName name="ASDFASDF" localSheetId="1" hidden="1">{#N/A,#N/A,FALSE,"P.C.B"}</definedName>
    <definedName name="ASDFASDF" hidden="1">{#N/A,#N/A,FALSE,"P.C.B"}</definedName>
    <definedName name="ASIC">#REF!</definedName>
    <definedName name="Auto_Focus_Camera_Check사항">#REF!</definedName>
    <definedName name="Auto_Focus_Camera_Check사항_2">#REF!</definedName>
    <definedName name="AX265_개선_대책_사항">#REF!</definedName>
    <definedName name="Batter_Cover_들뜸_방지_Guide">#REF!</definedName>
    <definedName name="Batter_Cover_들뜸_방지_Guide_2">#REF!</definedName>
    <definedName name="Battery_Connector_적용_Guide">#REF!</definedName>
    <definedName name="Battery_Connector_적용_Guide_2">#REF!</definedName>
    <definedName name="Battery_Connector_종류_선정_참고_Table">#REF!</definedName>
    <definedName name="Battery_Connector의_종류별_적용_Guide">#REF!</definedName>
    <definedName name="Battery_Connector의_종류별_적용_Guide_2">#REF!</definedName>
    <definedName name="Battery_Cover_CIC_문구_인쇄_Process__Laser_Etching">#REF!</definedName>
    <definedName name="Battery_Cover_Gate_위치에_따른_P_L_Parting_Line">#REF!</definedName>
    <definedName name="Battery_Cover_Hook_형합_단계_최소화_1단계">#REF!</definedName>
    <definedName name="Battery_Cover_Hook부_유동성_개선">#REF!</definedName>
    <definedName name="Battery_Cover_Overlap_방지_구조">#REF!</definedName>
    <definedName name="Battery_Cover_각인_적용_기준">#REF!</definedName>
    <definedName name="Battery_Cover_각인_적용_기준_2">#REF!</definedName>
    <definedName name="Battery_Cover_강성_확보">#REF!</definedName>
    <definedName name="Battery_Cover_단차_방지_설계_Guide">#REF!</definedName>
    <definedName name="Battery_Cover_사출_조건_관리">#REF!</definedName>
    <definedName name="Battery_Cover_선단_Edge부_설계_Guide">#REF!</definedName>
    <definedName name="Battery_Cover_설계">#REF!</definedName>
    <definedName name="Battery_Cover_설계_2">#REF!</definedName>
    <definedName name="Battery_Cover_외관_2__Metal_재질">#REF!</definedName>
    <definedName name="Battery_Cover_외관_Metal_재질">#REF!</definedName>
    <definedName name="Battery_Cover_유동_제어_X__Y방향__Metal재질">#REF!</definedName>
    <definedName name="Battery_Cover_유동_제어_Z방향__Metal재질">#REF!</definedName>
    <definedName name="Battery_Cover_유동_제어_Z방향__Metal재질_2">#REF!</definedName>
    <definedName name="Battery_Cover_유동방지_Guide">#REF!</definedName>
    <definedName name="Battery_Cover_착탈감_Guide">#REF!</definedName>
    <definedName name="Battery_Cover_착탈감_Guide_2">#REF!</definedName>
    <definedName name="Battery_Cover_체결_작동_방식_선정">#REF!</definedName>
    <definedName name="Battery_Cover_측정_시_Profile_Guide">#REF!</definedName>
    <definedName name="Battery_Cover_탈_부착_안내_스티커_설계_Guide">#REF!</definedName>
    <definedName name="Battery_Cover와_Side_Key_형합_시_Key_Guide공간_Check">#REF!</definedName>
    <definedName name="Battery_X_Y축_치수_가이드">#REF!</definedName>
    <definedName name="Battery_고정_구조__Tape">#REF!</definedName>
    <definedName name="Battery_분리_빼기홈">#REF!</definedName>
    <definedName name="Battery_삽입__분리가_용이_여부_Check">#REF!</definedName>
    <definedName name="Battery_삽입_분리_check">#REF!</definedName>
    <definedName name="Battery_안착부_빼기_구배">#REF!</definedName>
    <definedName name="Battery_유동방지_1_z">#REF!</definedName>
    <definedName name="Battery_유동방지_2_z">#REF!</definedName>
    <definedName name="Battery_유동방지_3___x">#REF!</definedName>
    <definedName name="Battery_유동방지_3_z">#REF!</definedName>
    <definedName name="Battery_유동방지_4__x">#REF!</definedName>
    <definedName name="Battery_유동방지_4_x축">#REF!</definedName>
    <definedName name="Battery_유동방지_Z">#REF!</definedName>
    <definedName name="Battery_접촉면_확인__X_Y축">#REF!</definedName>
    <definedName name="Battery_접촉면_확인__Z축">#REF!</definedName>
    <definedName name="Battery_접촉면이_금속물일_경우__예_STS_or_AL">#REF!</definedName>
    <definedName name="Battery_형합순서_확인">#REF!</definedName>
    <definedName name="Battery부_X__Y축_배치">#REF!</definedName>
    <definedName name="Battery부_Z축_배치">#REF!</definedName>
    <definedName name="Battery부_적절한_내부_공간_확보">#REF!</definedName>
    <definedName name="Battery의_유동방지__Z축_방향_3">#REF!</definedName>
    <definedName name="Battery의_유동방지_2__X축_방향">#REF!</definedName>
    <definedName name="Battery의_유동방지_2__Y축_방향">#REF!</definedName>
    <definedName name="Battery의_유동방지_3__X축_방향">#REF!</definedName>
    <definedName name="Battery의_유동방지_4__X축_방향">#REF!</definedName>
    <definedName name="Battery의_유동방지_X축_방향">#REF!</definedName>
    <definedName name="Battery의_유동방지_Y축_방향">#REF!</definedName>
    <definedName name="Battery의_유동방지_Z축_방향">#REF!</definedName>
    <definedName name="Battery의_유동방지_Z축_방향_2">#REF!</definedName>
    <definedName name="BL">#REF!</definedName>
    <definedName name="bm" localSheetId="0" hidden="1">{#N/A,#N/A,FALSE,"P.C.B"}</definedName>
    <definedName name="bm" localSheetId="3" hidden="1">{#N/A,#N/A,FALSE,"P.C.B"}</definedName>
    <definedName name="bm" localSheetId="2" hidden="1">{#N/A,#N/A,FALSE,"P.C.B"}</definedName>
    <definedName name="bm" localSheetId="1" hidden="1">{#N/A,#N/A,FALSE,"P.C.B"}</definedName>
    <definedName name="bm" hidden="1">{#N/A,#N/A,FALSE,"P.C.B"}</definedName>
    <definedName name="Bonding_조립을_위한_설계_Guide">#REF!</definedName>
    <definedName name="BSDFBSDFBWDBW" localSheetId="0" hidden="1">{#N/A,#N/A,FALSE,"P.C.B"}</definedName>
    <definedName name="BSDFBSDFBWDBW" localSheetId="3" hidden="1">{#N/A,#N/A,FALSE,"P.C.B"}</definedName>
    <definedName name="BSDFBSDFBWDBW" localSheetId="2" hidden="1">{#N/A,#N/A,FALSE,"P.C.B"}</definedName>
    <definedName name="BSDFBSDFBWDBW" localSheetId="1" hidden="1">{#N/A,#N/A,FALSE,"P.C.B"}</definedName>
    <definedName name="BSDFBSDFBWDBW" hidden="1">{#N/A,#N/A,FALSE,"P.C.B"}</definedName>
    <definedName name="BTB_Connector가_90˚_회전_되었을_때">#REF!</definedName>
    <definedName name="BUSH" localSheetId="0" hidden="1">{"'Sheet1'!$E$23","'Sheet1'!$A$3:$H$19","'Sheet1'!$A$1:$H$19"}</definedName>
    <definedName name="BUSH" localSheetId="3" hidden="1">{"'Sheet1'!$E$23","'Sheet1'!$A$3:$H$19","'Sheet1'!$A$1:$H$19"}</definedName>
    <definedName name="BUSH" localSheetId="2" hidden="1">{"'Sheet1'!$E$23","'Sheet1'!$A$3:$H$19","'Sheet1'!$A$1:$H$19"}</definedName>
    <definedName name="BUSH" localSheetId="1" hidden="1">{"'Sheet1'!$E$23","'Sheet1'!$A$3:$H$19","'Sheet1'!$A$1:$H$19"}</definedName>
    <definedName name="BUSH" hidden="1">{"'Sheet1'!$E$23","'Sheet1'!$A$3:$H$19","'Sheet1'!$A$1:$H$19"}</definedName>
    <definedName name="Button_Ass’y_유동_처짐_관련_개선안">#REF!</definedName>
    <definedName name="Button_FPCB_Dome_사양_Check">#REF!</definedName>
    <definedName name="Button_FPCB의_두께">#REF!</definedName>
    <definedName name="Button부_기본_구조_두께">#REF!</definedName>
    <definedName name="c_clilp_변형_방지_구조_check">#REF!</definedName>
    <definedName name="C_Clip_단품_참고__MBV62341601">#REF!</definedName>
    <definedName name="C_Clip_단품_참고__MBV62422001">#REF!</definedName>
    <definedName name="C_Clip_단품_참고__MCE62253601">#REF!</definedName>
    <definedName name="C_Clip_단품_참고__MCE62372801">#REF!</definedName>
    <definedName name="C_Clip_단품_참고__MCIZ0004401">#REF!</definedName>
    <definedName name="C_Clip_단품_참고__MCIZ0008201">#REF!</definedName>
    <definedName name="C_Clip_단품_참고__MCIZ0008301">#REF!</definedName>
    <definedName name="C_Clip_단품_참고__MCIZ0008401">#REF!</definedName>
    <definedName name="C_Clip_단품_참고__MCIZ0008501">#REF!</definedName>
    <definedName name="C_Clip_단품_참고__MCIZ0008601">#REF!</definedName>
    <definedName name="C_Clip_단품_참고__MCIZ0008701">#REF!</definedName>
    <definedName name="C_CLIP_단품_참고_MBV62341601">#REF!</definedName>
    <definedName name="C_Clip_변형_방지_구조_Check">#REF!</definedName>
    <definedName name="C_Clip_접접부_설계_Guide">#REF!</definedName>
    <definedName name="C_Clip_파손_방지_구조_Check">#REF!</definedName>
    <definedName name="C_CLIP_파손_방지_구조_check_본문">#REF!</definedName>
    <definedName name="C_CLIP_파손_불량_개선_5">#REF!</definedName>
    <definedName name="C_CLIP_파손_불량_개선_본문">#REF!</definedName>
    <definedName name="C_CLIP_파손_불량_개선_설계_2_본문">#REF!</definedName>
    <definedName name="C_Clip_파손_불량_개선_설계_Guide">#REF!</definedName>
    <definedName name="C_Mic_형합_구조">#REF!</definedName>
    <definedName name="C_Type__R_Type_참고">#REF!</definedName>
    <definedName name="C0">#REF!</definedName>
    <definedName name="Camera_FPCB_단선_방지_Guide">#REF!</definedName>
    <definedName name="Camera_FPCB_단선_방지_Guide_2">#REF!</definedName>
    <definedName name="Camera_Pad_설계_Guide">#REF!</definedName>
    <definedName name="Camera_Pad_압축률_및_형상관련">#REF!</definedName>
    <definedName name="Camera_Pad_종류별_Spec">#REF!</definedName>
    <definedName name="Camera_Window_AR_코팅">#REF!</definedName>
    <definedName name="Camera_Window_재질">#REF!</definedName>
    <definedName name="Camera_종류별_분진_관련_특성치">#REF!</definedName>
    <definedName name="Camera_종류별_분진_관련_특성치_2">#REF!</definedName>
    <definedName name="Camera_종류별_분진_관련_특성치_3">#REF!</definedName>
    <definedName name="Camera_형합부_Check">#REF!</definedName>
    <definedName name="Camera_형합부_기본_구조">#REF!</definedName>
    <definedName name="Camera_형합부_치수_Guide">#REF!</definedName>
    <definedName name="Camera별_Hole_Size_검토">#REF!</definedName>
    <definedName name="CAP">#REF!</definedName>
    <definedName name="Cap__긁힘_방지_설계">#REF!</definedName>
    <definedName name="Cap_Screw_적용_시_Hole_적용_유무에_따른_강도_해석">#REF!</definedName>
    <definedName name="Cap_Screw_적용_시_Hole_적용에_따른_신뢰성_영향_영향_유무">#REF!</definedName>
    <definedName name="Cap_screw의_재질_선정">#REF!</definedName>
    <definedName name="Cap_형합_후_상대_물과의_Gap_Check">#REF!</definedName>
    <definedName name="CAPA9798" localSheetId="0" hidden="1">{#N/A,#N/A,FALSE,"P.C.B"}</definedName>
    <definedName name="CAPA9798" localSheetId="3" hidden="1">{#N/A,#N/A,FALSE,"P.C.B"}</definedName>
    <definedName name="CAPA9798" localSheetId="2" hidden="1">{#N/A,#N/A,FALSE,"P.C.B"}</definedName>
    <definedName name="CAPA9798" localSheetId="1" hidden="1">{#N/A,#N/A,FALSE,"P.C.B"}</definedName>
    <definedName name="CAPA9798" hidden="1">{#N/A,#N/A,FALSE,"P.C.B"}</definedName>
    <definedName name="Cap을_분리_할_때_형합성__빠짐_뻑뻑함__Check">#REF!</definedName>
    <definedName name="Cap을_분리_할_때_형합성__빠짐_뻑뻑함__Check2">#REF!</definedName>
    <definedName name="Cap을_열었을_때_내부가_보이는지_Check">#REF!</definedName>
    <definedName name="CASE">#REF!</definedName>
    <definedName name="Case와의_단차">#REF!</definedName>
    <definedName name="Case와의_단차_및_FPCB_Bonding_부_Guide">#REF!</definedName>
    <definedName name="CBWorkbookPriority" hidden="1">-198667590</definedName>
    <definedName name="CHANG" localSheetId="0" hidden="1">{#N/A,#N/A,FALSE,"P.C.B"}</definedName>
    <definedName name="CHANG" localSheetId="3" hidden="1">{#N/A,#N/A,FALSE,"P.C.B"}</definedName>
    <definedName name="CHANG" localSheetId="2" hidden="1">{#N/A,#N/A,FALSE,"P.C.B"}</definedName>
    <definedName name="CHANG" localSheetId="1" hidden="1">{#N/A,#N/A,FALSE,"P.C.B"}</definedName>
    <definedName name="CHANG" hidden="1">{#N/A,#N/A,FALSE,"P.C.B"}</definedName>
    <definedName name="CHIP">#REF!</definedName>
    <definedName name="CI" localSheetId="0" hidden="1">{#N/A,#N/A,FALSE,"자재관리";#N/A,#N/A,FALSE,"자재관리";#N/A,#N/A,FALSE,"자재관리"}</definedName>
    <definedName name="CI" localSheetId="3" hidden="1">{#N/A,#N/A,FALSE,"자재관리";#N/A,#N/A,FALSE,"자재관리";#N/A,#N/A,FALSE,"자재관리"}</definedName>
    <definedName name="CI" localSheetId="2" hidden="1">{#N/A,#N/A,FALSE,"자재관리";#N/A,#N/A,FALSE,"자재관리";#N/A,#N/A,FALSE,"자재관리"}</definedName>
    <definedName name="CI" localSheetId="1" hidden="1">{#N/A,#N/A,FALSE,"자재관리";#N/A,#N/A,FALSE,"자재관리";#N/A,#N/A,FALSE,"자재관리"}</definedName>
    <definedName name="CI" hidden="1">{#N/A,#N/A,FALSE,"자재관리";#N/A,#N/A,FALSE,"자재관리";#N/A,#N/A,FALSE,"자재관리"}</definedName>
    <definedName name="CIC_안내_문구_시인성_Check__내수용">#REF!</definedName>
    <definedName name="CIC_안내_문구_시인성_Check_2_내수용">#REF!</definedName>
    <definedName name="Clamshell_Type__UV_Wedge_방식_적용_시">#REF!</definedName>
    <definedName name="Clip_Type_Shield_Can_Guide">#REF!</definedName>
    <definedName name="Clip_단품_도면_및_권장_can_두께">#REF!</definedName>
    <definedName name="Clip_의_위치_개수_및_외부_충격에_의한_Shield_Can_이탈_방지">#REF!</definedName>
    <definedName name="COL">#REF!</definedName>
    <definedName name="CONN">#REF!</definedName>
    <definedName name="Connector__FPCB__or_Wire">#REF!</definedName>
    <definedName name="Connector__FPCB부_Guide">#REF!</definedName>
    <definedName name="Connector_0.9t_1.0t_Library_검토">#REF!</definedName>
    <definedName name="Connector_0.9t_1.0t_Library_검토_2">#REF!</definedName>
    <definedName name="Connector_1.5t_Library_검토">#REF!</definedName>
    <definedName name="Connector_1.5t_Library_검토_2">#REF!</definedName>
    <definedName name="Connector_높이에_따른_압축률_계산">#REF!</definedName>
    <definedName name="Connector_부_보강판_형상">#REF!</definedName>
    <definedName name="Connector_압박용_Pad_삭제">#REF!</definedName>
    <definedName name="Connector_이물_방지_설계_Guide">#REF!</definedName>
    <definedName name="Connector_체결">#REF!</definedName>
    <definedName name="Contact_Side_Button_2D_도면__1Button">#REF!</definedName>
    <definedName name="Contact_Side_Button_2D_도면__1Button__3.0T">#REF!</definedName>
    <definedName name="Contact_Side_Button_2D_도면__1Button__4.0T">#REF!</definedName>
    <definedName name="Contact_Side_Button_2D_도면__2Button">#REF!</definedName>
    <definedName name="Contact_Side_Button_2D_도면__2Button__3.0T">#REF!</definedName>
    <definedName name="Contact_Side_Button_2D_도면__2Button__4.0T">#REF!</definedName>
    <definedName name="Contact_Side_Button_2D_도면__Panasonic_AF_Switch">#REF!</definedName>
    <definedName name="Contact_Side_Button_PCB_Dome_사양">#REF!</definedName>
    <definedName name="Contact_Side_Button_고정_구조">#REF!</definedName>
    <definedName name="Contact_Side_Button_단자_형상">#REF!</definedName>
    <definedName name="Contact_Side_Button_조립부_구배값_및_Gap">#REF!</definedName>
    <definedName name="Contact_Side_Button_표준화_검토">#REF!</definedName>
    <definedName name="Contact_Side_Button_표준화_검토__1Button">#REF!</definedName>
    <definedName name="Contact_Side_Button_표준화_검토__1Button__3.0T">#REF!</definedName>
    <definedName name="Contact_Side_Button_표준화_검토__1Button__4.0T">#REF!</definedName>
    <definedName name="Contact_Side_Button_표준화_검토__2Button">#REF!</definedName>
    <definedName name="Contact_Side_Button_표준화_검토__2Button__3.0T">#REF!</definedName>
    <definedName name="Contact_Side_Button_표준화_검토__2Button__4.0T">#REF!</definedName>
    <definedName name="Contact_Side_Button_표준화_검토__Panasonic_AF_Switch">#REF!</definedName>
    <definedName name="COVER_WASHER">#REF!</definedName>
    <definedName name="coverglass" localSheetId="0" hidden="1">{"COMPARISON",#N/A,FALSE,"Sheet1"}</definedName>
    <definedName name="coverglass" localSheetId="3" hidden="1">{"COMPARISON",#N/A,FALSE,"Sheet1"}</definedName>
    <definedName name="coverglass" localSheetId="2" hidden="1">{"COMPARISON",#N/A,FALSE,"Sheet1"}</definedName>
    <definedName name="coverglass" localSheetId="1" hidden="1">{"COMPARISON",#N/A,FALSE,"Sheet1"}</definedName>
    <definedName name="coverglass" hidden="1">{"COMPARISON",#N/A,FALSE,"Sheet1"}</definedName>
    <definedName name="CPWB">#REF!</definedName>
    <definedName name="create_xla">0</definedName>
    <definedName name="Cutting_종류_단면_구조">#REF!</definedName>
    <definedName name="C쓰리">#REF!</definedName>
    <definedName name="C쓰리액정">#REF!</definedName>
    <definedName name="C액정">#REF!</definedName>
    <definedName name="C원">#REF!</definedName>
    <definedName name="C투">#REF!</definedName>
    <definedName name="C투액정">#REF!</definedName>
    <definedName name="D" localSheetId="0" hidden="1">{#N/A,#N/A,FALSE,"P.C.B"}</definedName>
    <definedName name="D" localSheetId="3" hidden="1">{#N/A,#N/A,FALSE,"P.C.B"}</definedName>
    <definedName name="D" localSheetId="2" hidden="1">{#N/A,#N/A,FALSE,"P.C.B"}</definedName>
    <definedName name="D" localSheetId="1" hidden="1">{#N/A,#N/A,FALSE,"P.C.B"}</definedName>
    <definedName name="D" hidden="1">{#N/A,#N/A,FALSE,"P.C.B"}</definedName>
    <definedName name="DASDF" localSheetId="0" hidden="1">{#N/A,#N/A,FALSE,"P.C.B"}</definedName>
    <definedName name="DASDF" localSheetId="3" hidden="1">{#N/A,#N/A,FALSE,"P.C.B"}</definedName>
    <definedName name="DASDF" localSheetId="2" hidden="1">{#N/A,#N/A,FALSE,"P.C.B"}</definedName>
    <definedName name="DASDF" localSheetId="1" hidden="1">{#N/A,#N/A,FALSE,"P.C.B"}</definedName>
    <definedName name="DASDF" hidden="1">{#N/A,#N/A,FALSE,"P.C.B"}</definedName>
    <definedName name="DASDFA" localSheetId="0" hidden="1">{#N/A,#N/A,FALSE,"P.C.B"}</definedName>
    <definedName name="DASDFA" localSheetId="3" hidden="1">{#N/A,#N/A,FALSE,"P.C.B"}</definedName>
    <definedName name="DASDFA" localSheetId="2" hidden="1">{#N/A,#N/A,FALSE,"P.C.B"}</definedName>
    <definedName name="DASDFA" localSheetId="1" hidden="1">{#N/A,#N/A,FALSE,"P.C.B"}</definedName>
    <definedName name="DASDFA" hidden="1">{#N/A,#N/A,FALSE,"P.C.B"}</definedName>
    <definedName name="data">#REF!</definedName>
    <definedName name="DATA_1">#REF!</definedName>
    <definedName name="data4">#REF!</definedName>
    <definedName name="_xlnm.Database">#REF!</definedName>
    <definedName name="datarows">#VALUE!</definedName>
    <definedName name="DCDC">#REF!</definedName>
    <definedName name="DD" localSheetId="0" hidden="1">{"COMPARISON",#N/A,FALSE,"Sheet1"}</definedName>
    <definedName name="DD" localSheetId="3" hidden="1">{"COMPARISON",#N/A,FALSE,"Sheet1"}</definedName>
    <definedName name="DD" localSheetId="2" hidden="1">{"COMPARISON",#N/A,FALSE,"Sheet1"}</definedName>
    <definedName name="DD" localSheetId="1" hidden="1">{"COMPARISON",#N/A,FALSE,"Sheet1"}</definedName>
    <definedName name="DD" hidden="1">{"COMPARISON",#N/A,FALSE,"Sheet1"}</definedName>
    <definedName name="dddd" hidden="1">#REF!</definedName>
    <definedName name="DDUCTASM">#REF!</definedName>
    <definedName name="Design_외관면_Guide">#REF!</definedName>
    <definedName name="DFAF" localSheetId="0" hidden="1">{#N/A,#N/A,FALSE,"P.C.B"}</definedName>
    <definedName name="DFAF" localSheetId="3" hidden="1">{#N/A,#N/A,FALSE,"P.C.B"}</definedName>
    <definedName name="DFAF" localSheetId="2" hidden="1">{#N/A,#N/A,FALSE,"P.C.B"}</definedName>
    <definedName name="DFAF" localSheetId="1" hidden="1">{#N/A,#N/A,FALSE,"P.C.B"}</definedName>
    <definedName name="DFAF" hidden="1">{#N/A,#N/A,FALSE,"P.C.B"}</definedName>
    <definedName name="DFASD" localSheetId="0" hidden="1">{#N/A,#N/A,FALSE,"P.C.B"}</definedName>
    <definedName name="DFASD" localSheetId="3" hidden="1">{#N/A,#N/A,FALSE,"P.C.B"}</definedName>
    <definedName name="DFASD" localSheetId="2" hidden="1">{#N/A,#N/A,FALSE,"P.C.B"}</definedName>
    <definedName name="DFASD" localSheetId="1" hidden="1">{#N/A,#N/A,FALSE,"P.C.B"}</definedName>
    <definedName name="DFASD" hidden="1">{#N/A,#N/A,FALSE,"P.C.B"}</definedName>
    <definedName name="DFD" localSheetId="0" hidden="1">{#N/A,#N/A,FALSE,"P.C.B"}</definedName>
    <definedName name="DFD" localSheetId="3" hidden="1">{#N/A,#N/A,FALSE,"P.C.B"}</definedName>
    <definedName name="DFD" localSheetId="2" hidden="1">{#N/A,#N/A,FALSE,"P.C.B"}</definedName>
    <definedName name="DFD" localSheetId="1" hidden="1">{#N/A,#N/A,FALSE,"P.C.B"}</definedName>
    <definedName name="DFD" hidden="1">{#N/A,#N/A,FALSE,"P.C.B"}</definedName>
    <definedName name="DFDF" localSheetId="0" hidden="1">{#N/A,#N/A,FALSE,"P.C.B"}</definedName>
    <definedName name="DFDF" localSheetId="3" hidden="1">{#N/A,#N/A,FALSE,"P.C.B"}</definedName>
    <definedName name="DFDF" localSheetId="2" hidden="1">{#N/A,#N/A,FALSE,"P.C.B"}</definedName>
    <definedName name="DFDF" localSheetId="1" hidden="1">{#N/A,#N/A,FALSE,"P.C.B"}</definedName>
    <definedName name="DFDF" hidden="1">{#N/A,#N/A,FALSE,"P.C.B"}</definedName>
    <definedName name="DFGDF" localSheetId="0" hidden="1">{#N/A,#N/A,FALSE,"P.C.B"}</definedName>
    <definedName name="DFGDF" localSheetId="3" hidden="1">{#N/A,#N/A,FALSE,"P.C.B"}</definedName>
    <definedName name="DFGDF" localSheetId="2" hidden="1">{#N/A,#N/A,FALSE,"P.C.B"}</definedName>
    <definedName name="DFGDF" localSheetId="1" hidden="1">{#N/A,#N/A,FALSE,"P.C.B"}</definedName>
    <definedName name="DFGDF" hidden="1">{#N/A,#N/A,FALSE,"P.C.B"}</definedName>
    <definedName name="DFSDF" localSheetId="0" hidden="1">{#N/A,#N/A,FALSE,"P.C.B"}</definedName>
    <definedName name="DFSDF" localSheetId="3" hidden="1">{#N/A,#N/A,FALSE,"P.C.B"}</definedName>
    <definedName name="DFSDF" localSheetId="2" hidden="1">{#N/A,#N/A,FALSE,"P.C.B"}</definedName>
    <definedName name="DFSDF" localSheetId="1" hidden="1">{#N/A,#N/A,FALSE,"P.C.B"}</definedName>
    <definedName name="DFSDF" hidden="1">{#N/A,#N/A,FALSE,"P.C.B"}</definedName>
    <definedName name="Die_casting_을_통한_GND_Contact">#REF!</definedName>
    <definedName name="Dome__FPCB_Type_사양별_PAD영역1">#REF!</definedName>
    <definedName name="Dome__FPCB_Type_사양별_PAD영역2">#REF!</definedName>
    <definedName name="Dome__FPCB_Type의_두께_Check">#REF!</definedName>
    <definedName name="Dome__FPCB_구조">#REF!</definedName>
    <definedName name="Dome_Ass’y_Metal_설계">#REF!</definedName>
    <definedName name="Dome_Metal_설계_시_Air_Path_체적_Guide">#REF!</definedName>
    <definedName name="Dome_Sheet_Air_Path_설계_Guide">#REF!</definedName>
    <definedName name="Dome_Sheet_Air_Path_설계_Guide_2">#REF!</definedName>
    <definedName name="Dome_Sheet_Air_Path_설계_Guide_3">#REF!</definedName>
    <definedName name="Dome_Sheet_부착_Guide">#REF!</definedName>
    <definedName name="Dome_Sheet_외곽_부_차광_Tape의_면적_Check">#REF!</definedName>
    <definedName name="Dome_Type별__FPCB_폭_Check">#REF!</definedName>
    <definedName name="Dome_Type별__FPCB_폭_Check__Dome_Cutting부_구조">#REF!</definedName>
    <definedName name="Dome_Type별__FPCB_폭_Check__Narrow_Type">#REF!</definedName>
    <definedName name="Dome_type별_fpcb_폭__35narrow">#REF!</definedName>
    <definedName name="Domesheet를_이용한_Insulator_대체">#REF!</definedName>
    <definedName name="drtretw" hidden="1">#REF!</definedName>
    <definedName name="DSD">#REF!</definedName>
    <definedName name="DSDFSD" localSheetId="0" hidden="1">{#N/A,#N/A,FALSE,"P.C.B"}</definedName>
    <definedName name="DSDFSD" localSheetId="3" hidden="1">{#N/A,#N/A,FALSE,"P.C.B"}</definedName>
    <definedName name="DSDFSD" localSheetId="2" hidden="1">{#N/A,#N/A,FALSE,"P.C.B"}</definedName>
    <definedName name="DSDFSD" localSheetId="1" hidden="1">{#N/A,#N/A,FALSE,"P.C.B"}</definedName>
    <definedName name="DSDFSD" hidden="1">{#N/A,#N/A,FALSE,"P.C.B"}</definedName>
    <definedName name="DSFDAS" localSheetId="0" hidden="1">{#N/A,#N/A,FALSE,"P.C.B"}</definedName>
    <definedName name="DSFDAS" localSheetId="3" hidden="1">{#N/A,#N/A,FALSE,"P.C.B"}</definedName>
    <definedName name="DSFDAS" localSheetId="2" hidden="1">{#N/A,#N/A,FALSE,"P.C.B"}</definedName>
    <definedName name="DSFDAS" localSheetId="1" hidden="1">{#N/A,#N/A,FALSE,"P.C.B"}</definedName>
    <definedName name="DSFDAS" hidden="1">{#N/A,#N/A,FALSE,"P.C.B"}</definedName>
    <definedName name="E" localSheetId="0" hidden="1">{#N/A,#N/A,FALSE,"P.C.B"}</definedName>
    <definedName name="E" localSheetId="3" hidden="1">{#N/A,#N/A,FALSE,"P.C.B"}</definedName>
    <definedName name="E" localSheetId="2" hidden="1">{#N/A,#N/A,FALSE,"P.C.B"}</definedName>
    <definedName name="E" localSheetId="1" hidden="1">{#N/A,#N/A,FALSE,"P.C.B"}</definedName>
    <definedName name="E" hidden="1">{#N/A,#N/A,FALSE,"P.C.B"}</definedName>
    <definedName name="Ear_jack_Cap_강도_보완_설계">#REF!</definedName>
    <definedName name="Ear_jack_Cap_형합_부_치수_Guide">#REF!</definedName>
    <definedName name="Ear_Jack_Hole_주변부_Guide">#REF!</definedName>
    <definedName name="Ear_jack과_내부_부품간의_간섭_Check">#REF!</definedName>
    <definedName name="Ear_Jack부의_위치">#REF!</definedName>
    <definedName name="Echo__hauling_문제점_및_권장_구조">#REF!</definedName>
    <definedName name="edc" hidden="1">#REF!</definedName>
    <definedName name="eee" localSheetId="0" hidden="1">{#N/A,#N/A,FALSE,"Chi tiÆt"}</definedName>
    <definedName name="eee" localSheetId="3" hidden="1">{#N/A,#N/A,FALSE,"Chi tiÆt"}</definedName>
    <definedName name="eee" localSheetId="2" hidden="1">{#N/A,#N/A,FALSE,"Chi tiÆt"}</definedName>
    <definedName name="eee" localSheetId="1" hidden="1">{#N/A,#N/A,FALSE,"Chi tiÆt"}</definedName>
    <definedName name="eee" hidden="1">{#N/A,#N/A,FALSE,"Chi tiÆt"}</definedName>
    <definedName name="efse">#REF!</definedName>
    <definedName name="Embedded_Battery_구조">#REF!</definedName>
    <definedName name="Embedded_Battery_란?">#REF!</definedName>
    <definedName name="ETCIC">#REF!</definedName>
    <definedName name="existe">1</definedName>
    <definedName name="FAEA_회로_11" localSheetId="0" hidden="1">{"COMPARISON",#N/A,FALSE,"Sheet1"}</definedName>
    <definedName name="FAEA_회로_11" localSheetId="3" hidden="1">{"COMPARISON",#N/A,FALSE,"Sheet1"}</definedName>
    <definedName name="FAEA_회로_11" localSheetId="2" hidden="1">{"COMPARISON",#N/A,FALSE,"Sheet1"}</definedName>
    <definedName name="FAEA_회로_11" localSheetId="1" hidden="1">{"COMPARISON",#N/A,FALSE,"Sheet1"}</definedName>
    <definedName name="FAEA_회로_11" hidden="1">{"COMPARISON",#N/A,FALSE,"Sheet1"}</definedName>
    <definedName name="faea_회로_111" localSheetId="0" hidden="1">{"COMPARISON",#N/A,FALSE,"Sheet1"}</definedName>
    <definedName name="faea_회로_111" localSheetId="3" hidden="1">{"COMPARISON",#N/A,FALSE,"Sheet1"}</definedName>
    <definedName name="faea_회로_111" localSheetId="2" hidden="1">{"COMPARISON",#N/A,FALSE,"Sheet1"}</definedName>
    <definedName name="faea_회로_111" localSheetId="1" hidden="1">{"COMPARISON",#N/A,FALSE,"Sheet1"}</definedName>
    <definedName name="faea_회로_111" hidden="1">{"COMPARISON",#N/A,FALSE,"Sheet1"}</definedName>
    <definedName name="FASDF" localSheetId="0" hidden="1">{#N/A,#N/A,FALSE,"P.C.B"}</definedName>
    <definedName name="FASDF" localSheetId="3" hidden="1">{#N/A,#N/A,FALSE,"P.C.B"}</definedName>
    <definedName name="FASDF" localSheetId="2" hidden="1">{#N/A,#N/A,FALSE,"P.C.B"}</definedName>
    <definedName name="FASDF" localSheetId="1" hidden="1">{#N/A,#N/A,FALSE,"P.C.B"}</definedName>
    <definedName name="FASDF" hidden="1">{#N/A,#N/A,FALSE,"P.C.B"}</definedName>
    <definedName name="fdf" localSheetId="0" hidden="1">#REF!,#REF!,#REF!,#REF!</definedName>
    <definedName name="fdf" localSheetId="3" hidden="1">#REF!,#REF!,#REF!,#REF!</definedName>
    <definedName name="fdf" localSheetId="2" hidden="1">#REF!,#REF!,#REF!,#REF!</definedName>
    <definedName name="fdf" localSheetId="1" hidden="1">#REF!,#REF!,#REF!,#REF!</definedName>
    <definedName name="fdf" hidden="1">#REF!,#REF!,#REF!,#REF!</definedName>
    <definedName name="fdfsadfdsafd" hidden="1">#REF!,#REF!,#REF!</definedName>
    <definedName name="FDS">#REF!</definedName>
    <definedName name="feuille_base">"xlsheet.xla"</definedName>
    <definedName name="FG" localSheetId="0" hidden="1">{#N/A,#N/A,FALSE,"P.C.B"}</definedName>
    <definedName name="FG" localSheetId="3" hidden="1">{#N/A,#N/A,FALSE,"P.C.B"}</definedName>
    <definedName name="FG" localSheetId="2" hidden="1">{#N/A,#N/A,FALSE,"P.C.B"}</definedName>
    <definedName name="FG" localSheetId="1" hidden="1">{#N/A,#N/A,FALSE,"P.C.B"}</definedName>
    <definedName name="FG" hidden="1">{#N/A,#N/A,FALSE,"P.C.B"}</definedName>
    <definedName name="Field_불량_분석">#REF!</definedName>
    <definedName name="Film_Sensor_표준_두께">#REF!</definedName>
    <definedName name="fk" localSheetId="0" hidden="1">{#N/A,#N/A,FALSE,"자재관리";#N/A,#N/A,FALSE,"자재관리";#N/A,#N/A,FALSE,"자재관리"}</definedName>
    <definedName name="fk" localSheetId="3" hidden="1">{#N/A,#N/A,FALSE,"자재관리";#N/A,#N/A,FALSE,"자재관리";#N/A,#N/A,FALSE,"자재관리"}</definedName>
    <definedName name="fk" localSheetId="2" hidden="1">{#N/A,#N/A,FALSE,"자재관리";#N/A,#N/A,FALSE,"자재관리";#N/A,#N/A,FALSE,"자재관리"}</definedName>
    <definedName name="fk" localSheetId="1" hidden="1">{#N/A,#N/A,FALSE,"자재관리";#N/A,#N/A,FALSE,"자재관리";#N/A,#N/A,FALSE,"자재관리"}</definedName>
    <definedName name="fk" hidden="1">{#N/A,#N/A,FALSE,"자재관리";#N/A,#N/A,FALSE,"자재관리";#N/A,#N/A,FALSE,"자재관리"}</definedName>
    <definedName name="Flash_LED_Spec및_주변_구조">#REF!</definedName>
    <definedName name="Flash_LED_부품_현황">#REF!</definedName>
    <definedName name="Flash_Lens_설계_표준화">#REF!</definedName>
    <definedName name="Flash_Lens_주변부_설계_Guide">#REF!</definedName>
    <definedName name="Flash_Lens_주변부_설계_Guide__일체형">#REF!</definedName>
    <definedName name="Flash_Lens_주변부_설계_Guide_2">#REF!</definedName>
    <definedName name="flow" localSheetId="0" hidden="1">{"REVISED",#N/A,FALSE,"Sheet1"}</definedName>
    <definedName name="flow" localSheetId="3" hidden="1">{"REVISED",#N/A,FALSE,"Sheet1"}</definedName>
    <definedName name="flow" localSheetId="2" hidden="1">{"REVISED",#N/A,FALSE,"Sheet1"}</definedName>
    <definedName name="flow" localSheetId="1" hidden="1">{"REVISED",#N/A,FALSE,"Sheet1"}</definedName>
    <definedName name="flow" hidden="1">{"REVISED",#N/A,FALSE,"Sheet1"}</definedName>
    <definedName name="FMEA_기구" localSheetId="0" hidden="1">{"REVISED",#N/A,FALSE,"Sheet1"}</definedName>
    <definedName name="FMEA_기구" localSheetId="3" hidden="1">{"REVISED",#N/A,FALSE,"Sheet1"}</definedName>
    <definedName name="FMEA_기구" localSheetId="2" hidden="1">{"REVISED",#N/A,FALSE,"Sheet1"}</definedName>
    <definedName name="FMEA_기구" localSheetId="1" hidden="1">{"REVISED",#N/A,FALSE,"Sheet1"}</definedName>
    <definedName name="FMEA_기구" hidden="1">{"REVISED",#N/A,FALSE,"Sheet1"}</definedName>
    <definedName name="FMEA_기구1" localSheetId="0" hidden="1">{"REVISED",#N/A,FALSE,"Sheet1"}</definedName>
    <definedName name="FMEA_기구1" localSheetId="3" hidden="1">{"REVISED",#N/A,FALSE,"Sheet1"}</definedName>
    <definedName name="FMEA_기구1" localSheetId="2" hidden="1">{"REVISED",#N/A,FALSE,"Sheet1"}</definedName>
    <definedName name="FMEA_기구1" localSheetId="1" hidden="1">{"REVISED",#N/A,FALSE,"Sheet1"}</definedName>
    <definedName name="FMEA_기구1" hidden="1">{"REVISED",#N/A,FALSE,"Sheet1"}</definedName>
    <definedName name="FMEA_측정" localSheetId="0" hidden="1">{"REVISED",#N/A,FALSE,"Sheet1"}</definedName>
    <definedName name="FMEA_측정" localSheetId="3" hidden="1">{"REVISED",#N/A,FALSE,"Sheet1"}</definedName>
    <definedName name="FMEA_측정" localSheetId="2" hidden="1">{"REVISED",#N/A,FALSE,"Sheet1"}</definedName>
    <definedName name="FMEA_측정" localSheetId="1" hidden="1">{"REVISED",#N/A,FALSE,"Sheet1"}</definedName>
    <definedName name="FMEA_측정" hidden="1">{"REVISED",#N/A,FALSE,"Sheet1"}</definedName>
    <definedName name="FMEA기구" localSheetId="0" hidden="1">{"COMPARISON",#N/A,FALSE,"Sheet1"}</definedName>
    <definedName name="FMEA기구" localSheetId="3" hidden="1">{"COMPARISON",#N/A,FALSE,"Sheet1"}</definedName>
    <definedName name="FMEA기구" localSheetId="2" hidden="1">{"COMPARISON",#N/A,FALSE,"Sheet1"}</definedName>
    <definedName name="FMEA기구" localSheetId="1" hidden="1">{"COMPARISON",#N/A,FALSE,"Sheet1"}</definedName>
    <definedName name="FMEA기구" hidden="1">{"COMPARISON",#N/A,FALSE,"Sheet1"}</definedName>
    <definedName name="FMEA기구1" localSheetId="0" hidden="1">{"COMPARISON",#N/A,FALSE,"Sheet1"}</definedName>
    <definedName name="FMEA기구1" localSheetId="3" hidden="1">{"COMPARISON",#N/A,FALSE,"Sheet1"}</definedName>
    <definedName name="FMEA기구1" localSheetId="2" hidden="1">{"COMPARISON",#N/A,FALSE,"Sheet1"}</definedName>
    <definedName name="FMEA기구1" localSheetId="1" hidden="1">{"COMPARISON",#N/A,FALSE,"Sheet1"}</definedName>
    <definedName name="FMEA기구1" hidden="1">{"COMPARISON",#N/A,FALSE,"Sheet1"}</definedName>
    <definedName name="FocusFlag">#REF!</definedName>
    <definedName name="Folder_FPCB_절곡부_형상_표준화_Guide">#REF!</definedName>
    <definedName name="Folder_Type_Gap_Guide">#REF!</definedName>
    <definedName name="FPC">#REF!</definedName>
    <definedName name="FPCB_Assy_Dome_위치_및_두께부_측정방법_spec_관리방안">#REF!</definedName>
    <definedName name="FPCB_Bonding부_Crack_방지">#REF!</definedName>
    <definedName name="FPCB_Bonding부_Crack_방지_2">#REF!</definedName>
    <definedName name="FPCB_Connector_및_Connector부_두께">#REF!</definedName>
    <definedName name="FPCB_DOME_SMT_구조">#REF!</definedName>
    <definedName name="FPCB_Sealing_적용">#REF!</definedName>
    <definedName name="FPCB_구동부_lower_hole_parting_구조">#REF!</definedName>
    <definedName name="FPCB_굴곡부_길이__Slide_부_구조_Guide">#REF!</definedName>
    <definedName name="FPCB_기본_구조">#REF!</definedName>
    <definedName name="FPCB_단품_형상">#REF!</definedName>
    <definedName name="FPCB_뒤틀림_조립_방지_구조_Guide">#REF!</definedName>
    <definedName name="FPCB_조립_Hole_확인">#REF!</definedName>
    <definedName name="FPCB_조립_시_위치_제어">#REF!</definedName>
    <definedName name="FPCB_조립_시_위치_제어_2">#REF!</definedName>
    <definedName name="FPCB_찢어짐_방지_설계">#REF!</definedName>
    <definedName name="FPCB_찢어짐_방지_설계_2">#REF!</definedName>
    <definedName name="FPCB와_lower__front_와의_단면_구조">#REF!</definedName>
    <definedName name="FPCB와_lower__front_와의_단면_구조_2">#REF!</definedName>
    <definedName name="FPPCB_기본_형상_Guide">#REF!</definedName>
    <definedName name="Frame_강성_해석">#REF!</definedName>
    <definedName name="Frame과_cover_형합_시_유동_Check">#REF!</definedName>
    <definedName name="Front_Camera_사용_제한_부품">#REF!</definedName>
    <definedName name="Front_Cover로_내부_차폐_구조_구현_시_Issue_사항">#REF!</definedName>
    <definedName name="Front_Deco_Guide_로_Scratch_방지_구조_적용">#REF!</definedName>
    <definedName name="Front_Deco_설계_Guide__권장안">#REF!</definedName>
    <definedName name="F쓰리">#REF!</definedName>
    <definedName name="F쓰리GLS">#REF!</definedName>
    <definedName name="F원">#REF!</definedName>
    <definedName name="F투">#REF!</definedName>
    <definedName name="F투GLS">#REF!</definedName>
    <definedName name="G" localSheetId="0" hidden="1">{#N/A,#N/A,FALSE,"P.C.B"}</definedName>
    <definedName name="G" localSheetId="3" hidden="1">{#N/A,#N/A,FALSE,"P.C.B"}</definedName>
    <definedName name="G" localSheetId="2" hidden="1">{#N/A,#N/A,FALSE,"P.C.B"}</definedName>
    <definedName name="G" localSheetId="1" hidden="1">{#N/A,#N/A,FALSE,"P.C.B"}</definedName>
    <definedName name="G" hidden="1">{#N/A,#N/A,FALSE,"P.C.B"}</definedName>
    <definedName name="G2_mini_기구신규부품List">#REF!</definedName>
    <definedName name="Gate방식에_따른_Cutting_적용_권장사양">#REF!</definedName>
    <definedName name="gDataRange">#REF!</definedName>
    <definedName name="GDIC">#REF!</definedName>
    <definedName name="GG" localSheetId="0" hidden="1">#REF!,#REF!,#REF!</definedName>
    <definedName name="GG" localSheetId="3" hidden="1">#REF!,#REF!,#REF!</definedName>
    <definedName name="GG" localSheetId="2" hidden="1">#REF!,#REF!,#REF!</definedName>
    <definedName name="GG" localSheetId="1" hidden="1">#REF!,#REF!,#REF!</definedName>
    <definedName name="GG" hidden="1">#REF!,#REF!,#REF!</definedName>
    <definedName name="GHG" hidden="1">#REF!</definedName>
    <definedName name="Glass_Sensor__G1F_표준_두께">#REF!</definedName>
    <definedName name="GND_Contact_구조_확인">#REF!</definedName>
    <definedName name="GPS_와_Touch_Chip_간의_이격거리_확보">#REF!</definedName>
    <definedName name="GPWB">#REF!</definedName>
    <definedName name="Guide_Hole_위치_확인">#REF!</definedName>
    <definedName name="Guide_Hole_형합_구조_확인">#REF!</definedName>
    <definedName name="H" hidden="1">#REF!,#REF!,#REF!</definedName>
    <definedName name="Hall_IC_설계_Guide_현상_분석">#REF!</definedName>
    <definedName name="Hall_IC_승인원_예__EUSY0362601">#REF!</definedName>
    <definedName name="Hall_IC_인식_불량_사례">#REF!</definedName>
    <definedName name="Hall_IC_표준_부품_08년_기준">#REF!</definedName>
    <definedName name="Hall_IC에_영향을_주는_재질">#REF!</definedName>
    <definedName name="Hall_IC와_Magnet간의_거리__X__Y__Z_Axis_거리">#REF!</definedName>
    <definedName name="Hall_IC와_Magnet사이의_재질_영향">#REF!</definedName>
    <definedName name="Hall_SW_Magnet부_검토사항">#REF!</definedName>
    <definedName name="Hand_Strap_구조">#REF!</definedName>
    <definedName name="Hand_Strap_구조2">#REF!</definedName>
    <definedName name="Hand_Strap_구조3">#REF!</definedName>
    <definedName name="Hand_Strap_구조4">#REF!</definedName>
    <definedName name="Hand_Strap_적용_유무">#REF!</definedName>
    <definedName name="HH" hidden="1">#REF!,#REF!,#REF!,#REF!</definedName>
    <definedName name="HHHH">#REF!</definedName>
    <definedName name="hi">#REF!</definedName>
    <definedName name="High_T_Sensor_개발_진행_현황">#REF!</definedName>
    <definedName name="Hinge_Male의_삽입부가_Set를_벗어나는지_검토">#REF!</definedName>
    <definedName name="Hinge_배치_확인">#REF!</definedName>
    <definedName name="Hinge_부_Screw_체결">#REF!</definedName>
    <definedName name="Hinge_부_Screw_체결_Normal_Type">#REF!</definedName>
    <definedName name="Hinge_안착_Guide">#REF!</definedName>
    <definedName name="Hinge_와_주변부_형합_구조_확인">#REF!</definedName>
    <definedName name="Hinge_와_주변부_형합_구조_확인_2">#REF!</definedName>
    <definedName name="Hinge_형합부_설계_Guide">#REF!</definedName>
    <definedName name="Hinge_형합부_설계_Guide_2">#REF!</definedName>
    <definedName name="Hinge_형합에_따른_정_역방향_구분">#REF!</definedName>
    <definedName name="Hinge부_파손_방지_Check">#REF!</definedName>
    <definedName name="Hinge부_파손_방지_Check_2">#REF!</definedName>
    <definedName name="Hinge부_파손_방지_Check_3">#REF!</definedName>
    <definedName name="Hinge부_파손_방지_Check_4">#REF!</definedName>
    <definedName name="Hinge의_종류">#REF!</definedName>
    <definedName name="Hinge의_종류_2_Step_Hinge__Flip_Hinge">#REF!</definedName>
    <definedName name="Home_Key___외관_기구_형합_Gap_Check">#REF!</definedName>
    <definedName name="Home_Key_Actuator_외경_및_돌출_량_Size_Check">#REF!</definedName>
    <definedName name="Home_Key_Actuator_외경_및_돌출_량_Size_Check_2">#REF!</definedName>
    <definedName name="Home_Key_Sticking_구조_및_단차_고려">#REF!</definedName>
    <definedName name="Home_Key_구배_Check">#REF!</definedName>
    <definedName name="Home_Key_구배_값_Check">#REF!</definedName>
    <definedName name="Home_Key_기본_형합_구조">#REF!</definedName>
    <definedName name="hook_강도_확보">#REF!</definedName>
    <definedName name="Hook_구조를_이용한_FPCB_고정">#REF!</definedName>
    <definedName name="Hook부_설계_Guide">#REF!</definedName>
    <definedName name="Hook의_강도_확보">#REF!</definedName>
    <definedName name="HTML_CodePage" hidden="1">932</definedName>
    <definedName name="HTML_Control" localSheetId="0" hidden="1">{"'新製品一覧'!$A$3:$AE$44","'新製品一覧'!$Y$37"}</definedName>
    <definedName name="HTML_Control" localSheetId="3" hidden="1">{"'新製品一覧'!$A$3:$AE$44","'新製品一覧'!$Y$37"}</definedName>
    <definedName name="HTML_Control" localSheetId="2" hidden="1">{"'新製品一覧'!$A$3:$AE$44","'新製品一覧'!$Y$37"}</definedName>
    <definedName name="HTML_Control" localSheetId="1" hidden="1">{"'新製品一覧'!$A$3:$AE$44","'新製品一覧'!$Y$37"}</definedName>
    <definedName name="HTML_Control" hidden="1">{"'新製品一覧'!$A$3:$AE$44","'新製品一覧'!$Y$37"}</definedName>
    <definedName name="HTML_Description" hidden="1">""</definedName>
    <definedName name="HTML_Email" hidden="1">""</definedName>
    <definedName name="HTML_Header" hidden="1">"新製品一覧"</definedName>
    <definedName name="HTML_LastUpdate" hidden="1">"01/01/22"</definedName>
    <definedName name="HTML_LineAfter" hidden="1">FALSE</definedName>
    <definedName name="HTML_LineBefore" hidden="1">FALSE</definedName>
    <definedName name="HTML_Name" hidden="1">"表示開発設計部"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"\\TKLCD001\InetPub\wwwroot\nittei\nittei.htm"</definedName>
    <definedName name="HTML_PathTemplate" hidden="1">"C:\개발일반\U-PJT\HTMLTemp.htm"</definedName>
    <definedName name="HTML_Title" hidden="1">"コピー ～ テーマ一覧"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">2</definedName>
    <definedName name="I_O_Cap_삭제_Guide">#REF!</definedName>
    <definedName name="I_O_Connector_주변부_Guide">#REF!</definedName>
    <definedName name="I_O_Connector_주변부_Guide_2">#REF!</definedName>
    <definedName name="I_O_Connector_주변부_Guide_3">#REF!</definedName>
    <definedName name="I_O_Hole_주변부_외관정리">#REF!</definedName>
    <definedName name="I_O_Socket과_내부_부품간_간섭">#REF!</definedName>
    <definedName name="I_O_Socket과_내부_부품간_간섭_2">#REF!</definedName>
    <definedName name="I_O_기구_외관_Hole과_I_O_Plug_Locker_간섭_회피">#REF!</definedName>
    <definedName name="I_O_와_자성체_이격거리">#REF!</definedName>
    <definedName name="I_O단자_납땜_부와_기구물간_이격거리">#REF!</definedName>
    <definedName name="IC_실장_부__Bonding_Area_및_Printing_Area_표준_Size">#REF!</definedName>
    <definedName name="IC_실장_부__Bonding_Area_및_Printing_Area_표준_Size_2">#REF!</definedName>
    <definedName name="IMEI라벨_부착_Guide">#REF!</definedName>
    <definedName name="IMEI라벨_부착_위치_방향_안내_표식">#REF!</definedName>
    <definedName name="IND">#REF!</definedName>
    <definedName name="INDEX">#REF!</definedName>
    <definedName name="Indicator_작동_시_Lighting_편심_차단_Guide">#REF!</definedName>
    <definedName name="Inner_Pack_종류_선정_참고_Table">#REF!</definedName>
    <definedName name="INVERTER">#REF!</definedName>
    <definedName name="Invisible_Receiver_설계_Guide">#REF!</definedName>
    <definedName name="Invisible_Receiver_설계_Guide_2">#REF!</definedName>
    <definedName name="Invisible_Receiver부_설계_Guide">#REF!</definedName>
    <definedName name="IO_위치_Guide">#REF!</definedName>
    <definedName name="Issue_사항">#REF!</definedName>
    <definedName name="ITUB구입금액">#REF!</definedName>
    <definedName name="JJ" hidden="1">#REF!</definedName>
    <definedName name="JJJ" hidden="1">#REF!,#REF!,#REF!,#REF!</definedName>
    <definedName name="K" localSheetId="0" hidden="1">{#N/A,#N/A,FALSE,"자재관리";#N/A,#N/A,FALSE,"자재관리";#N/A,#N/A,FALSE,"자재관리"}</definedName>
    <definedName name="K" localSheetId="3" hidden="1">{#N/A,#N/A,FALSE,"자재관리";#N/A,#N/A,FALSE,"자재관리";#N/A,#N/A,FALSE,"자재관리"}</definedName>
    <definedName name="K" localSheetId="2" hidden="1">{#N/A,#N/A,FALSE,"자재관리";#N/A,#N/A,FALSE,"자재관리";#N/A,#N/A,FALSE,"자재관리"}</definedName>
    <definedName name="K" localSheetId="1" hidden="1">{#N/A,#N/A,FALSE,"자재관리";#N/A,#N/A,FALSE,"자재관리";#N/A,#N/A,FALSE,"자재관리"}</definedName>
    <definedName name="K" hidden="1">{#N/A,#N/A,FALSE,"자재관리";#N/A,#N/A,FALSE,"자재관리";#N/A,#N/A,FALSE,"자재관리"}</definedName>
    <definedName name="Key___외관_기구_형합_Gap_Check">#REF!</definedName>
    <definedName name="Key_Base부_Guide">#REF!</definedName>
    <definedName name="Key_Base부_Guide_2">#REF!</definedName>
    <definedName name="Key_Flange_Gate_방식">#REF!</definedName>
    <definedName name="Key_Flange_Gate_방식_3">#REF!</definedName>
    <definedName name="Key_Flange_Gate_방식_Cutting_시_타발로_인한_사례">#REF!</definedName>
    <definedName name="Key_Flange_Gate_방식_Cutting_종류_단면_구조">#REF!</definedName>
    <definedName name="Key_Flange_Gate_방식_Side_Gate_Key_형상__치수_평균_값">#REF!</definedName>
    <definedName name="Key_Flange_Gate_방식_열_Cutting_적용_사례">#REF!</definedName>
    <definedName name="Key_Flange_Gate_방식2">#REF!</definedName>
    <definedName name="Key_Flange_Gate_방식3">#REF!</definedName>
    <definedName name="Key_Flange_Gate의_방식_3">#REF!</definedName>
    <definedName name="Key_Flange_폭_Size_및_Side_Actuator_위치">#REF!</definedName>
    <definedName name="Key_FPCB_Dome_사양_Check">#REF!</definedName>
    <definedName name="Key_FPCB와_조립_기구물간의_치수_Check">#REF!</definedName>
    <definedName name="Key_Top_사양별_기본_두께">#REF!</definedName>
    <definedName name="Key_Top_사양별_기본_두께_2">#REF!</definedName>
    <definedName name="Key_type별_외관사양">#REF!</definedName>
    <definedName name="Key_구배값_Check">#REF!</definedName>
    <definedName name="Key_기본_형합_구조">#REF!</definedName>
    <definedName name="Key_기본_형합_구조_2">#REF!</definedName>
    <definedName name="Key_기본_형합_구조_3">#REF!</definedName>
    <definedName name="Key_돌출량__살두께__Size_별_검토">#REF!</definedName>
    <definedName name="Key_돌출량_Check">#REF!</definedName>
    <definedName name="Key_돌출량_Check__디자인_유형별">#REF!</definedName>
    <definedName name="Key_치수_및_시소_방지_구조_Check">#REF!</definedName>
    <definedName name="Key_치수_및_시소_방지_구조_Check_2">#REF!</definedName>
    <definedName name="Keypad_Actuator_직경_별_클릭율_비교">#REF!</definedName>
    <definedName name="Keypad_문안부_인쇄영역_Guide">#REF!</definedName>
    <definedName name="Keypad_배면_차광_인쇄">#REF!</definedName>
    <definedName name="keypad_불빛샘_key_flange">#REF!</definedName>
    <definedName name="Keypad_불빛샘_설계_Guide">#REF!</definedName>
    <definedName name="Keypad_불빛샘_설계_Guide_Key_Flange">#REF!</definedName>
    <definedName name="Keypad_불빛샘_설계_Guide_모델별_치수">#REF!</definedName>
    <definedName name="Keypad와_연결되는_Touch_window_또는_LCD_FPCB_설계_시_고려_사항">#REF!</definedName>
    <definedName name="KINETIC" localSheetId="0" hidden="1">{#N/A,#N/A,FALSE,"P.C.B"}</definedName>
    <definedName name="KINETIC" localSheetId="3" hidden="1">{#N/A,#N/A,FALSE,"P.C.B"}</definedName>
    <definedName name="KINETIC" localSheetId="2" hidden="1">{#N/A,#N/A,FALSE,"P.C.B"}</definedName>
    <definedName name="KINETIC" localSheetId="1" hidden="1">{#N/A,#N/A,FALSE,"P.C.B"}</definedName>
    <definedName name="KINETIC" hidden="1">{#N/A,#N/A,FALSE,"P.C.B"}</definedName>
    <definedName name="KITE" localSheetId="0" hidden="1">{#N/A,#N/A,FALSE,"P.C.B"}</definedName>
    <definedName name="KITE" localSheetId="3" hidden="1">{#N/A,#N/A,FALSE,"P.C.B"}</definedName>
    <definedName name="KITE" localSheetId="2" hidden="1">{#N/A,#N/A,FALSE,"P.C.B"}</definedName>
    <definedName name="KITE" localSheetId="1" hidden="1">{#N/A,#N/A,FALSE,"P.C.B"}</definedName>
    <definedName name="KITE" hidden="1">{#N/A,#N/A,FALSE,"P.C.B"}</definedName>
    <definedName name="KK" localSheetId="0" hidden="1">#REF!,#REF!,#REF!</definedName>
    <definedName name="KK" localSheetId="3" hidden="1">#REF!,#REF!,#REF!</definedName>
    <definedName name="KK" localSheetId="2" hidden="1">#REF!,#REF!,#REF!</definedName>
    <definedName name="KK" localSheetId="1" hidden="1">#REF!,#REF!,#REF!</definedName>
    <definedName name="KK" hidden="1">#REF!,#REF!,#REF!</definedName>
    <definedName name="L">#REF!</definedName>
    <definedName name="Lamination_관련_설계_Guide">#REF!</definedName>
    <definedName name="LCD_Bracket_Clip_형상을_통한_GND_Contact">#REF!</definedName>
    <definedName name="LCD_Ripple_Issue_사항_Guide">#REF!</definedName>
    <definedName name="LCD_Window_인쇄부_Front_Camera___근_조도센서_Hole">#REF!</definedName>
    <definedName name="LCD불빛샘">#REF!</definedName>
    <definedName name="LDI_변별력_확인_Dripping_Water_Test_Result">#REF!</definedName>
    <definedName name="LDI_부착부_형상">#REF!</definedName>
    <definedName name="LDI_부착위치__Rear_Cover">#REF!</definedName>
    <definedName name="LDI_부착위치_2__Rear_Cover">#REF!</definedName>
    <definedName name="LDI_부착위치와_구조_Issue사항">#REF!</definedName>
    <definedName name="LDI_신규_개발_시_권장_Size__원형">#REF!</definedName>
    <definedName name="LDI_위치_가이드">#REF!</definedName>
    <definedName name="LDI_자사_침수_SPEC의_문제점">#REF!</definedName>
    <definedName name="LDI변색_및_기능___동작_이상유무_관계">#REF!</definedName>
    <definedName name="LDI부착_구조와_검출력_간_관계">#REF!</definedName>
    <definedName name="LDI위치_가이드___시험_결과_분석__Full_Cover">#REF!</definedName>
    <definedName name="LED_측면_부_차광_Tape의_면적_Check">#REF!</definedName>
    <definedName name="LG_vs_타사_FPCB부_구조_비교">#REF!</definedName>
    <definedName name="LGF_Guide_기본_원리">#REF!</definedName>
    <definedName name="LGF_LED_배치">#REF!</definedName>
    <definedName name="LGF_불빛_샘_방지">#REF!</definedName>
    <definedName name="LGF_상세_적층_구조_설계_Guide__Multi_Touch_Key">#REF!</definedName>
    <definedName name="LGF_상세_적층_구조_설계_Guide__One_Dome___Two_Touch">#REF!</definedName>
    <definedName name="LGF_설계_Guide">#REF!</definedName>
    <definedName name="LGF_주변_기구_설계_Guide_LGF_PCB_FPCB_부착구조__권장">#REF!</definedName>
    <definedName name="LGF_주변_기구_설계_Guide_LGF_T_W_or_Cover_부착구조">#REF!</definedName>
    <definedName name="LGF에_충분한_광량이_전달되도록_재질_두께_선정_Check">#REF!</definedName>
    <definedName name="Light_Guide의_빛확산_구조와_밝기_영향_인자">#REF!</definedName>
    <definedName name="Lighting_개선">#REF!</definedName>
    <definedName name="Lighting관련_Guide">#REF!</definedName>
    <definedName name="Lighting관련_Guide_2">#REF!</definedName>
    <definedName name="Lighting관련_Guide_3">#REF!</definedName>
    <definedName name="liste_classeur" localSheetId="0">{"XLSHEET.XLA"}</definedName>
    <definedName name="liste_classeur" localSheetId="3">{"XLSHEET.XLA"}</definedName>
    <definedName name="liste_classeur" localSheetId="2">{"XLSHEET.XLA"}</definedName>
    <definedName name="liste_classeur" localSheetId="1">{"XLSHEET.XLA"}</definedName>
    <definedName name="liste_classeur">{"XLSHEET.XLA"}</definedName>
    <definedName name="LL" localSheetId="0" hidden="1">{#N/A,#N/A,FALSE,"P.C.B"}</definedName>
    <definedName name="LL" localSheetId="3" hidden="1">{#N/A,#N/A,FALSE,"P.C.B"}</definedName>
    <definedName name="LL" localSheetId="2" hidden="1">{#N/A,#N/A,FALSE,"P.C.B"}</definedName>
    <definedName name="LL" localSheetId="1" hidden="1">{#N/A,#N/A,FALSE,"P.C.B"}</definedName>
    <definedName name="LL" hidden="1">{#N/A,#N/A,FALSE,"P.C.B"}</definedName>
    <definedName name="Local_Total_RMC">#REF!</definedName>
    <definedName name="Lower_일체형_Hinge_설계_Guide">#REF!</definedName>
    <definedName name="LVDS">#REF!</definedName>
    <definedName name="M">#REF!</definedName>
    <definedName name="Magnet_거리_방향에_따른_자력">#REF!</definedName>
    <definedName name="Magnet_거리_방향에_따른_자력_2">#REF!</definedName>
    <definedName name="Magnet_설계_Guide">#REF!</definedName>
    <definedName name="Magnet_자력_예">#REF!</definedName>
    <definedName name="MAY">#REF!</definedName>
    <definedName name="MEMS_Mic_외부_충격으로_인한_떨어짐_방지_구조_Check">#REF!</definedName>
    <definedName name="MEMS_Mic_형합_구조">#REF!</definedName>
    <definedName name="MEMS_Mic_형합_구조_2">#REF!</definedName>
    <definedName name="MEMS_Mic_형합_구조_3">#REF!</definedName>
    <definedName name="MEMS_Mic_형합_구조_4">#REF!</definedName>
    <definedName name="mes_">#REF!</definedName>
    <definedName name="mes_10000">#REF!</definedName>
    <definedName name="mes_10001">#REF!</definedName>
    <definedName name="mes_10002">#REF!</definedName>
    <definedName name="mes_10003">#REF!</definedName>
    <definedName name="mes_10005">#REF!</definedName>
    <definedName name="mes_40001">#REF!</definedName>
    <definedName name="mes_40002">#REF!</definedName>
    <definedName name="mes_40003">#REF!</definedName>
    <definedName name="mes_40004">#REF!</definedName>
    <definedName name="mes_40005">#REF!</definedName>
    <definedName name="mes_40006">#REF!</definedName>
    <definedName name="mes_40007">#REF!</definedName>
    <definedName name="mes_40008">#REF!</definedName>
    <definedName name="mes_40009">#REF!</definedName>
    <definedName name="mes_40010">#REF!</definedName>
    <definedName name="Metal_Battery_Cover_유동제어">#REF!</definedName>
    <definedName name="Metal_Dome_Guide">#REF!</definedName>
    <definedName name="Metal_Dome_Maker별_Spec._비교">#REF!</definedName>
    <definedName name="Metal_Dome_Maker별_Spec._비교_2">#REF!</definedName>
    <definedName name="Metal_Dome_Maker별_Spec._비교_3">#REF!</definedName>
    <definedName name="Metal_Dome_Maker별_Spec._비교_4">#REF!</definedName>
    <definedName name="Metal_표면_부착_규제">#REF!</definedName>
    <definedName name="Mg_Frame_Cover_적용_시_아래_표준_두께_적용_Guide">#REF!</definedName>
    <definedName name="Mic_Hole_Size_확인">#REF!</definedName>
    <definedName name="Micro_USB___Socket_Type_종류">#REF!</definedName>
    <definedName name="Micro_USB___신규_Socket_사양_1">#REF!</definedName>
    <definedName name="Micro_USB___신규_Socket_사양_2">#REF!</definedName>
    <definedName name="Micro_USB___신규_Socket_사양_3">#REF!</definedName>
    <definedName name="MicroSD_Cap_강도_보완_설계">#REF!</definedName>
    <definedName name="MicroSD_Cap_강도_보완_설계_2">#REF!</definedName>
    <definedName name="MicroSD_Cap_설계_Guide">#REF!</definedName>
    <definedName name="MicroSD_Cap_설계_Guide_2">#REF!</definedName>
    <definedName name="MicroSD_Cap_설계_Guide_3">#REF!</definedName>
    <definedName name="MicroSD_Cap_설계_Guide_4">#REF!</definedName>
    <definedName name="MicroSD_Cap의_작동방식">#REF!</definedName>
    <definedName name="MicroSD_Card_Hole_형상_Guide">#REF!</definedName>
    <definedName name="MicroSD_Card_Hole_형상_Guide_2">#REF!</definedName>
    <definedName name="MicroSD_Card_도피부_설계">#REF!</definedName>
    <definedName name="MicroSD_Card_및_Socket의_SPEC">#REF!</definedName>
    <definedName name="MicroSD_Card_위치_Guide">#REF!</definedName>
    <definedName name="MicroSD_Card의_깊이">#REF!</definedName>
    <definedName name="MicroSD_Push_Pull_Type_부_설계_표준화__매립형">#REF!</definedName>
    <definedName name="MicroSD부의_위치">#REF!</definedName>
    <definedName name="MM">#REF!</definedName>
    <definedName name="Mobile_S_W_종류와_규격">#REF!</definedName>
    <definedName name="Mobile_Switch_Hole에_Test_Plug가_삽입_확인">#REF!</definedName>
    <definedName name="Mobile_SW부_Finger_삭제_지양__권장">#REF!</definedName>
    <definedName name="Model_Suffix">#REF!</definedName>
    <definedName name="Module_가조립_Guide_Antenna부_Upper___Lower">#REF!</definedName>
    <definedName name="Motor_종류">#REF!</definedName>
    <definedName name="Moving부_X축__Y축_유동방지_구조">#REF!</definedName>
    <definedName name="Mura__무라">#REF!</definedName>
    <definedName name="NCVM_코팅_보호_설계_Guide">#REF!</definedName>
    <definedName name="NCVM_코팅_상단__R_R__사이에_평면구간_필요">#REF!</definedName>
    <definedName name="NCVM_코팅_영역과_EMI_영역간_Check">#REF!</definedName>
    <definedName name="NCVM_코팅_영역과_EMI_영역간_Check2">#REF!</definedName>
    <definedName name="NEW" hidden="1">#REF!</definedName>
    <definedName name="NFC_Ant_CIC_문구_적용_Process">#REF!</definedName>
    <definedName name="NFC_Antenna._주의_문구_설계_Guide">#REF!</definedName>
    <definedName name="NFC_C_Clip_설계_표준화_Check">#REF!</definedName>
    <definedName name="NFC_Contact_단자_부_접점_신뢰성은_확보_Check">#REF!</definedName>
    <definedName name="NFC_Contact_단자부_접점_Hook">#REF!</definedName>
    <definedName name="NN" hidden="1">#REF!,#REF!,#REF!</definedName>
    <definedName name="Normal_Type_Hinge">#REF!</definedName>
    <definedName name="nouvelle_feuille">"VDO대책.XLS"</definedName>
    <definedName name="O">#REF!</definedName>
    <definedName name="OO" hidden="1">#REF!</definedName>
    <definedName name="OPAMP">#REF!</definedName>
    <definedName name="P999__DC_DC_불량_분석_1_2">#REF!</definedName>
    <definedName name="P999__DC_DC_불량_분석_2_2">#REF!</definedName>
    <definedName name="Pad_압축률_고려하여_Pad_두께__재질_선정_검토">#REF!</definedName>
    <definedName name="Pad_종류별_Spec">#REF!</definedName>
    <definedName name="Parting_Line___이하_P_L__선정">#REF!</definedName>
    <definedName name="Parting_Line_Guide">#REF!</definedName>
    <definedName name="Parting_Line_Guide_2">#REF!</definedName>
    <definedName name="Parting_Line부_모서리_날카로움">#REF!</definedName>
    <definedName name="path_xla">"C:\SYS\WINDOWS\TEMP"</definedName>
    <definedName name="PC_Mold_Key_Guide">#REF!</definedName>
    <definedName name="PC_Sheet_Key_Guide">#REF!</definedName>
    <definedName name="PCB___DOME_Sheet_구조">#REF!</definedName>
    <definedName name="PCB___Front_Cover_체결_Guide">#REF!</definedName>
    <definedName name="PCB_Contact_부위_설계_Guide">#REF!</definedName>
    <definedName name="PCB_Contact의_배치">#REF!</definedName>
    <definedName name="PCB_SR_OPEN영역과_Finger부_Gap_Check">#REF!</definedName>
    <definedName name="PCB_조립시_간섭에_의한_부품_손상_Check">#REF!</definedName>
    <definedName name="PCB_조립시_간섭에_의한_부품_손상_Check_2">#REF!</definedName>
    <definedName name="PCB_조립시_간섭에_의한_부품_손상_Check_3">#REF!</definedName>
    <definedName name="PCB의_배치">#REF!</definedName>
    <definedName name="Phone_Set별_Gap_설계_Guide">#REF!</definedName>
    <definedName name="Phone_개폐_시_Stopping_구조_확인">#REF!</definedName>
    <definedName name="Phone_비틀림_강성_정도_측정">#REF!</definedName>
    <definedName name="Phone_외곽과_Plug간_Gap">#REF!</definedName>
    <definedName name="PLAN">#REF!</definedName>
    <definedName name="POL">#REF!</definedName>
    <definedName name="PP" hidden="1">#REF!,#REF!,#REF!,#REF!</definedName>
    <definedName name="_xlnm.Print_Area">#REF!</definedName>
    <definedName name="PRINT_AREA_MI">#REF!</definedName>
    <definedName name="Printing_Area_Bezel____Receiver_hole에서_외곽까지_거리">#REF!</definedName>
    <definedName name="pull_type_hook_위치_4">#REF!</definedName>
    <definedName name="PWMIC">#REF!</definedName>
    <definedName name="Q_Folder_FPCB_절곡부_형상_표준화_Guide">#REF!</definedName>
    <definedName name="Q_Slide_Main_FPCB_Type1__절곡부_형상_표준화_Guide">#REF!</definedName>
    <definedName name="qaz" hidden="1">#REF!</definedName>
    <definedName name="qq">#REF!</definedName>
    <definedName name="qqqq" hidden="1">#REF!,#REF!,#REF!</definedName>
    <definedName name="QS" localSheetId="0" hidden="1">{#N/A,#N/A,FALSE,"P.C.B"}</definedName>
    <definedName name="QS" localSheetId="3" hidden="1">{#N/A,#N/A,FALSE,"P.C.B"}</definedName>
    <definedName name="QS" localSheetId="2" hidden="1">{#N/A,#N/A,FALSE,"P.C.B"}</definedName>
    <definedName name="QS" localSheetId="1" hidden="1">{#N/A,#N/A,FALSE,"P.C.B"}</definedName>
    <definedName name="QS" hidden="1">{#N/A,#N/A,FALSE,"P.C.B"}</definedName>
    <definedName name="qwew">#REF!</definedName>
    <definedName name="QWWE" localSheetId="0" hidden="1">{#N/A,#N/A,FALSE,"P.C.B"}</definedName>
    <definedName name="QWWE" localSheetId="3" hidden="1">{#N/A,#N/A,FALSE,"P.C.B"}</definedName>
    <definedName name="QWWE" localSheetId="2" hidden="1">{#N/A,#N/A,FALSE,"P.C.B"}</definedName>
    <definedName name="QWWE" localSheetId="1" hidden="1">{#N/A,#N/A,FALSE,"P.C.B"}</definedName>
    <definedName name="QWWE" hidden="1">{#N/A,#N/A,FALSE,"P.C.B"}</definedName>
    <definedName name="rbar">#REF!</definedName>
    <definedName name="REAL">#REF!</definedName>
    <definedName name="Rear___Batter_Cover간_Gap">#REF!</definedName>
    <definedName name="rear_btcover_gap">#REF!</definedName>
    <definedName name="Rear_Cover_Hole_Batt._형합부_로의_유입_억제">#REF!</definedName>
    <definedName name="Rear_Cover_Hole_Batt._형합부_로의_유입_억제_2">#REF!</definedName>
    <definedName name="Rear_Cover_돌기_구조를_이용한_외관_Scratch_방지_Tape_삭제">#REF!</definedName>
    <definedName name="Receiver_Deco부_Grill의_배열_정열">#REF!</definedName>
    <definedName name="Receiver_부_설계_Guide">#REF!</definedName>
    <definedName name="RES">#REF!</definedName>
    <definedName name="Resin_선택_검토">#REF!</definedName>
    <definedName name="rfv" hidden="1">#REF!,#REF!,#REF!</definedName>
    <definedName name="Rib_적용_불빛샘_참고_모델">#REF!</definedName>
    <definedName name="Round__R_만곡부_에_P_L_구조">#REF!</definedName>
    <definedName name="RSDFG" localSheetId="0" hidden="1">{#N/A,#N/A,FALSE,"P.C.B"}</definedName>
    <definedName name="RSDFG" localSheetId="3" hidden="1">{#N/A,#N/A,FALSE,"P.C.B"}</definedName>
    <definedName name="RSDFG" localSheetId="2" hidden="1">{#N/A,#N/A,FALSE,"P.C.B"}</definedName>
    <definedName name="RSDFG" localSheetId="1" hidden="1">{#N/A,#N/A,FALSE,"P.C.B"}</definedName>
    <definedName name="RSDFG" hidden="1">{#N/A,#N/A,FALSE,"P.C.B"}</definedName>
    <definedName name="Rubber_Base부_재질_및_두께">#REF!</definedName>
    <definedName name="Rubber_Guide">#REF!</definedName>
    <definedName name="Rubber_구조_Check">#REF!</definedName>
    <definedName name="S" localSheetId="0" hidden="1">{#N/A,#N/A,FALSE,"P.C.B"}</definedName>
    <definedName name="S" localSheetId="3" hidden="1">{#N/A,#N/A,FALSE,"P.C.B"}</definedName>
    <definedName name="S" localSheetId="2" hidden="1">{#N/A,#N/A,FALSE,"P.C.B"}</definedName>
    <definedName name="S" localSheetId="1" hidden="1">{#N/A,#N/A,FALSE,"P.C.B"}</definedName>
    <definedName name="S" hidden="1">{#N/A,#N/A,FALSE,"P.C.B"}</definedName>
    <definedName name="Sample">#REF!</definedName>
    <definedName name="Screw_Hole_위치_확인">#REF!</definedName>
    <definedName name="Screw_Hole_형합_구조_확인">#REF!</definedName>
    <definedName name="Screw_조립_방식_Optional">#REF!</definedName>
    <definedName name="SDAS" localSheetId="0" hidden="1">{#N/A,#N/A,FALSE,"P.C.B"}</definedName>
    <definedName name="SDAS" localSheetId="3" hidden="1">{#N/A,#N/A,FALSE,"P.C.B"}</definedName>
    <definedName name="SDAS" localSheetId="2" hidden="1">{#N/A,#N/A,FALSE,"P.C.B"}</definedName>
    <definedName name="SDAS" localSheetId="1" hidden="1">{#N/A,#N/A,FALSE,"P.C.B"}</definedName>
    <definedName name="SDAS" hidden="1">{#N/A,#N/A,FALSE,"P.C.B"}</definedName>
    <definedName name="SDFA" localSheetId="0" hidden="1">{#N/A,#N/A,FALSE,"P.C.B"}</definedName>
    <definedName name="SDFA" localSheetId="3" hidden="1">{#N/A,#N/A,FALSE,"P.C.B"}</definedName>
    <definedName name="SDFA" localSheetId="2" hidden="1">{#N/A,#N/A,FALSE,"P.C.B"}</definedName>
    <definedName name="SDFA" localSheetId="1" hidden="1">{#N/A,#N/A,FALSE,"P.C.B"}</definedName>
    <definedName name="SDFA" hidden="1">{#N/A,#N/A,FALSE,"P.C.B"}</definedName>
    <definedName name="sdfb" localSheetId="0" hidden="1">{#N/A,#N/A,FALSE,"P.C.B"}</definedName>
    <definedName name="sdfb" localSheetId="3" hidden="1">{#N/A,#N/A,FALSE,"P.C.B"}</definedName>
    <definedName name="sdfb" localSheetId="2" hidden="1">{#N/A,#N/A,FALSE,"P.C.B"}</definedName>
    <definedName name="sdfb" localSheetId="1" hidden="1">{#N/A,#N/A,FALSE,"P.C.B"}</definedName>
    <definedName name="sdfb" hidden="1">{#N/A,#N/A,FALSE,"P.C.B"}</definedName>
    <definedName name="SDFS" localSheetId="0" hidden="1">{#N/A,#N/A,FALSE,"P.C.B"}</definedName>
    <definedName name="SDFS" localSheetId="3" hidden="1">{#N/A,#N/A,FALSE,"P.C.B"}</definedName>
    <definedName name="SDFS" localSheetId="2" hidden="1">{#N/A,#N/A,FALSE,"P.C.B"}</definedName>
    <definedName name="SDFS" localSheetId="1" hidden="1">{#N/A,#N/A,FALSE,"P.C.B"}</definedName>
    <definedName name="SDFS" hidden="1">{#N/A,#N/A,FALSE,"P.C.B"}</definedName>
    <definedName name="SDFSDF" localSheetId="0" hidden="1">{#N/A,#N/A,FALSE,"P.C.B"}</definedName>
    <definedName name="SDFSDF" localSheetId="3" hidden="1">{#N/A,#N/A,FALSE,"P.C.B"}</definedName>
    <definedName name="SDFSDF" localSheetId="2" hidden="1">{#N/A,#N/A,FALSE,"P.C.B"}</definedName>
    <definedName name="SDFSDF" localSheetId="1" hidden="1">{#N/A,#N/A,FALSE,"P.C.B"}</definedName>
    <definedName name="SDFSDF" hidden="1">{#N/A,#N/A,FALSE,"P.C.B"}</definedName>
    <definedName name="SDFSDFSDF" localSheetId="0" hidden="1">{#N/A,#N/A,FALSE,"P.C.B"}</definedName>
    <definedName name="SDFSDFSDF" localSheetId="3" hidden="1">{#N/A,#N/A,FALSE,"P.C.B"}</definedName>
    <definedName name="SDFSDFSDF" localSheetId="2" hidden="1">{#N/A,#N/A,FALSE,"P.C.B"}</definedName>
    <definedName name="SDFSDFSDF" localSheetId="1" hidden="1">{#N/A,#N/A,FALSE,"P.C.B"}</definedName>
    <definedName name="SDFSDFSDF" hidden="1">{#N/A,#N/A,FALSE,"P.C.B"}</definedName>
    <definedName name="SDFSFS" localSheetId="0" hidden="1">{#N/A,#N/A,FALSE,"P.C.B"}</definedName>
    <definedName name="SDFSFS" localSheetId="3" hidden="1">{#N/A,#N/A,FALSE,"P.C.B"}</definedName>
    <definedName name="SDFSFS" localSheetId="2" hidden="1">{#N/A,#N/A,FALSE,"P.C.B"}</definedName>
    <definedName name="SDFSFS" localSheetId="1" hidden="1">{#N/A,#N/A,FALSE,"P.C.B"}</definedName>
    <definedName name="SDFSFS" hidden="1">{#N/A,#N/A,FALSE,"P.C.B"}</definedName>
    <definedName name="SDIC">#REF!</definedName>
    <definedName name="season">#REF!</definedName>
    <definedName name="Sensor_Cap_의_Hole_구조_표준화">#REF!</definedName>
    <definedName name="Set_내부_공간_확보_Z축">#REF!</definedName>
    <definedName name="Sheet_Type_표준_형상">#REF!</definedName>
    <definedName name="Shield_CAN_Clip_형상을_통한_GND_Contact">#REF!</definedName>
    <definedName name="Shield_can_cover의_Shielding_구조_Check">#REF!</definedName>
    <definedName name="Shield_can_cover의_조립_Check">#REF!</definedName>
    <definedName name="Shield_Can_Hook_위치_Check">#REF!</definedName>
    <definedName name="Shield_Can_Size_및_Shield_Can_Tilt_방지_구조">#REF!</definedName>
    <definedName name="Shield_Can_Type별_공차">#REF!</definedName>
    <definedName name="Shield_Can_Type별_특징">#REF!</definedName>
    <definedName name="Shield_Can_내부에_EMBO_형상_추가_권장">#REF!</definedName>
    <definedName name="SHIELD_CAN_압박_구조_설계___권장">#REF!</definedName>
    <definedName name="Shield_Can_영역_위치_및_타_부품간_gap">#REF!</definedName>
    <definedName name="Shield_can_와_pcb간_형합_및_repair_구조_Check">#REF!</definedName>
    <definedName name="Shield_can_와_pcb간_형합_및_repair_구조_Check_2">#REF!</definedName>
    <definedName name="Shield_can_와_pcb간_형합_및_repair_구조_Check_3">#REF!</definedName>
    <definedName name="Shield_can_와_pcb간_형합_및_repair_구조_Check4">#REF!</definedName>
    <definedName name="Shield_can_의_cover와_wall의_구조_Check">#REF!</definedName>
    <definedName name="Shield_can_의_cover와_wall의_구조_Check2">#REF!</definedName>
    <definedName name="Shield_can_의_pcb_조립_구조_Check">#REF!</definedName>
    <definedName name="Shield_can_의_repair_구조_Check">#REF!</definedName>
    <definedName name="Shield_can_의_SMT_용이한_구조_Check">#REF!</definedName>
    <definedName name="Shield_Can_재질_선정">#REF!</definedName>
    <definedName name="Shield_Can_재질_선정2">#REF!</definedName>
    <definedName name="Shield_Clip_의_SMT_구조_0.8H_Clip">#REF!</definedName>
    <definedName name="Shield_Clip_의_SMT_구조_1.2H_Clip">#REF!</definedName>
    <definedName name="Shield_영역_위치_및_타_부품간_gap_Check">#REF!</definedName>
    <definedName name="SHIN" localSheetId="0" hidden="1">{#N/A,#N/A,FALSE,"P.C.B"}</definedName>
    <definedName name="SHIN" localSheetId="3" hidden="1">{#N/A,#N/A,FALSE,"P.C.B"}</definedName>
    <definedName name="SHIN" localSheetId="2" hidden="1">{#N/A,#N/A,FALSE,"P.C.B"}</definedName>
    <definedName name="SHIN" localSheetId="1" hidden="1">{#N/A,#N/A,FALSE,"P.C.B"}</definedName>
    <definedName name="SHIN" hidden="1">{#N/A,#N/A,FALSE,"P.C.B"}</definedName>
    <definedName name="Side_Button_Actuator_위치">#REF!</definedName>
    <definedName name="Side_Deco_조립_시_Gap_발생_검토_관련">#REF!</definedName>
    <definedName name="Side_Key_Actuator_위치_및_사양">#REF!</definedName>
    <definedName name="Side_Key_Actuator_편심에_의한_Click감_저하_Check">#REF!</definedName>
    <definedName name="Side_Key_Actuator_편심에_의한_Click감_저하_Check_2">#REF!</definedName>
    <definedName name="Side_Key_FPCB_고정용_양면_Tape_삭제">#REF!</definedName>
    <definedName name="Side_Key_FPCB_조립부_구배값_및_Gap">#REF!</definedName>
    <definedName name="Side_Key_고정_구조">#REF!</definedName>
    <definedName name="Side_Key_납땜부_표준화_2">#REF!</definedName>
    <definedName name="Side_Key_납땜부_표준화_권장">#REF!</definedName>
    <definedName name="Side_Key_손잡이_설계_Guide">#REF!</definedName>
    <definedName name="Side_Key_주변부_Guide">#REF!</definedName>
    <definedName name="Side_Key_주변부_Guide__Tact_Type">#REF!</definedName>
    <definedName name="Side_Key_주변부_Guide_2">#REF!</definedName>
    <definedName name="Side_Key_주변부_Guide_2__Tact_Type">#REF!</definedName>
    <definedName name="Side_Key_진동_Noise_방지_구조를_적용할_것_권장사항">#REF!</definedName>
    <definedName name="Side_Key부의_위치_Check">#REF!</definedName>
    <definedName name="Side_Key의_외관_형상">#REF!</definedName>
    <definedName name="Side_Slide_Hinge_Type_Check사항">#REF!</definedName>
    <definedName name="Side_Slide_Hinge_Type_FPCB_Check">#REF!</definedName>
    <definedName name="Side_Slide_Hinge_Type_확인">#REF!</definedName>
    <definedName name="Side_Slide_Type_Gap_Guide">#REF!</definedName>
    <definedName name="Signal_Pin__Assignment_Guide">#REF!</definedName>
    <definedName name="SIM_Card_사용_중_빠질_경우_인식이_여부_Check__비표준">#REF!</definedName>
    <definedName name="Sim_Card_종류">#REF!</definedName>
    <definedName name="SIM_Card_탈.착_시_주위_구조물과_간섭_Check__비표준">#REF!</definedName>
    <definedName name="SIM_Card_탈.착_시_주위_구조물과_간섭_Check_2__비표준">#REF!</definedName>
    <definedName name="Sim_Card부__탈.착_방식">#REF!</definedName>
    <definedName name="Sim_Card부_Gap_구조">#REF!</definedName>
    <definedName name="Sim_Card부_Gap_구조_2">#REF!</definedName>
    <definedName name="Sim_Card부_Gap_구조_적용__비표준">#REF!</definedName>
    <definedName name="Sim_Card부_부품실장_금지영역">#REF!</definedName>
    <definedName name="Sim_Card부_빼기_홈_구조__비표준">#REF!</definedName>
    <definedName name="Sim_Card부_위치">#REF!</definedName>
    <definedName name="Sim_Card부_위치_2">#REF!</definedName>
    <definedName name="Sim_Card부_위치_3__비표준">#REF!</definedName>
    <definedName name="Sim_Card의_도피_구조">#REF!</definedName>
    <definedName name="Sim_Card의_오삽입_방지">#REF!</definedName>
    <definedName name="Sim_Card의_오삽입_방지_2__비표준">#REF!</definedName>
    <definedName name="Sim_Card의_착.탈_구조">#REF!</definedName>
    <definedName name="Sim_Card의_착.탈_구조_2">#REF!</definedName>
    <definedName name="Sim_Card의_착.탈_구조_3">#REF!</definedName>
    <definedName name="Sim_Card의_착.탈_구조_4">#REF!</definedName>
    <definedName name="Sim_Card의_착.탈_방향">#REF!</definedName>
    <definedName name="Sim_Card의_착.탈시_간섭_Check">#REF!</definedName>
    <definedName name="SIM_카드_삽입_후_외부_돌출량이_작아_탈착_시_빼기_여부_Check_비표준">#REF!</definedName>
    <definedName name="Sim부_위치">#REF!</definedName>
    <definedName name="Skirt_형상">#REF!</definedName>
    <definedName name="Slide_Core_Line_외관_노출_방지_적용_설계_Guide">#REF!</definedName>
    <definedName name="Slide_Hinge_표준화_선정_배경">#REF!</definedName>
    <definedName name="Slide_Hook_Rib_배치">#REF!</definedName>
    <definedName name="Slide_Hook_Rib_배치2">#REF!</definedName>
    <definedName name="Slide_Hook_설계_Guide">#REF!</definedName>
    <definedName name="Slide_Hook_설계_Guide_2">#REF!</definedName>
    <definedName name="Slide_Hook_설계_Guide_3">#REF!</definedName>
    <definedName name="Slide_Main_FPCB_절곡부_형상_표준화_Guide">#REF!</definedName>
    <definedName name="Slide_P_L_구조">#REF!</definedName>
    <definedName name="Slide_Type_Gap_Guide">#REF!</definedName>
    <definedName name="Slide_Type_Gap_Guide_2">#REF!</definedName>
    <definedName name="Slide_Type의_Hook_체결_방식">#REF!</definedName>
    <definedName name="Slide_모델_FPCB_구동부_Pattern_적층_분석_내용">#REF!</definedName>
    <definedName name="Slide_모델의_GW_10mm_이하_관리_Check">#REF!</definedName>
    <definedName name="SMT형_C_clip_을_통한_GND_Contact">#REF!</definedName>
    <definedName name="Socket_보임_방지_구조">#REF!</definedName>
    <definedName name="SOON" localSheetId="0" hidden="1">{#N/A,#N/A,FALSE,"P.C.B"}</definedName>
    <definedName name="SOON" localSheetId="3" hidden="1">{#N/A,#N/A,FALSE,"P.C.B"}</definedName>
    <definedName name="SOON" localSheetId="2" hidden="1">{#N/A,#N/A,FALSE,"P.C.B"}</definedName>
    <definedName name="SOON" localSheetId="1" hidden="1">{#N/A,#N/A,FALSE,"P.C.B"}</definedName>
    <definedName name="SOON" hidden="1">{#N/A,#N/A,FALSE,"P.C.B"}</definedName>
    <definedName name="Speaker_Deco_이탈방지">#REF!</definedName>
    <definedName name="Speaker_공명공간별_성능_분석">#REF!</definedName>
    <definedName name="Speaker_안착부_권장_치수">#REF!</definedName>
    <definedName name="Speaker_전면_개구율">#REF!</definedName>
    <definedName name="Speaker_전면_공명공간_Check">#REF!</definedName>
    <definedName name="Speaker_형합부_치수_Check">#REF!</definedName>
    <definedName name="Speaker음의_누설_방지_구조">#REF!</definedName>
    <definedName name="SPWB">#REF!</definedName>
    <definedName name="SSSSS" localSheetId="0" hidden="1">{#N/A,#N/A,FALSE,"P.C.B"}</definedName>
    <definedName name="SSSSS" localSheetId="3" hidden="1">{#N/A,#N/A,FALSE,"P.C.B"}</definedName>
    <definedName name="SSSSS" localSheetId="2" hidden="1">{#N/A,#N/A,FALSE,"P.C.B"}</definedName>
    <definedName name="SSSSS" localSheetId="1" hidden="1">{#N/A,#N/A,FALSE,"P.C.B"}</definedName>
    <definedName name="SSSSS" hidden="1">{#N/A,#N/A,FALSE,"P.C.B"}</definedName>
    <definedName name="SSSSSSSSSSSSSS" localSheetId="0" hidden="1">{#N/A,#N/A,FALSE,"P.C.B"}</definedName>
    <definedName name="SSSSSSSSSSSSSS" localSheetId="3" hidden="1">{#N/A,#N/A,FALSE,"P.C.B"}</definedName>
    <definedName name="SSSSSSSSSSSSSS" localSheetId="2" hidden="1">{#N/A,#N/A,FALSE,"P.C.B"}</definedName>
    <definedName name="SSSSSSSSSSSSSS" localSheetId="1" hidden="1">{#N/A,#N/A,FALSE,"P.C.B"}</definedName>
    <definedName name="SSSSSSSSSSSSSS" hidden="1">{#N/A,#N/A,FALSE,"P.C.B"}</definedName>
    <definedName name="steel" localSheetId="0" hidden="1">{#N/A,#N/A,FALSE,"자재관리";#N/A,#N/A,FALSE,"자재관리";#N/A,#N/A,FALSE,"자재관리"}</definedName>
    <definedName name="steel" localSheetId="3" hidden="1">{#N/A,#N/A,FALSE,"자재관리";#N/A,#N/A,FALSE,"자재관리";#N/A,#N/A,FALSE,"자재관리"}</definedName>
    <definedName name="steel" localSheetId="2" hidden="1">{#N/A,#N/A,FALSE,"자재관리";#N/A,#N/A,FALSE,"자재관리";#N/A,#N/A,FALSE,"자재관리"}</definedName>
    <definedName name="steel" localSheetId="1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topper_고정_부위_형상_검토">#REF!</definedName>
    <definedName name="Stopper_구조_설계_Guide">#REF!</definedName>
    <definedName name="Stopper_구조_설계_Guide_2">#REF!</definedName>
    <definedName name="Stopper_모델별_설계_치수">#REF!</definedName>
    <definedName name="Stopper_체결후_빠짐_Check">#REF!</definedName>
    <definedName name="Stopper_체결후_유동_및_Gap">#REF!</definedName>
    <definedName name="Stroke_선정_기준__권장안">#REF!</definedName>
    <definedName name="StrucName" comment="=offset(Frame!$F$5,0,0,COUNTA(Frame!$F:$F),1)">OFFSET(#REF!,0,0,COUNTA(#REF!),1)</definedName>
    <definedName name="STS_Key_Guide">#REF!</definedName>
    <definedName name="STS_Key_Guide_2">#REF!</definedName>
    <definedName name="Stylus_사양_적용_시_고려_사항">#REF!</definedName>
    <definedName name="Stylus_사양_적용_시_고려_사항_2">#REF!</definedName>
    <definedName name="SU640_White_근접센서_불량_개선">#REF!</definedName>
    <definedName name="sys_downFolder">#REF!</definedName>
    <definedName name="sys_editFolder">#REF!</definedName>
    <definedName name="sys_inqFolder">#REF!</definedName>
    <definedName name="sys_password">#REF!</definedName>
    <definedName name="sys_serverUrl">#REF!</definedName>
    <definedName name="sys_templateFolder">#REF!</definedName>
    <definedName name="sys_templateKey">#REF!</definedName>
    <definedName name="sys_templateParam">#REF!</definedName>
    <definedName name="sys_templateRetrieve">#REF!</definedName>
    <definedName name="t" localSheetId="0" hidden="1">{#N/A,#N/A,TRUE,"자재관리";#N/A,#N/A,TRUE,"품질"}</definedName>
    <definedName name="t" localSheetId="3" hidden="1">{#N/A,#N/A,TRUE,"자재관리";#N/A,#N/A,TRUE,"품질"}</definedName>
    <definedName name="t" localSheetId="2" hidden="1">{#N/A,#N/A,TRUE,"자재관리";#N/A,#N/A,TRUE,"품질"}</definedName>
    <definedName name="t" localSheetId="1" hidden="1">{#N/A,#N/A,TRUE,"자재관리";#N/A,#N/A,TRUE,"품질"}</definedName>
    <definedName name="t" hidden="1">{#N/A,#N/A,TRUE,"자재관리";#N/A,#N/A,TRUE,"품질"}</definedName>
    <definedName name="T_W_Sensor_Bezel_Size_D__검토">#REF!</definedName>
    <definedName name="T_Window_FPCB___Button_Key">#REF!</definedName>
    <definedName name="T_Window_Hole_내부_디자인_Deco_Guide_및_하단부_별도_Key_적용_Guide">#REF!</definedName>
    <definedName name="T_Window_Tolerance_and_Corner_R">#REF!</definedName>
    <definedName name="T_Window_내부_Through_Hole_및_조도_및_근접_센서__Camera_Hole__FPCB_위치_Guide">#REF!</definedName>
    <definedName name="TABLE">#REF!</definedName>
    <definedName name="Tact_Switch_돌출량_PCB외곽_기준_은_Side_Key_동작_조건_및_조립_공차를_고려">#REF!</definedName>
    <definedName name="Tact_Switch_부품_사양__Soldering_Pattern">#REF!</definedName>
    <definedName name="Tact_Switch_부품_현황">#REF!</definedName>
    <definedName name="Tapping_Screw_권장_형상">#REF!</definedName>
    <definedName name="Tapping_Screw_도면">#REF!</definedName>
    <definedName name="Tapping_Screw_재질__길이에_따른_신뢰성_검증">#REF!</definedName>
    <definedName name="Tapping_Screw_적용_Guide">#REF!</definedName>
    <definedName name="Tapping_Screw_체결_시_풀림_Torque_측정_결과">#REF!</definedName>
    <definedName name="TFT＿Sub_In" localSheetId="0" hidden="1">#REF!,#REF!,#REF!</definedName>
    <definedName name="TFT＿Sub_In" localSheetId="3" hidden="1">#REF!,#REF!,#REF!</definedName>
    <definedName name="TFT＿Sub_In" localSheetId="2" hidden="1">#REF!,#REF!,#REF!</definedName>
    <definedName name="TFT＿Sub_In" localSheetId="1" hidden="1">#REF!,#REF!,#REF!</definedName>
    <definedName name="TFT＿Sub_In" hidden="1">#REF!,#REF!,#REF!</definedName>
    <definedName name="tgb" hidden="1">#REF!,#REF!,#REF!</definedName>
    <definedName name="TMDS">#REF!</definedName>
    <definedName name="TOP">#REF!</definedName>
    <definedName name="Total_USD_RMC">#REF!</definedName>
    <definedName name="Touch_Window__‘G’_치수_산출_방법">#REF!</definedName>
    <definedName name="Touch_Window__Sensor부_Size">#REF!</definedName>
    <definedName name="Touch_Window__Size_별_Ch._수__검토">#REF!</definedName>
    <definedName name="Touch_Window_단품_FPCB_부_Sealing_방안">#REF!</definedName>
    <definedName name="Touch_Window_부착_구조">#REF!</definedName>
    <definedName name="Touch_Window_인쇄부_Check_Front_Camera___근_조도센서">#REF!</definedName>
    <definedName name="Touch_Window_전체_및_각_Layer별_두께">#REF!</definedName>
    <definedName name="TT" hidden="1">#REF!,#REF!,#REF!,#REF!</definedName>
    <definedName name="Twin_Type_Hinge_설계_Guide">#REF!</definedName>
    <definedName name="Twin_Type_Hinge_형합부_설계_Guide">#REF!</definedName>
    <definedName name="T쓰리">#REF!</definedName>
    <definedName name="T쓰리GLS">#REF!</definedName>
    <definedName name="T원">#REF!</definedName>
    <definedName name="T원GLS">#REF!</definedName>
    <definedName name="T투">#REF!</definedName>
    <definedName name="T투GLS">#REF!</definedName>
    <definedName name="US" localSheetId="0" hidden="1">{#N/A,#N/A,FALSE,"P.C.B"}</definedName>
    <definedName name="US" localSheetId="3" hidden="1">{#N/A,#N/A,FALSE,"P.C.B"}</definedName>
    <definedName name="US" localSheetId="2" hidden="1">{#N/A,#N/A,FALSE,"P.C.B"}</definedName>
    <definedName name="US" localSheetId="1" hidden="1">{#N/A,#N/A,FALSE,"P.C.B"}</definedName>
    <definedName name="US" hidden="1">{#N/A,#N/A,FALSE,"P.C.B"}</definedName>
    <definedName name="UV_Molding_Guide">#REF!</definedName>
    <definedName name="ValRange">#REF!</definedName>
    <definedName name="VCAM" localSheetId="0" hidden="1">{#N/A,#N/A,FALSE,"P.C.B"}</definedName>
    <definedName name="VCAM" localSheetId="3" hidden="1">{#N/A,#N/A,FALSE,"P.C.B"}</definedName>
    <definedName name="VCAM" localSheetId="2" hidden="1">{#N/A,#N/A,FALSE,"P.C.B"}</definedName>
    <definedName name="VCAM" localSheetId="1" hidden="1">{#N/A,#N/A,FALSE,"P.C.B"}</definedName>
    <definedName name="VCAM" hidden="1">{#N/A,#N/A,FALSE,"P.C.B"}</definedName>
    <definedName name="VENDOR">#REF!</definedName>
    <definedName name="Vibrator_Motor의_형합부_치수_Guide__Coin__Linear_Type">#REF!</definedName>
    <definedName name="Vibrator_Motor의_형합부_치수_Guide__Coin_Type">#REF!</definedName>
    <definedName name="Vibrator_Motor의_형합부_치수_Guide__Cylinder_Type">#REF!</definedName>
    <definedName name="Vibrator_Motor의_형합부_치수_Guide_2__Cylinder_Type">#REF!</definedName>
    <definedName name="Volume_Button을_이용한_Quick_Memo_Button_설계_표준화">#REF!</definedName>
    <definedName name="Volume_Button을_이용한_Quick_memo_button_설계표준화_2">#REF!</definedName>
    <definedName name="VS930_Set_특성_Test_결과">#REF!</definedName>
    <definedName name="VT_Camera_부품_적용_현황">#REF!</definedName>
    <definedName name="VT_Camera_형합부_기본_구조">#REF!</definedName>
    <definedName name="VT_Camera_화각_설계_원리">#REF!</definedName>
    <definedName name="VT_Camera_화각_설계_원리_2">#REF!</definedName>
    <definedName name="W00" localSheetId="0" hidden="1">#REF!,#REF!,#REF!</definedName>
    <definedName name="W00" localSheetId="3" hidden="1">#REF!,#REF!,#REF!</definedName>
    <definedName name="W00" localSheetId="2" hidden="1">#REF!,#REF!,#REF!</definedName>
    <definedName name="W00" localSheetId="1" hidden="1">#REF!,#REF!,#REF!</definedName>
    <definedName name="W00" hidden="1">#REF!,#REF!,#REF!</definedName>
    <definedName name="Water_Damage_불량_시_LDI변색_및_제거_현황">#REF!</definedName>
    <definedName name="Water_Mark">#REF!</definedName>
    <definedName name="Water_Mark__Air_Path_Film_구조">#REF!</definedName>
    <definedName name="Water_Mark__Air_Path_Film_구조_2">#REF!</definedName>
    <definedName name="WER" localSheetId="0" hidden="1">{#N/A,#N/A,FALSE,"P.C.B"}</definedName>
    <definedName name="WER" localSheetId="3" hidden="1">{#N/A,#N/A,FALSE,"P.C.B"}</definedName>
    <definedName name="WER" localSheetId="2" hidden="1">{#N/A,#N/A,FALSE,"P.C.B"}</definedName>
    <definedName name="WER" localSheetId="1" hidden="1">{#N/A,#N/A,FALSE,"P.C.B"}</definedName>
    <definedName name="WER" hidden="1">{#N/A,#N/A,FALSE,"P.C.B"}</definedName>
    <definedName name="Window_Bezel_Structure">#REF!</definedName>
    <definedName name="Window_Bezel_Structure_세부구조">#REF!</definedName>
    <definedName name="Window_Bezel_Structure_세부구조_2">#REF!</definedName>
    <definedName name="Window_Bezel_운영안">#REF!</definedName>
    <definedName name="Window_Flash_광학설계_Lens_적용_기준">#REF!</definedName>
    <definedName name="Window_근접___조도_센서_인쇄부_설계_Guide">#REF!</definedName>
    <definedName name="Window_근접___조도_센서_인쇄부_설계_Guide_2">#REF!</definedName>
    <definedName name="Window_보호_Tape_CIC문구_적용_Process">#REF!</definedName>
    <definedName name="Window_보호비닐_설계_Guide">#REF!</definedName>
    <definedName name="Window_표준_두께">#REF!</definedName>
    <definedName name="WIZ4COM" localSheetId="0" hidden="1">{#N/A,#N/A,FALSE,"P.C.B"}</definedName>
    <definedName name="WIZ4COM" localSheetId="3" hidden="1">{#N/A,#N/A,FALSE,"P.C.B"}</definedName>
    <definedName name="WIZ4COM" localSheetId="2" hidden="1">{#N/A,#N/A,FALSE,"P.C.B"}</definedName>
    <definedName name="WIZ4COM" localSheetId="1" hidden="1">{#N/A,#N/A,FALSE,"P.C.B"}</definedName>
    <definedName name="WIZ4COM" hidden="1">{#N/A,#N/A,FALSE,"P.C.B"}</definedName>
    <definedName name="woodskin" localSheetId="0" hidden="1">{#N/A,#N/A,FALSE,"P.C.B"}</definedName>
    <definedName name="woodskin" localSheetId="3" hidden="1">{#N/A,#N/A,FALSE,"P.C.B"}</definedName>
    <definedName name="woodskin" localSheetId="2" hidden="1">{#N/A,#N/A,FALSE,"P.C.B"}</definedName>
    <definedName name="woodskin" localSheetId="1" hidden="1">{#N/A,#N/A,FALSE,"P.C.B"}</definedName>
    <definedName name="woodskin" hidden="1">{#N/A,#N/A,FALSE,"P.C.B"}</definedName>
    <definedName name="wrn.6월._.자재관리._.현황." localSheetId="0" hidden="1">{#N/A,#N/A,FALSE,"자재관리";#N/A,#N/A,FALSE,"자재관리";#N/A,#N/A,FALSE,"자재관리"}</definedName>
    <definedName name="wrn.6월._.자재관리._.현황." localSheetId="3" hidden="1">{#N/A,#N/A,FALSE,"자재관리";#N/A,#N/A,FALSE,"자재관리";#N/A,#N/A,FALSE,"자재관리"}</definedName>
    <definedName name="wrn.6월._.자재관리._.현황." localSheetId="2" hidden="1">{#N/A,#N/A,FALSE,"자재관리";#N/A,#N/A,FALSE,"자재관리";#N/A,#N/A,FALSE,"자재관리"}</definedName>
    <definedName name="wrn.6월._.자재관리._.현황." localSheetId="1" hidden="1">{#N/A,#N/A,FALSE,"자재관리";#N/A,#N/A,FALSE,"자재관리";#N/A,#N/A,FALSE,"자재관리"}</definedName>
    <definedName name="wrn.6월._.자재관리._.현황." hidden="1">{#N/A,#N/A,FALSE,"자재관리";#N/A,#N/A,FALSE,"자재관리";#N/A,#N/A,FALSE,"자재관리"}</definedName>
    <definedName name="wrn.chi._.tiÆt." localSheetId="0" hidden="1">{#N/A,#N/A,FALSE,"Chi tiÆt"}</definedName>
    <definedName name="wrn.chi._.tiÆt." localSheetId="3" hidden="1">{#N/A,#N/A,FALSE,"Chi tiÆt"}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hidden="1">{#N/A,#N/A,FALSE,"Chi tiÆt"}</definedName>
    <definedName name="wrn.COMPARISON." localSheetId="0" hidden="1">{"COMPARISON",#N/A,FALSE,"Sheet1"}</definedName>
    <definedName name="wrn.COMPARISON." localSheetId="3" hidden="1">{"COMPARISON",#N/A,FALSE,"Sheet1"}</definedName>
    <definedName name="wrn.COMPARISON." localSheetId="2" hidden="1">{"COMPARISON",#N/A,FALSE,"Sheet1"}</definedName>
    <definedName name="wrn.COMPARISON." localSheetId="1" hidden="1">{"COMPARISON",#N/A,FALSE,"Sheet1"}</definedName>
    <definedName name="wrn.COMPARISON." hidden="1">{"COMPARISON",#N/A,FALSE,"Sheet1"}</definedName>
    <definedName name="wrn.PCB원가계산." localSheetId="0" hidden="1">{#N/A,#N/A,FALSE,"P.C.B"}</definedName>
    <definedName name="wrn.PCB원가계산." localSheetId="3" hidden="1">{#N/A,#N/A,FALSE,"P.C.B"}</definedName>
    <definedName name="wrn.PCB원가계산." localSheetId="2" hidden="1">{#N/A,#N/A,FALSE,"P.C.B"}</definedName>
    <definedName name="wrn.PCB원가계산." localSheetId="1" hidden="1">{#N/A,#N/A,FALSE,"P.C.B"}</definedName>
    <definedName name="wrn.PCB원가계산." hidden="1">{#N/A,#N/A,FALSE,"P.C.B"}</definedName>
    <definedName name="wrn.REVISED." localSheetId="0" hidden="1">{"REVISED",#N/A,FALSE,"Sheet1"}</definedName>
    <definedName name="wrn.REVISED." localSheetId="3" hidden="1">{"REVISED",#N/A,FALSE,"Sheet1"}</definedName>
    <definedName name="wrn.REVISED." localSheetId="2" hidden="1">{"REVISED",#N/A,FALSE,"Sheet1"}</definedName>
    <definedName name="wrn.REVISED." localSheetId="1" hidden="1">{"REVISED",#N/A,FALSE,"Sheet1"}</definedName>
    <definedName name="wrn.REVISED." hidden="1">{"REVISED",#N/A,FALSE,"Sheet1"}</definedName>
    <definedName name="wrn.보고서." localSheetId="0" hidden="1">{#N/A,#N/A,TRUE,"자재관리";#N/A,#N/A,TRUE,"품질"}</definedName>
    <definedName name="wrn.보고서." localSheetId="3" hidden="1">{#N/A,#N/A,TRUE,"자재관리";#N/A,#N/A,TRUE,"품질"}</definedName>
    <definedName name="wrn.보고서." localSheetId="2" hidden="1">{#N/A,#N/A,TRUE,"자재관리";#N/A,#N/A,TRUE,"품질"}</definedName>
    <definedName name="wrn.보고서." localSheetId="1" hidden="1">{#N/A,#N/A,TRUE,"자재관리";#N/A,#N/A,TRUE,"품질"}</definedName>
    <definedName name="wrn.보고서." hidden="1">{#N/A,#N/A,TRUE,"자재관리";#N/A,#N/A,TRUE,"품질"}</definedName>
    <definedName name="WSEWE" localSheetId="0" hidden="1">{#N/A,#N/A,FALSE,"P.C.B"}</definedName>
    <definedName name="WSEWE" localSheetId="3" hidden="1">{#N/A,#N/A,FALSE,"P.C.B"}</definedName>
    <definedName name="WSEWE" localSheetId="2" hidden="1">{#N/A,#N/A,FALSE,"P.C.B"}</definedName>
    <definedName name="WSEWE" localSheetId="1" hidden="1">{#N/A,#N/A,FALSE,"P.C.B"}</definedName>
    <definedName name="WSEWE" hidden="1">{#N/A,#N/A,FALSE,"P.C.B"}</definedName>
    <definedName name="wsx" localSheetId="0" hidden="1">#REF!,#REF!,#REF!,#REF!</definedName>
    <definedName name="wsx" localSheetId="3" hidden="1">#REF!,#REF!,#REF!,#REF!</definedName>
    <definedName name="wsx" localSheetId="2" hidden="1">#REF!,#REF!,#REF!,#REF!</definedName>
    <definedName name="wsx" localSheetId="1" hidden="1">#REF!,#REF!,#REF!,#REF!</definedName>
    <definedName name="wsx" hidden="1">#REF!,#REF!,#REF!,#REF!</definedName>
    <definedName name="WWW" localSheetId="0" hidden="1">{#N/A,#N/A,FALSE,"P.C.B"}</definedName>
    <definedName name="WWW" localSheetId="3" hidden="1">{#N/A,#N/A,FALSE,"P.C.B"}</definedName>
    <definedName name="WWW" localSheetId="2" hidden="1">{#N/A,#N/A,FALSE,"P.C.B"}</definedName>
    <definedName name="WWW" localSheetId="1" hidden="1">{#N/A,#N/A,FALSE,"P.C.B"}</definedName>
    <definedName name="WWW" hidden="1">{#N/A,#N/A,FALSE,"P.C.B"}</definedName>
    <definedName name="X" localSheetId="0" hidden="1">{#N/A,#N/A,TRUE,"자재관리";#N/A,#N/A,TRUE,"품질"}</definedName>
    <definedName name="X" localSheetId="3" hidden="1">{#N/A,#N/A,TRUE,"자재관리";#N/A,#N/A,TRUE,"품질"}</definedName>
    <definedName name="X" localSheetId="2" hidden="1">{#N/A,#N/A,TRUE,"자재관리";#N/A,#N/A,TRUE,"품질"}</definedName>
    <definedName name="X" localSheetId="1" hidden="1">{#N/A,#N/A,TRUE,"자재관리";#N/A,#N/A,TRUE,"품질"}</definedName>
    <definedName name="X" hidden="1">{#N/A,#N/A,TRUE,"자재관리";#N/A,#N/A,TRUE,"품질"}</definedName>
    <definedName name="XBAR">#REF!</definedName>
    <definedName name="X축_유동_방지_구조_Guide">#REF!</definedName>
    <definedName name="X축_유동_방지_구조_적용">#REF!</definedName>
    <definedName name="Y">#REF!</definedName>
    <definedName name="Yes">#REF!</definedName>
    <definedName name="YN">#REF!</definedName>
    <definedName name="YYYY">#REF!</definedName>
    <definedName name="z_" localSheetId="0" hidden="1">#REF!,#REF!,#REF!</definedName>
    <definedName name="z_" localSheetId="3" hidden="1">#REF!,#REF!,#REF!</definedName>
    <definedName name="z_" localSheetId="2" hidden="1">#REF!,#REF!,#REF!</definedName>
    <definedName name="z_" localSheetId="1" hidden="1">#REF!,#REF!,#REF!</definedName>
    <definedName name="z_" hidden="1">#REF!,#REF!,#REF!</definedName>
    <definedName name="Z_385E821F_5861_4527_B467_DABD823AE6A8_.wvu.FilterData" hidden="1">#REF!</definedName>
    <definedName name="Z_84A18DAE_5E59_42F9_9BD2_6320F3FC2495_.wvu.Rows" hidden="1">#REF!</definedName>
    <definedName name="Z_9858B950_CFCD_11D4_A6D2_00508BC7FCD7_.wvu.Cols" hidden="1">#REF!,#REF!,#REF!,#REF!</definedName>
    <definedName name="Z_9858B950_CFCD_11D4_A6D2_00508BC7FCD7_.wvu.PrintArea" hidden="1">#REF!</definedName>
    <definedName name="Z_9858B950_CFCD_11D4_A6D2_00508BC7FCD7_.wvu.Rows" hidden="1">#REF!,#REF!,#REF!</definedName>
    <definedName name="Z_D5DCA881_BA8A_11D4_95D5_00508BC7A72F_.wvu.Rows" hidden="1">#REF!,#REF!,#REF!</definedName>
    <definedName name="Zip__Pin_Type_Connector_적용의_경우">#REF!</definedName>
    <definedName name="Z축_유동_방지_구조_Guide">#REF!</definedName>
    <definedName name="Z축_유동_방지_구조_확인">#REF!</definedName>
    <definedName name="π">PI()</definedName>
    <definedName name="Φ3.5_Earjack_부품_정보">#REF!</definedName>
    <definedName name="Φ3.5_Earjack_부품_정보_2">#REF!</definedName>
    <definedName name="ㄱ" localSheetId="0" hidden="1">{#N/A,#N/A,FALSE,"P.C.B"}</definedName>
    <definedName name="ㄱ" localSheetId="3" hidden="1">{#N/A,#N/A,FALSE,"P.C.B"}</definedName>
    <definedName name="ㄱ" localSheetId="2" hidden="1">{#N/A,#N/A,FALSE,"P.C.B"}</definedName>
    <definedName name="ㄱ" localSheetId="1" hidden="1">{#N/A,#N/A,FALSE,"P.C.B"}</definedName>
    <definedName name="ㄱ" hidden="1">{#N/A,#N/A,FALSE,"P.C.B"}</definedName>
    <definedName name="ㄱㅂ" localSheetId="0" hidden="1">{#N/A,#N/A,FALSE,"P.C.B"}</definedName>
    <definedName name="ㄱㅂ" localSheetId="3" hidden="1">{#N/A,#N/A,FALSE,"P.C.B"}</definedName>
    <definedName name="ㄱㅂ" localSheetId="2" hidden="1">{#N/A,#N/A,FALSE,"P.C.B"}</definedName>
    <definedName name="ㄱㅂ" localSheetId="1" hidden="1">{#N/A,#N/A,FALSE,"P.C.B"}</definedName>
    <definedName name="ㄱㅂ" hidden="1">{#N/A,#N/A,FALSE,"P.C.B"}</definedName>
    <definedName name="가" localSheetId="0" hidden="1">{#N/A,#N/A,FALSE,"자재관리";#N/A,#N/A,FALSE,"자재관리";#N/A,#N/A,FALSE,"자재관리"}</definedName>
    <definedName name="가" localSheetId="3" hidden="1">{#N/A,#N/A,FALSE,"자재관리";#N/A,#N/A,FALSE,"자재관리";#N/A,#N/A,FALSE,"자재관리"}</definedName>
    <definedName name="가" localSheetId="2" hidden="1">{#N/A,#N/A,FALSE,"자재관리";#N/A,#N/A,FALSE,"자재관리";#N/A,#N/A,FALSE,"자재관리"}</definedName>
    <definedName name="가" localSheetId="1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각_Cell_별_Rib류_위치_Guide">#REF!</definedName>
    <definedName name="각CELL별_RIB위치">#REF!</definedName>
    <definedName name="각인_사양_및_위치_Check">#REF!</definedName>
    <definedName name="각종_구조물_도피_확인" localSheetId="0">#REF!+#REF!</definedName>
    <definedName name="각종_구조물_도피_확인" localSheetId="3">#REF!+#REF!</definedName>
    <definedName name="각종_구조물_도피_확인" localSheetId="2">#REF!+#REF!</definedName>
    <definedName name="각종_구조물_도피_확인" localSheetId="1">#REF!+#REF!</definedName>
    <definedName name="각종_구조물_도피_확인">#REF!+#REF!</definedName>
    <definedName name="각종_구조물_도피_확인_1">#REF!</definedName>
    <definedName name="강화유리_Hole_가공">#REF!</definedName>
    <definedName name="강화유리_Window_가공부_형상">#REF!</definedName>
    <definedName name="검" localSheetId="0" hidden="1">{#N/A,#N/A,FALSE,"P.C.B"}</definedName>
    <definedName name="검" localSheetId="3" hidden="1">{#N/A,#N/A,FALSE,"P.C.B"}</definedName>
    <definedName name="검" localSheetId="2" hidden="1">{#N/A,#N/A,FALSE,"P.C.B"}</definedName>
    <definedName name="검" localSheetId="1" hidden="1">{#N/A,#N/A,FALSE,"P.C.B"}</definedName>
    <definedName name="검" hidden="1">{#N/A,#N/A,FALSE,"P.C.B"}</definedName>
    <definedName name="경비G1">#REF!</definedName>
    <definedName name="고전압_Battery_방수적용_시_Swelling_Gap">#REF!</definedName>
    <definedName name="고정_부_두께_Guide">#REF!</definedName>
    <definedName name="고정부_설계_Guide">#REF!</definedName>
    <definedName name="고정부_설계_Guide_2">#REF!</definedName>
    <definedName name="고정부_위치">#REF!</definedName>
    <definedName name="고정부에_Stopper_체결시의_체결력">#REF!</definedName>
    <definedName name="그라스" hidden="1">#REF!</definedName>
    <definedName name="근접___조도_Sensor_주변부_기본_구조">#REF!</definedName>
    <definedName name="근접_Sensor_주변부_설계__Air_Gap___0.5mm일_경우">#REF!</definedName>
    <definedName name="근접_Sensor_주변부_설계__Air_Gap_0.5___2.0mm일_경우">#REF!</definedName>
    <definedName name="근접_및_조도_센서부">#REF!</definedName>
    <definedName name="근접_조도_일체형_센서_주변부_설계__Air_Gap_0.5_2.0mm_일_경우">#REF!</definedName>
    <definedName name="근접_조도_일체형센서_주변부_설계_Air_Gap___0.5mm일_경우">#REF!</definedName>
    <definedName name="근접센서부_오동작_이슈_사례">#REF!</definedName>
    <definedName name="기구" localSheetId="0" hidden="1">{"REVISED",#N/A,FALSE,"Sheet1"}</definedName>
    <definedName name="기구" localSheetId="3" hidden="1">{"REVISED",#N/A,FALSE,"Sheet1"}</definedName>
    <definedName name="기구" localSheetId="2" hidden="1">{"REVISED",#N/A,FALSE,"Sheet1"}</definedName>
    <definedName name="기구" localSheetId="1" hidden="1">{"REVISED",#N/A,FALSE,"Sheet1"}</definedName>
    <definedName name="기구" hidden="1">{"REVISED",#N/A,FALSE,"Sheet1"}</definedName>
    <definedName name="기구1" localSheetId="0" hidden="1">{"REVISED",#N/A,FALSE,"Sheet1"}</definedName>
    <definedName name="기구1" localSheetId="3" hidden="1">{"REVISED",#N/A,FALSE,"Sheet1"}</definedName>
    <definedName name="기구1" localSheetId="2" hidden="1">{"REVISED",#N/A,FALSE,"Sheet1"}</definedName>
    <definedName name="기구1" localSheetId="1" hidden="1">{"REVISED",#N/A,FALSE,"Sheet1"}</definedName>
    <definedName name="기구1" hidden="1">{"REVISED",#N/A,FALSE,"Sheet1"}</definedName>
    <definedName name="기구2" localSheetId="0" hidden="1">{"REVISED",#N/A,FALSE,"Sheet1"}</definedName>
    <definedName name="기구2" localSheetId="3" hidden="1">{"REVISED",#N/A,FALSE,"Sheet1"}</definedName>
    <definedName name="기구2" localSheetId="2" hidden="1">{"REVISED",#N/A,FALSE,"Sheet1"}</definedName>
    <definedName name="기구2" localSheetId="1" hidden="1">{"REVISED",#N/A,FALSE,"Sheet1"}</definedName>
    <definedName name="기구2" hidden="1">{"REVISED",#N/A,FALSE,"Sheet1"}</definedName>
    <definedName name="기구기타">#REF!</definedName>
    <definedName name="기기구" localSheetId="0" hidden="1">{"REVISED",#N/A,FALSE,"Sheet1"}</definedName>
    <definedName name="기기구" localSheetId="3" hidden="1">{"REVISED",#N/A,FALSE,"Sheet1"}</definedName>
    <definedName name="기기구" localSheetId="2" hidden="1">{"REVISED",#N/A,FALSE,"Sheet1"}</definedName>
    <definedName name="기기구" localSheetId="1" hidden="1">{"REVISED",#N/A,FALSE,"Sheet1"}</definedName>
    <definedName name="기기구" hidden="1">{"REVISED",#N/A,FALSE,"Sheet1"}</definedName>
    <definedName name="기록읽기">"Rectangle 62"</definedName>
    <definedName name="기타_Hall_IC_설계_Guide">#REF!</definedName>
    <definedName name="기타_고려_사항">#REF!</definedName>
    <definedName name="기타_고려_사항_2">#REF!</definedName>
    <definedName name="김황" hidden="1">#REF!</definedName>
    <definedName name="김훈재" localSheetId="0" hidden="1">{#N/A,#N/A,FALSE,"P.C.B"}</definedName>
    <definedName name="김훈재" localSheetId="3" hidden="1">{#N/A,#N/A,FALSE,"P.C.B"}</definedName>
    <definedName name="김훈재" localSheetId="2" hidden="1">{#N/A,#N/A,FALSE,"P.C.B"}</definedName>
    <definedName name="김훈재" localSheetId="1" hidden="1">{#N/A,#N/A,FALSE,"P.C.B"}</definedName>
    <definedName name="김훈재" hidden="1">{#N/A,#N/A,FALSE,"P.C.B"}</definedName>
    <definedName name="ㄴ" localSheetId="0" hidden="1">{#N/A,#N/A,FALSE,"P.C.B"}</definedName>
    <definedName name="ㄴ" localSheetId="3" hidden="1">{#N/A,#N/A,FALSE,"P.C.B"}</definedName>
    <definedName name="ㄴ" localSheetId="2" hidden="1">{#N/A,#N/A,FALSE,"P.C.B"}</definedName>
    <definedName name="ㄴ" localSheetId="1" hidden="1">{#N/A,#N/A,FALSE,"P.C.B"}</definedName>
    <definedName name="ㄴ" hidden="1">{#N/A,#N/A,FALSE,"P.C.B"}</definedName>
    <definedName name="ㄴㄴ" localSheetId="0" hidden="1">{#N/A,#N/A,FALSE,"P.C.B"}</definedName>
    <definedName name="ㄴㄴ" localSheetId="3" hidden="1">{#N/A,#N/A,FALSE,"P.C.B"}</definedName>
    <definedName name="ㄴㄴ" localSheetId="2" hidden="1">{#N/A,#N/A,FALSE,"P.C.B"}</definedName>
    <definedName name="ㄴㄴ" localSheetId="1" hidden="1">{#N/A,#N/A,FALSE,"P.C.B"}</definedName>
    <definedName name="ㄴㄴ" hidden="1">{#N/A,#N/A,FALSE,"P.C.B"}</definedName>
    <definedName name="ㄴㄴㄴ" localSheetId="0" hidden="1">{#N/A,#N/A,FALSE,"자재관리";#N/A,#N/A,FALSE,"자재관리";#N/A,#N/A,FALSE,"자재관리"}</definedName>
    <definedName name="ㄴㄴㄴ" localSheetId="3" hidden="1">{#N/A,#N/A,FALSE,"자재관리";#N/A,#N/A,FALSE,"자재관리";#N/A,#N/A,FALSE,"자재관리"}</definedName>
    <definedName name="ㄴㄴㄴ" localSheetId="2" hidden="1">{#N/A,#N/A,FALSE,"자재관리";#N/A,#N/A,FALSE,"자재관리";#N/A,#N/A,FALSE,"자재관리"}</definedName>
    <definedName name="ㄴㄴㄴ" localSheetId="1" hidden="1">{#N/A,#N/A,FALSE,"자재관리";#N/A,#N/A,FALSE,"자재관리";#N/A,#N/A,FALSE,"자재관리"}</definedName>
    <definedName name="ㄴㄴㄴ" hidden="1">{#N/A,#N/A,FALSE,"자재관리";#N/A,#N/A,FALSE,"자재관리";#N/A,#N/A,FALSE,"자재관리"}</definedName>
    <definedName name="ㄴㄴㄴㄴㄴ" localSheetId="0" hidden="1">{#N/A,#N/A,TRUE,"자재관리";#N/A,#N/A,TRUE,"품질"}</definedName>
    <definedName name="ㄴㄴㄴㄴㄴ" localSheetId="3" hidden="1">{#N/A,#N/A,TRUE,"자재관리";#N/A,#N/A,TRUE,"품질"}</definedName>
    <definedName name="ㄴㄴㄴㄴㄴ" localSheetId="2" hidden="1">{#N/A,#N/A,TRUE,"자재관리";#N/A,#N/A,TRUE,"품질"}</definedName>
    <definedName name="ㄴㄴㄴㄴㄴ" localSheetId="1" hidden="1">{#N/A,#N/A,TRUE,"자재관리";#N/A,#N/A,TRUE,"품질"}</definedName>
    <definedName name="ㄴㄴㄴㄴㄴ" hidden="1">{#N/A,#N/A,TRUE,"자재관리";#N/A,#N/A,TRUE,"품질"}</definedName>
    <definedName name="ㄴㄹ" localSheetId="0" hidden="1">{#N/A,#N/A,FALSE,"P.C.B"}</definedName>
    <definedName name="ㄴㄹ" localSheetId="3" hidden="1">{#N/A,#N/A,FALSE,"P.C.B"}</definedName>
    <definedName name="ㄴㄹ" localSheetId="2" hidden="1">{#N/A,#N/A,FALSE,"P.C.B"}</definedName>
    <definedName name="ㄴㄹ" localSheetId="1" hidden="1">{#N/A,#N/A,FALSE,"P.C.B"}</definedName>
    <definedName name="ㄴㄹ" hidden="1">{#N/A,#N/A,FALSE,"P.C.B"}</definedName>
    <definedName name="ㄴㅀㅁㅍㅂㅁㅇㅁ" localSheetId="0" hidden="1">{#N/A,#N/A,FALSE,"P.C.B"}</definedName>
    <definedName name="ㄴㅀㅁㅍㅂㅁㅇㅁ" localSheetId="3" hidden="1">{#N/A,#N/A,FALSE,"P.C.B"}</definedName>
    <definedName name="ㄴㅀㅁㅍㅂㅁㅇㅁ" localSheetId="2" hidden="1">{#N/A,#N/A,FALSE,"P.C.B"}</definedName>
    <definedName name="ㄴㅀㅁㅍㅂㅁㅇㅁ" localSheetId="1" hidden="1">{#N/A,#N/A,FALSE,"P.C.B"}</definedName>
    <definedName name="ㄴㅀㅁㅍㅂㅁㅇㅁ" hidden="1">{#N/A,#N/A,FALSE,"P.C.B"}</definedName>
    <definedName name="ㄴㅁㅁㅁ" localSheetId="0" hidden="1">{#N/A,#N/A,FALSE,"자재관리";#N/A,#N/A,FALSE,"자재관리";#N/A,#N/A,FALSE,"자재관리"}</definedName>
    <definedName name="ㄴㅁㅁㅁ" localSheetId="3" hidden="1">{#N/A,#N/A,FALSE,"자재관리";#N/A,#N/A,FALSE,"자재관리";#N/A,#N/A,FALSE,"자재관리"}</definedName>
    <definedName name="ㄴㅁㅁㅁ" localSheetId="2" hidden="1">{#N/A,#N/A,FALSE,"자재관리";#N/A,#N/A,FALSE,"자재관리";#N/A,#N/A,FALSE,"자재관리"}</definedName>
    <definedName name="ㄴㅁㅁㅁ" localSheetId="1" hidden="1">{#N/A,#N/A,FALSE,"자재관리";#N/A,#N/A,FALSE,"자재관리";#N/A,#N/A,FALSE,"자재관리"}</definedName>
    <definedName name="ㄴㅁㅁㅁ" hidden="1">{#N/A,#N/A,FALSE,"자재관리";#N/A,#N/A,FALSE,"자재관리";#N/A,#N/A,FALSE,"자재관리"}</definedName>
    <definedName name="ㄴㅁㅇㄹ" localSheetId="0">{"XLSHEET.XLA"}</definedName>
    <definedName name="ㄴㅁㅇㄹ" localSheetId="3">{"XLSHEET.XLA"}</definedName>
    <definedName name="ㄴㅁㅇㄹ" localSheetId="2">{"XLSHEET.XLA"}</definedName>
    <definedName name="ㄴㅁㅇㄹ" localSheetId="1">{"XLSHEET.XLA"}</definedName>
    <definedName name="ㄴㅁㅇㄹ">{"XLSHEET.XLA"}</definedName>
    <definedName name="ㄴㅇ" localSheetId="0" hidden="1">{#N/A,#N/A,FALSE,"P.C.B"}</definedName>
    <definedName name="ㄴㅇ" localSheetId="3" hidden="1">{#N/A,#N/A,FALSE,"P.C.B"}</definedName>
    <definedName name="ㄴㅇ" localSheetId="2" hidden="1">{#N/A,#N/A,FALSE,"P.C.B"}</definedName>
    <definedName name="ㄴㅇ" localSheetId="1" hidden="1">{#N/A,#N/A,FALSE,"P.C.B"}</definedName>
    <definedName name="ㄴㅇ" hidden="1">{#N/A,#N/A,FALSE,"P.C.B"}</definedName>
    <definedName name="ㄴ우" localSheetId="0" hidden="1">{#N/A,#N/A,FALSE,"P.C.B"}</definedName>
    <definedName name="ㄴ우" localSheetId="3" hidden="1">{#N/A,#N/A,FALSE,"P.C.B"}</definedName>
    <definedName name="ㄴ우" localSheetId="2" hidden="1">{#N/A,#N/A,FALSE,"P.C.B"}</definedName>
    <definedName name="ㄴ우" localSheetId="1" hidden="1">{#N/A,#N/A,FALSE,"P.C.B"}</definedName>
    <definedName name="ㄴ우" hidden="1">{#N/A,#N/A,FALSE,"P.C.B"}</definedName>
    <definedName name="ㄴ우누" localSheetId="0" hidden="1">{#N/A,#N/A,FALSE,"P.C.B"}</definedName>
    <definedName name="ㄴ우누" localSheetId="3" hidden="1">{#N/A,#N/A,FALSE,"P.C.B"}</definedName>
    <definedName name="ㄴ우누" localSheetId="2" hidden="1">{#N/A,#N/A,FALSE,"P.C.B"}</definedName>
    <definedName name="ㄴ우누" localSheetId="1" hidden="1">{#N/A,#N/A,FALSE,"P.C.B"}</definedName>
    <definedName name="ㄴ우누" hidden="1">{#N/A,#N/A,FALSE,"P.C.B"}</definedName>
    <definedName name="ㄴ운" localSheetId="0" hidden="1">{#N/A,#N/A,FALSE,"P.C.B"}</definedName>
    <definedName name="ㄴ운" localSheetId="3" hidden="1">{#N/A,#N/A,FALSE,"P.C.B"}</definedName>
    <definedName name="ㄴ운" localSheetId="2" hidden="1">{#N/A,#N/A,FALSE,"P.C.B"}</definedName>
    <definedName name="ㄴ운" localSheetId="1" hidden="1">{#N/A,#N/A,FALSE,"P.C.B"}</definedName>
    <definedName name="ㄴ운" hidden="1">{#N/A,#N/A,FALSE,"P.C.B"}</definedName>
    <definedName name="나" localSheetId="0" hidden="1">{#N/A,#N/A,FALSE,"자재관리";#N/A,#N/A,FALSE,"자재관리";#N/A,#N/A,FALSE,"자재관리"}</definedName>
    <definedName name="나" localSheetId="3" hidden="1">{#N/A,#N/A,FALSE,"자재관리";#N/A,#N/A,FALSE,"자재관리";#N/A,#N/A,FALSE,"자재관리"}</definedName>
    <definedName name="나" localSheetId="2" hidden="1">{#N/A,#N/A,FALSE,"자재관리";#N/A,#N/A,FALSE,"자재관리";#N/A,#N/A,FALSE,"자재관리"}</definedName>
    <definedName name="나" localSheetId="1" hidden="1">{#N/A,#N/A,FALSE,"자재관리";#N/A,#N/A,FALSE,"자재관리";#N/A,#N/A,FALSE,"자재관리"}</definedName>
    <definedName name="나" hidden="1">{#N/A,#N/A,FALSE,"자재관리";#N/A,#N/A,FALSE,"자재관리";#N/A,#N/A,FALSE,"자재관리"}</definedName>
    <definedName name="내부_공기_팽창에_의한_Cap_빠짐_방지_설계_Guide">#REF!</definedName>
    <definedName name="누" localSheetId="0" hidden="1">{#N/A,#N/A,FALSE,"P.C.B"}</definedName>
    <definedName name="누" localSheetId="3" hidden="1">{#N/A,#N/A,FALSE,"P.C.B"}</definedName>
    <definedName name="누" localSheetId="2" hidden="1">{#N/A,#N/A,FALSE,"P.C.B"}</definedName>
    <definedName name="누" localSheetId="1" hidden="1">{#N/A,#N/A,FALSE,"P.C.B"}</definedName>
    <definedName name="누" hidden="1">{#N/A,#N/A,FALSE,"P.C.B"}</definedName>
    <definedName name="누ㄴ" localSheetId="0" hidden="1">{#N/A,#N/A,FALSE,"P.C.B"}</definedName>
    <definedName name="누ㄴ" localSheetId="3" hidden="1">{#N/A,#N/A,FALSE,"P.C.B"}</definedName>
    <definedName name="누ㄴ" localSheetId="2" hidden="1">{#N/A,#N/A,FALSE,"P.C.B"}</definedName>
    <definedName name="누ㄴ" localSheetId="1" hidden="1">{#N/A,#N/A,FALSE,"P.C.B"}</definedName>
    <definedName name="누ㄴ" hidden="1">{#N/A,#N/A,FALSE,"P.C.B"}</definedName>
    <definedName name="누우ㄴ" localSheetId="0" hidden="1">{#N/A,#N/A,FALSE,"P.C.B"}</definedName>
    <definedName name="누우ㄴ" localSheetId="3" hidden="1">{#N/A,#N/A,FALSE,"P.C.B"}</definedName>
    <definedName name="누우ㄴ" localSheetId="2" hidden="1">{#N/A,#N/A,FALSE,"P.C.B"}</definedName>
    <definedName name="누우ㄴ" localSheetId="1" hidden="1">{#N/A,#N/A,FALSE,"P.C.B"}</definedName>
    <definedName name="누우ㄴ" hidden="1">{#N/A,#N/A,FALSE,"P.C.B"}</definedName>
    <definedName name="누운ㅜㅇ" localSheetId="0" hidden="1">{#N/A,#N/A,FALSE,"P.C.B"}</definedName>
    <definedName name="누운ㅜㅇ" localSheetId="3" hidden="1">{#N/A,#N/A,FALSE,"P.C.B"}</definedName>
    <definedName name="누운ㅜㅇ" localSheetId="2" hidden="1">{#N/A,#N/A,FALSE,"P.C.B"}</definedName>
    <definedName name="누운ㅜㅇ" localSheetId="1" hidden="1">{#N/A,#N/A,FALSE,"P.C.B"}</definedName>
    <definedName name="누운ㅜㅇ" hidden="1">{#N/A,#N/A,FALSE,"P.C.B"}</definedName>
    <definedName name="눙" localSheetId="0" hidden="1">{#N/A,#N/A,FALSE,"P.C.B"}</definedName>
    <definedName name="눙" localSheetId="3" hidden="1">{#N/A,#N/A,FALSE,"P.C.B"}</definedName>
    <definedName name="눙" localSheetId="2" hidden="1">{#N/A,#N/A,FALSE,"P.C.B"}</definedName>
    <definedName name="눙" localSheetId="1" hidden="1">{#N/A,#N/A,FALSE,"P.C.B"}</definedName>
    <definedName name="눙" hidden="1">{#N/A,#N/A,FALSE,"P.C.B"}</definedName>
    <definedName name="눙ㄴ" localSheetId="0" hidden="1">{#N/A,#N/A,FALSE,"P.C.B"}</definedName>
    <definedName name="눙ㄴ" localSheetId="3" hidden="1">{#N/A,#N/A,FALSE,"P.C.B"}</definedName>
    <definedName name="눙ㄴ" localSheetId="2" hidden="1">{#N/A,#N/A,FALSE,"P.C.B"}</definedName>
    <definedName name="눙ㄴ" localSheetId="1" hidden="1">{#N/A,#N/A,FALSE,"P.C.B"}</definedName>
    <definedName name="눙ㄴ" hidden="1">{#N/A,#N/A,FALSE,"P.C.B"}</definedName>
    <definedName name="눙누우" localSheetId="0" hidden="1">{#N/A,#N/A,FALSE,"P.C.B"}</definedName>
    <definedName name="눙누우" localSheetId="3" hidden="1">{#N/A,#N/A,FALSE,"P.C.B"}</definedName>
    <definedName name="눙누우" localSheetId="2" hidden="1">{#N/A,#N/A,FALSE,"P.C.B"}</definedName>
    <definedName name="눙누우" localSheetId="1" hidden="1">{#N/A,#N/A,FALSE,"P.C.B"}</definedName>
    <definedName name="눙누우" hidden="1">{#N/A,#N/A,FALSE,"P.C.B"}</definedName>
    <definedName name="ㄶㄷㅎㄱㄹㄴㄷㅎㅍㄱㄹ" localSheetId="0" hidden="1">{"REVISED",#N/A,FALSE,"Sheet1"}</definedName>
    <definedName name="ㄶㄷㅎㄱㄹㄴㄷㅎㅍㄱㄹ" localSheetId="3" hidden="1">{"REVISED",#N/A,FALSE,"Sheet1"}</definedName>
    <definedName name="ㄶㄷㅎㄱㄹㄴㄷㅎㅍㄱㄹ" localSheetId="2" hidden="1">{"REVISED",#N/A,FALSE,"Sheet1"}</definedName>
    <definedName name="ㄶㄷㅎㄱㄹㄴㄷㅎㅍㄱㄹ" localSheetId="1" hidden="1">{"REVISED",#N/A,FALSE,"Sheet1"}</definedName>
    <definedName name="ㄶㄷㅎㄱㄹㄴㄷㅎㅍㄱㄹ" hidden="1">{"REVISED",#N/A,FALSE,"Sheet1"}</definedName>
    <definedName name="ㄷ" localSheetId="0" hidden="1">{#N/A,#N/A,FALSE,"P.C.B"}</definedName>
    <definedName name="ㄷ" localSheetId="3" hidden="1">{#N/A,#N/A,FALSE,"P.C.B"}</definedName>
    <definedName name="ㄷ" localSheetId="2" hidden="1">{#N/A,#N/A,FALSE,"P.C.B"}</definedName>
    <definedName name="ㄷ" localSheetId="1" hidden="1">{#N/A,#N/A,FALSE,"P.C.B"}</definedName>
    <definedName name="ㄷ" hidden="1">{#N/A,#N/A,FALSE,"P.C.B"}</definedName>
    <definedName name="대책" localSheetId="0">{"XLSHEET.XLA"}</definedName>
    <definedName name="대책" localSheetId="3">{"XLSHEET.XLA"}</definedName>
    <definedName name="대책" localSheetId="2">{"XLSHEET.XLA"}</definedName>
    <definedName name="대책" localSheetId="1">{"XLSHEET.XLA"}</definedName>
    <definedName name="대책">{"XLSHEET.XLA"}</definedName>
    <definedName name="도광_Film_비교_Data">#REF!</definedName>
    <definedName name="도료_선택_확인">#REF!</definedName>
    <definedName name="동작부_형상_구배정의_및_Gap_관리">#REF!</definedName>
    <definedName name="디자인_Parting_Line과_IO_Chamfer면이_맞닿는_구조">#REF!</definedName>
    <definedName name="디자인_형상_각도_에_따른_Round_적용">#REF!</definedName>
    <definedName name="ㄹㄴ" localSheetId="0" hidden="1">{#N/A,#N/A,FALSE,"P.C.B"}</definedName>
    <definedName name="ㄹㄴ" localSheetId="3" hidden="1">{#N/A,#N/A,FALSE,"P.C.B"}</definedName>
    <definedName name="ㄹㄴ" localSheetId="2" hidden="1">{#N/A,#N/A,FALSE,"P.C.B"}</definedName>
    <definedName name="ㄹㄴ" localSheetId="1" hidden="1">{#N/A,#N/A,FALSE,"P.C.B"}</definedName>
    <definedName name="ㄹㄴ" hidden="1">{#N/A,#N/A,FALSE,"P.C.B"}</definedName>
    <definedName name="ㄹㅇㅎ" localSheetId="0" hidden="1">{#N/A,#N/A,FALSE,"P.C.B"}</definedName>
    <definedName name="ㄹㅇㅎ" localSheetId="3" hidden="1">{#N/A,#N/A,FALSE,"P.C.B"}</definedName>
    <definedName name="ㄹㅇㅎ" localSheetId="2" hidden="1">{#N/A,#N/A,FALSE,"P.C.B"}</definedName>
    <definedName name="ㄹㅇㅎ" localSheetId="1" hidden="1">{#N/A,#N/A,FALSE,"P.C.B"}</definedName>
    <definedName name="ㄹㅇㅎ" hidden="1">{#N/A,#N/A,FALSE,"P.C.B"}</definedName>
    <definedName name="ㅀㄴㅇㅀ" localSheetId="0" hidden="1">{#N/A,#N/A,FALSE,"P.C.B"}</definedName>
    <definedName name="ㅀㄴㅇㅀ" localSheetId="3" hidden="1">{#N/A,#N/A,FALSE,"P.C.B"}</definedName>
    <definedName name="ㅀㄴㅇㅀ" localSheetId="2" hidden="1">{#N/A,#N/A,FALSE,"P.C.B"}</definedName>
    <definedName name="ㅀㄴㅇㅀ" localSheetId="1" hidden="1">{#N/A,#N/A,FALSE,"P.C.B"}</definedName>
    <definedName name="ㅀㄴㅇㅀ" hidden="1">{#N/A,#N/A,FALSE,"P.C.B"}</definedName>
    <definedName name="ㅁ" localSheetId="0" hidden="1">{#N/A,#N/A,FALSE,"P.C.B"}</definedName>
    <definedName name="ㅁ" localSheetId="3" hidden="1">{#N/A,#N/A,FALSE,"P.C.B"}</definedName>
    <definedName name="ㅁ" localSheetId="2" hidden="1">{#N/A,#N/A,FALSE,"P.C.B"}</definedName>
    <definedName name="ㅁ" localSheetId="1" hidden="1">{#N/A,#N/A,FALSE,"P.C.B"}</definedName>
    <definedName name="ㅁ" hidden="1">{#N/A,#N/A,FALSE,"P.C.B"}</definedName>
    <definedName name="ㅁ1">#REF!</definedName>
    <definedName name="ㅁ4">#REF!</definedName>
    <definedName name="ㅁㄱㄷ" localSheetId="0" hidden="1">{#N/A,#N/A,FALSE,"자재관리";#N/A,#N/A,FALSE,"자재관리";#N/A,#N/A,FALSE,"자재관리"}</definedName>
    <definedName name="ㅁㄱㄷ" localSheetId="3" hidden="1">{#N/A,#N/A,FALSE,"자재관리";#N/A,#N/A,FALSE,"자재관리";#N/A,#N/A,FALSE,"자재관리"}</definedName>
    <definedName name="ㅁㄱㄷ" localSheetId="2" hidden="1">{#N/A,#N/A,FALSE,"자재관리";#N/A,#N/A,FALSE,"자재관리";#N/A,#N/A,FALSE,"자재관리"}</definedName>
    <definedName name="ㅁㄱㄷ" localSheetId="1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ㅇ" localSheetId="0" hidden="1">#REF!,#REF!,#REF!,#REF!</definedName>
    <definedName name="ㅁㄴㅇ" localSheetId="3" hidden="1">#REF!,#REF!,#REF!,#REF!</definedName>
    <definedName name="ㅁㄴㅇ" localSheetId="2" hidden="1">#REF!,#REF!,#REF!,#REF!</definedName>
    <definedName name="ㅁㄴㅇ" localSheetId="1" hidden="1">#REF!,#REF!,#REF!,#REF!</definedName>
    <definedName name="ㅁㄴㅇ" hidden="1">#REF!,#REF!,#REF!,#REF!</definedName>
    <definedName name="ㅁㄴㅇㄹ" localSheetId="0" hidden="1">{#N/A,#N/A,FALSE,"P.C.B"}</definedName>
    <definedName name="ㅁㄴㅇㄹ" localSheetId="3" hidden="1">{#N/A,#N/A,FALSE,"P.C.B"}</definedName>
    <definedName name="ㅁㄴㅇㄹ" localSheetId="2" hidden="1">{#N/A,#N/A,FALSE,"P.C.B"}</definedName>
    <definedName name="ㅁㄴㅇㄹ" localSheetId="1" hidden="1">{#N/A,#N/A,FALSE,"P.C.B"}</definedName>
    <definedName name="ㅁㄴㅇㄹ" hidden="1">{#N/A,#N/A,FALSE,"P.C.B"}</definedName>
    <definedName name="ㅁㄴㅇㄻㄴㅇㅀㄷㄱ소" localSheetId="0" hidden="1">{#N/A,#N/A,FALSE,"P.C.B"}</definedName>
    <definedName name="ㅁㄴㅇㄻㄴㅇㅀㄷㄱ소" localSheetId="3" hidden="1">{#N/A,#N/A,FALSE,"P.C.B"}</definedName>
    <definedName name="ㅁㄴㅇㄻㄴㅇㅀㄷㄱ소" localSheetId="2" hidden="1">{#N/A,#N/A,FALSE,"P.C.B"}</definedName>
    <definedName name="ㅁㄴㅇㄻㄴㅇㅀㄷㄱ소" localSheetId="1" hidden="1">{#N/A,#N/A,FALSE,"P.C.B"}</definedName>
    <definedName name="ㅁㄴㅇㄻㄴㅇㅀㄷㄱ소" hidden="1">{#N/A,#N/A,FALSE,"P.C.B"}</definedName>
    <definedName name="ㅁㅁㅁ">#REF!</definedName>
    <definedName name="ㅁㅇ" localSheetId="0" hidden="1">{#N/A,#N/A,FALSE,"P.C.B"}</definedName>
    <definedName name="ㅁㅇ" localSheetId="3" hidden="1">{#N/A,#N/A,FALSE,"P.C.B"}</definedName>
    <definedName name="ㅁㅇ" localSheetId="2" hidden="1">{#N/A,#N/A,FALSE,"P.C.B"}</definedName>
    <definedName name="ㅁㅇ" localSheetId="1" hidden="1">{#N/A,#N/A,FALSE,"P.C.B"}</definedName>
    <definedName name="ㅁㅇ" hidden="1">{#N/A,#N/A,FALSE,"P.C.B"}</definedName>
    <definedName name="ㅁㅇㄴ" hidden="1">#REF!</definedName>
    <definedName name="ㅁㅇㄻㄴㅇㄻㄴㄹ" localSheetId="0" hidden="1">{#N/A,#N/A,FALSE,"P.C.B"}</definedName>
    <definedName name="ㅁㅇㄻㄴㅇㄻㄴㄹ" localSheetId="3" hidden="1">{#N/A,#N/A,FALSE,"P.C.B"}</definedName>
    <definedName name="ㅁㅇㄻㄴㅇㄻㄴㄹ" localSheetId="2" hidden="1">{#N/A,#N/A,FALSE,"P.C.B"}</definedName>
    <definedName name="ㅁㅇㄻㄴㅇㄻㄴㄹ" localSheetId="1" hidden="1">{#N/A,#N/A,FALSE,"P.C.B"}</definedName>
    <definedName name="ㅁㅇㄻㄴㅇㄻㄴㄹ" hidden="1">{#N/A,#N/A,FALSE,"P.C.B"}</definedName>
    <definedName name="ㅁㅎㄱㄷㅎㄱㄷㅎㅁㄷㄱㅎㅁㄱㅎ" localSheetId="0" hidden="1">{"REVISED",#N/A,FALSE,"Sheet1"}</definedName>
    <definedName name="ㅁㅎㄱㄷㅎㄱㄷㅎㅁㄷㄱㅎㅁㄱㅎ" localSheetId="3" hidden="1">{"REVISED",#N/A,FALSE,"Sheet1"}</definedName>
    <definedName name="ㅁㅎㄱㄷㅎㄱㄷㅎㅁㄷㄱㅎㅁㄱㅎ" localSheetId="2" hidden="1">{"REVISED",#N/A,FALSE,"Sheet1"}</definedName>
    <definedName name="ㅁㅎㄱㄷㅎㄱㄷㅎㅁㄷㄱㅎㅁㄱㅎ" localSheetId="1" hidden="1">{"REVISED",#N/A,FALSE,"Sheet1"}</definedName>
    <definedName name="ㅁㅎㄱㄷㅎㄱㄷㅎㅁㄷㄱㅎㅁㄱㅎ" hidden="1">{"REVISED",#N/A,FALSE,"Sheet1"}</definedName>
    <definedName name="ㅁㅎㄴㅇㅎㄴㅁ" localSheetId="0" hidden="1">{#N/A,#N/A,FALSE,"P.C.B"}</definedName>
    <definedName name="ㅁㅎㄴㅇㅎㄴㅁ" localSheetId="3" hidden="1">{#N/A,#N/A,FALSE,"P.C.B"}</definedName>
    <definedName name="ㅁㅎㄴㅇㅎㄴㅁ" localSheetId="2" hidden="1">{#N/A,#N/A,FALSE,"P.C.B"}</definedName>
    <definedName name="ㅁㅎㄴㅇㅎㄴㅁ" localSheetId="1" hidden="1">{#N/A,#N/A,FALSE,"P.C.B"}</definedName>
    <definedName name="ㅁㅎㄴㅇㅎㄴㅁ" hidden="1">{#N/A,#N/A,FALSE,"P.C.B"}</definedName>
    <definedName name="망" localSheetId="0" hidden="1">{#N/A,#N/A,FALSE,"자재관리";#N/A,#N/A,FALSE,"자재관리";#N/A,#N/A,FALSE,"자재관리"}</definedName>
    <definedName name="망" localSheetId="3" hidden="1">{#N/A,#N/A,FALSE,"자재관리";#N/A,#N/A,FALSE,"자재관리";#N/A,#N/A,FALSE,"자재관리"}</definedName>
    <definedName name="망" localSheetId="2" hidden="1">{#N/A,#N/A,FALSE,"자재관리";#N/A,#N/A,FALSE,"자재관리";#N/A,#N/A,FALSE,"자재관리"}</definedName>
    <definedName name="망" localSheetId="1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메롱" hidden="1">#REF!</definedName>
    <definedName name="명함__card_등_sheet_형태의_물체로_인한_FPCB_손상_방지_구조">#REF!</definedName>
    <definedName name="명함__card_등_sheet_형태의_물체로_인한_FPCB_손상_방지_구조_2">#REF!</definedName>
    <definedName name="모델별__근접센서_부_비교">#REF!</definedName>
    <definedName name="모델별_Hand_Strap_관련_치수">#REF!</definedName>
    <definedName name="모델별_Hand_Strap_관련_치수_2">#REF!</definedName>
    <definedName name="모델별_Hand_Strap_관련_치수_3">#REF!</definedName>
    <definedName name="모델별_주요_치수_조사_내용">#REF!</definedName>
    <definedName name="모듈1">#REF!</definedName>
    <definedName name="무도장_준_외관_부식_적용_Guide">#REF!</definedName>
    <definedName name="발광부에서_수광부로의_내부_반사_여부">#REF!</definedName>
    <definedName name="발광부에서_수광부로의_내부_반사_여부_2">#REF!</definedName>
    <definedName name="방열_설계_Guide">#REF!</definedName>
    <definedName name="벌어짐_방지_Guide">#REF!</definedName>
    <definedName name="벌어짐_방지_Rib_설계_Guide">#REF!</definedName>
    <definedName name="벌어짐_방지_Rib_설계_Guide_2">#REF!</definedName>
    <definedName name="벌어짐_방지_Rib_설계_Guide_Metal_재질">#REF!</definedName>
    <definedName name="복합_Module_기본_구조">#REF!</definedName>
    <definedName name="부착물_수_축소_설계_Guide_List">#REF!</definedName>
    <definedName name="부품_공용화_및_작업성은_Check">#REF!</definedName>
    <definedName name="부품_공용화_및_작업성은_Check_2">#REF!</definedName>
    <definedName name="부품견적서">#REF!</definedName>
    <definedName name="분리_Type_형합성_Guide_2__비표준">#REF!</definedName>
    <definedName name="분리_Type_형합성_Guide_2__비표준_2">#REF!</definedName>
    <definedName name="분진_방지_구조_Guide">#REF!</definedName>
    <definedName name="불량LIST">#REF!</definedName>
    <definedName name="불빛_샘_방지_설계_Guide_Key_Flange">#REF!</definedName>
    <definedName name="불빛_샘_방지_설계_Guide_Key_Flange_참고_모델">#REF!</definedName>
    <definedName name="불빛_샘_방지_설계_Guide_Keypad_문안부_인쇄영역">#REF!</definedName>
    <definedName name="불빛_샘_방지_설계_Guide_Keypad_문안부_인쇄영역_2">#REF!</definedName>
    <definedName name="불빛_샘_방지_설계_Guide_Keypad_문안부_인쇄영역_모델_참조">#REF!</definedName>
    <definedName name="불빛_샘_방지_설계_Guide_Keypad_배면_차광_인쇄">#REF!</definedName>
    <definedName name="불빛_샘_방지_설계_Guide_LED_수량__Clamshell_Type">#REF!</definedName>
    <definedName name="불빛_샘_방지_설계_Key_Flange_Gate_방식">#REF!</definedName>
    <definedName name="불빛_샘_방지_설계_Key_Flange_Gate_방식2">#REF!</definedName>
    <definedName name="불빛_샘_방지용_차광_Tape_설계">#REF!</definedName>
    <definedName name="불빛샘_방지_LED수량">#REF!</definedName>
    <definedName name="불빛샘_설계_방지_Guide">#REF!</definedName>
    <definedName name="빼기_홈부_설계_2_Guide_Hook_Type">#REF!</definedName>
    <definedName name="빼기_홈부_설계_Guide_Hook_Type">#REF!</definedName>
    <definedName name="빼기_홈의_Size_Guide">#REF!</definedName>
    <definedName name="빼기홈_위치_및_크기">#REF!</definedName>
    <definedName name="ㅅ" localSheetId="0" hidden="1">{#N/A,#N/A,FALSE,"P.C.B"}</definedName>
    <definedName name="ㅅ" localSheetId="3" hidden="1">{#N/A,#N/A,FALSE,"P.C.B"}</definedName>
    <definedName name="ㅅ" localSheetId="2" hidden="1">{#N/A,#N/A,FALSE,"P.C.B"}</definedName>
    <definedName name="ㅅ" localSheetId="1" hidden="1">{#N/A,#N/A,FALSE,"P.C.B"}</definedName>
    <definedName name="ㅅ" hidden="1">{#N/A,#N/A,FALSE,"P.C.B"}</definedName>
    <definedName name="ㅅㅅ" localSheetId="0" hidden="1">{#N/A,#N/A,FALSE,"P.C.B"}</definedName>
    <definedName name="ㅅㅅ" localSheetId="3" hidden="1">{#N/A,#N/A,FALSE,"P.C.B"}</definedName>
    <definedName name="ㅅㅅ" localSheetId="2" hidden="1">{#N/A,#N/A,FALSE,"P.C.B"}</definedName>
    <definedName name="ㅅㅅ" localSheetId="1" hidden="1">{#N/A,#N/A,FALSE,"P.C.B"}</definedName>
    <definedName name="ㅅㅅ" hidden="1">{#N/A,#N/A,FALSE,"P.C.B"}</definedName>
    <definedName name="사업자_SPEC_비교__북미">#REF!</definedName>
    <definedName name="사용성_관련">#REF!</definedName>
    <definedName name="사용성_관련_2">#REF!</definedName>
    <definedName name="사용성_관련_빼기_홈__고정_부_위치_결정">#REF!</definedName>
    <definedName name="사출_형합부_기본구조">#REF!</definedName>
    <definedName name="상.하_습합_구배_확보">#REF!</definedName>
    <definedName name="생산">#REF!</definedName>
    <definedName name="서원열" localSheetId="0" hidden="1">{#N/A,#N/A,FALSE,"자재관리";#N/A,#N/A,FALSE,"자재관리";#N/A,#N/A,FALSE,"자재관리"}</definedName>
    <definedName name="서원열" localSheetId="3" hidden="1">{#N/A,#N/A,FALSE,"자재관리";#N/A,#N/A,FALSE,"자재관리";#N/A,#N/A,FALSE,"자재관리"}</definedName>
    <definedName name="서원열" localSheetId="2" hidden="1">{#N/A,#N/A,FALSE,"자재관리";#N/A,#N/A,FALSE,"자재관리";#N/A,#N/A,FALSE,"자재관리"}</definedName>
    <definedName name="서원열" localSheetId="1" hidden="1">{#N/A,#N/A,FALSE,"자재관리";#N/A,#N/A,FALSE,"자재관리";#N/A,#N/A,FALSE,"자재관리"}</definedName>
    <definedName name="서원열" hidden="1">{#N/A,#N/A,FALSE,"자재관리";#N/A,#N/A,FALSE,"자재관리";#N/A,#N/A,FALSE,"자재관리"}</definedName>
    <definedName name="서원영" localSheetId="0" hidden="1">{#N/A,#N/A,FALSE,"자재관리";#N/A,#N/A,FALSE,"자재관리";#N/A,#N/A,FALSE,"자재관리"}</definedName>
    <definedName name="서원영" localSheetId="3" hidden="1">{#N/A,#N/A,FALSE,"자재관리";#N/A,#N/A,FALSE,"자재관리";#N/A,#N/A,FALSE,"자재관리"}</definedName>
    <definedName name="서원영" localSheetId="2" hidden="1">{#N/A,#N/A,FALSE,"자재관리";#N/A,#N/A,FALSE,"자재관리";#N/A,#N/A,FALSE,"자재관리"}</definedName>
    <definedName name="서원영" localSheetId="1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셀리카" hidden="1">#REF!</definedName>
    <definedName name="소모푸밉" hidden="1">#REF!</definedName>
    <definedName name="소모품" hidden="1">#REF!</definedName>
    <definedName name="소모품비" hidden="1">#REF!</definedName>
    <definedName name="소모품비1" hidden="1">#REF!</definedName>
    <definedName name="소모품비2" hidden="1">#REF!</definedName>
    <definedName name="소모품비400" hidden="1">#REF!</definedName>
    <definedName name="소음_방지_구조_확인__Stopper">#REF!</definedName>
    <definedName name="손톱_의한_파손_방지구조_검토">#REF!</definedName>
    <definedName name="수선비" hidden="1">#REF!</definedName>
    <definedName name="수선비3" hidden="1">#REF!</definedName>
    <definedName name="시료수">#REF!</definedName>
    <definedName name="시작기술_Check_List_Metal_Dome">#REF!</definedName>
    <definedName name="시작기술_Check_List_Metal_Dome__2">#REF!</definedName>
    <definedName name="시험법_및_LDI위치___구조_가이드_개선_방향">#REF!</definedName>
    <definedName name="신규_고클릭_Metal_Dome_Maker별_Spec._비교">#REF!</definedName>
    <definedName name="ㅇ" localSheetId="0" hidden="1">{#N/A,#N/A,FALSE,"P.C.B"}</definedName>
    <definedName name="ㅇ" localSheetId="3" hidden="1">{#N/A,#N/A,FALSE,"P.C.B"}</definedName>
    <definedName name="ㅇ" localSheetId="2" hidden="1">{#N/A,#N/A,FALSE,"P.C.B"}</definedName>
    <definedName name="ㅇ" localSheetId="1" hidden="1">{#N/A,#N/A,FALSE,"P.C.B"}</definedName>
    <definedName name="ㅇ" hidden="1">{#N/A,#N/A,FALSE,"P.C.B"}</definedName>
    <definedName name="ㅇㄴ" localSheetId="0" hidden="1">{#N/A,#N/A,FALSE,"P.C.B"}</definedName>
    <definedName name="ㅇㄴ" localSheetId="3" hidden="1">{#N/A,#N/A,FALSE,"P.C.B"}</definedName>
    <definedName name="ㅇㄴ" localSheetId="2" hidden="1">{#N/A,#N/A,FALSE,"P.C.B"}</definedName>
    <definedName name="ㅇㄴ" localSheetId="1" hidden="1">{#N/A,#N/A,FALSE,"P.C.B"}</definedName>
    <definedName name="ㅇㄴ" hidden="1">{#N/A,#N/A,FALSE,"P.C.B"}</definedName>
    <definedName name="ㅇㄴㅀㅁ" localSheetId="0">{"XLSHEET.XLA"}</definedName>
    <definedName name="ㅇㄴㅀㅁ" localSheetId="3">{"XLSHEET.XLA"}</definedName>
    <definedName name="ㅇㄴㅀㅁ" localSheetId="2">{"XLSHEET.XLA"}</definedName>
    <definedName name="ㅇㄴㅀㅁ" localSheetId="1">{"XLSHEET.XLA"}</definedName>
    <definedName name="ㅇㄴㅀㅁ">{"XLSHEET.XLA"}</definedName>
    <definedName name="ㅇㄴ우ㄴ" localSheetId="0" hidden="1">{#N/A,#N/A,FALSE,"P.C.B"}</definedName>
    <definedName name="ㅇㄴ우ㄴ" localSheetId="3" hidden="1">{#N/A,#N/A,FALSE,"P.C.B"}</definedName>
    <definedName name="ㅇㄴ우ㄴ" localSheetId="2" hidden="1">{#N/A,#N/A,FALSE,"P.C.B"}</definedName>
    <definedName name="ㅇㄴ우ㄴ" localSheetId="1" hidden="1">{#N/A,#N/A,FALSE,"P.C.B"}</definedName>
    <definedName name="ㅇㄴ우ㄴ" hidden="1">{#N/A,#N/A,FALSE,"P.C.B"}</definedName>
    <definedName name="ㅇ누" localSheetId="0" hidden="1">{#N/A,#N/A,FALSE,"P.C.B"}</definedName>
    <definedName name="ㅇ누" localSheetId="3" hidden="1">{#N/A,#N/A,FALSE,"P.C.B"}</definedName>
    <definedName name="ㅇ누" localSheetId="2" hidden="1">{#N/A,#N/A,FALSE,"P.C.B"}</definedName>
    <definedName name="ㅇ누" localSheetId="1" hidden="1">{#N/A,#N/A,FALSE,"P.C.B"}</definedName>
    <definedName name="ㅇ누" hidden="1">{#N/A,#N/A,FALSE,"P.C.B"}</definedName>
    <definedName name="ㅇ누ㅇ" localSheetId="0" hidden="1">{#N/A,#N/A,FALSE,"P.C.B"}</definedName>
    <definedName name="ㅇ누ㅇ" localSheetId="3" hidden="1">{#N/A,#N/A,FALSE,"P.C.B"}</definedName>
    <definedName name="ㅇ누ㅇ" localSheetId="2" hidden="1">{#N/A,#N/A,FALSE,"P.C.B"}</definedName>
    <definedName name="ㅇ누ㅇ" localSheetId="1" hidden="1">{#N/A,#N/A,FALSE,"P.C.B"}</definedName>
    <definedName name="ㅇ누ㅇ" hidden="1">{#N/A,#N/A,FALSE,"P.C.B"}</definedName>
    <definedName name="ㅇㄹㅇㄹ" localSheetId="0" hidden="1">{#N/A,#N/A,FALSE,"P.C.B"}</definedName>
    <definedName name="ㅇㄹㅇㄹ" localSheetId="3" hidden="1">{#N/A,#N/A,FALSE,"P.C.B"}</definedName>
    <definedName name="ㅇㄹㅇㄹ" localSheetId="2" hidden="1">{#N/A,#N/A,FALSE,"P.C.B"}</definedName>
    <definedName name="ㅇㄹㅇㄹ" localSheetId="1" hidden="1">{#N/A,#N/A,FALSE,"P.C.B"}</definedName>
    <definedName name="ㅇㄹㅇㄹ" hidden="1">{#N/A,#N/A,FALSE,"P.C.B"}</definedName>
    <definedName name="ㅇㅀㄹㅇㅎㄹㄶㅍㅇ류륜ㄹㅇ" localSheetId="0" hidden="1">{"REVISED",#N/A,FALSE,"Sheet1"}</definedName>
    <definedName name="ㅇㅀㄹㅇㅎㄹㄶㅍㅇ류륜ㄹㅇ" localSheetId="3" hidden="1">{"REVISED",#N/A,FALSE,"Sheet1"}</definedName>
    <definedName name="ㅇㅀㄹㅇㅎㄹㄶㅍㅇ류륜ㄹㅇ" localSheetId="2" hidden="1">{"REVISED",#N/A,FALSE,"Sheet1"}</definedName>
    <definedName name="ㅇㅀㄹㅇㅎㄹㄶㅍㅇ류륜ㄹㅇ" localSheetId="1" hidden="1">{"REVISED",#N/A,FALSE,"Sheet1"}</definedName>
    <definedName name="ㅇㅀㄹㅇㅎㄹㄶㅍㅇ류륜ㄹㅇ" hidden="1">{"REVISED",#N/A,FALSE,"Sheet1"}</definedName>
    <definedName name="ㅇㅇ" localSheetId="0" hidden="1">{#N/A,#N/A,FALSE,"자재관리";#N/A,#N/A,FALSE,"자재관리";#N/A,#N/A,FALSE,"자재관리"}</definedName>
    <definedName name="ㅇㅇ" localSheetId="3" hidden="1">{#N/A,#N/A,FALSE,"자재관리";#N/A,#N/A,FALSE,"자재관리";#N/A,#N/A,FALSE,"자재관리"}</definedName>
    <definedName name="ㅇㅇ" localSheetId="2" hidden="1">{#N/A,#N/A,FALSE,"자재관리";#N/A,#N/A,FALSE,"자재관리";#N/A,#N/A,FALSE,"자재관리"}</definedName>
    <definedName name="ㅇㅇ" localSheetId="1" hidden="1">{#N/A,#N/A,FALSE,"자재관리";#N/A,#N/A,FALSE,"자재관리";#N/A,#N/A,FALSE,"자재관리"}</definedName>
    <definedName name="ㅇㅇ" hidden="1">{#N/A,#N/A,FALSE,"자재관리";#N/A,#N/A,FALSE,"자재관리";#N/A,#N/A,FALSE,"자재관리"}</definedName>
    <definedName name="ㅇㅇㅇㅇ" localSheetId="0" hidden="1">{#N/A,#N/A,FALSE,"자재관리";#N/A,#N/A,FALSE,"자재관리";#N/A,#N/A,FALSE,"자재관리"}</definedName>
    <definedName name="ㅇㅇㅇㅇ" localSheetId="3" hidden="1">{#N/A,#N/A,FALSE,"자재관리";#N/A,#N/A,FALSE,"자재관리";#N/A,#N/A,FALSE,"자재관리"}</definedName>
    <definedName name="ㅇㅇㅇㅇ" localSheetId="2" hidden="1">{#N/A,#N/A,FALSE,"자재관리";#N/A,#N/A,FALSE,"자재관리";#N/A,#N/A,FALSE,"자재관리"}</definedName>
    <definedName name="ㅇㅇㅇㅇ" localSheetId="1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아니요" hidden="1">#REF!</definedName>
    <definedName name="아럼">#REF!</definedName>
    <definedName name="안" localSheetId="0" hidden="1">{#N/A,#N/A,FALSE,"P.C.B"}</definedName>
    <definedName name="안" localSheetId="3" hidden="1">{#N/A,#N/A,FALSE,"P.C.B"}</definedName>
    <definedName name="안" localSheetId="2" hidden="1">{#N/A,#N/A,FALSE,"P.C.B"}</definedName>
    <definedName name="안" localSheetId="1" hidden="1">{#N/A,#N/A,FALSE,"P.C.B"}</definedName>
    <definedName name="안" hidden="1">{#N/A,#N/A,FALSE,"P.C.B"}</definedName>
    <definedName name="앙" localSheetId="0" hidden="1">{#N/A,#N/A,FALSE,"자재관리";#N/A,#N/A,FALSE,"자재관리";#N/A,#N/A,FALSE,"자재관리"}</definedName>
    <definedName name="앙" localSheetId="3" hidden="1">{#N/A,#N/A,FALSE,"자재관리";#N/A,#N/A,FALSE,"자재관리";#N/A,#N/A,FALSE,"자재관리"}</definedName>
    <definedName name="앙" localSheetId="2" hidden="1">{#N/A,#N/A,FALSE,"자재관리";#N/A,#N/A,FALSE,"자재관리";#N/A,#N/A,FALSE,"자재관리"}</definedName>
    <definedName name="앙" localSheetId="1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앙1" localSheetId="0" hidden="1">{#N/A,#N/A,FALSE,"자재관리";#N/A,#N/A,FALSE,"자재관리";#N/A,#N/A,FALSE,"자재관리"}</definedName>
    <definedName name="앙1" localSheetId="3" hidden="1">{#N/A,#N/A,FALSE,"자재관리";#N/A,#N/A,FALSE,"자재관리";#N/A,#N/A,FALSE,"자재관리"}</definedName>
    <definedName name="앙1" localSheetId="2" hidden="1">{#N/A,#N/A,FALSE,"자재관리";#N/A,#N/A,FALSE,"자재관리";#N/A,#N/A,FALSE,"자재관리"}</definedName>
    <definedName name="앙1" localSheetId="1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양" localSheetId="0" hidden="1">{#N/A,#N/A,FALSE,"자재관리";#N/A,#N/A,FALSE,"자재관리";#N/A,#N/A,FALSE,"자재관리"}</definedName>
    <definedName name="양" localSheetId="3" hidden="1">{#N/A,#N/A,FALSE,"자재관리";#N/A,#N/A,FALSE,"자재관리";#N/A,#N/A,FALSE,"자재관리"}</definedName>
    <definedName name="양" localSheetId="2" hidden="1">{#N/A,#N/A,FALSE,"자재관리";#N/A,#N/A,FALSE,"자재관리";#N/A,#N/A,FALSE,"자재관리"}</definedName>
    <definedName name="양" localSheetId="1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업" localSheetId="0" hidden="1">{#N/A,#N/A,FALSE,"P.C.B"}</definedName>
    <definedName name="업" localSheetId="3" hidden="1">{#N/A,#N/A,FALSE,"P.C.B"}</definedName>
    <definedName name="업" localSheetId="2" hidden="1">{#N/A,#N/A,FALSE,"P.C.B"}</definedName>
    <definedName name="업" localSheetId="1" hidden="1">{#N/A,#N/A,FALSE,"P.C.B"}</definedName>
    <definedName name="업" hidden="1">{#N/A,#N/A,FALSE,"P.C.B"}</definedName>
    <definedName name="역자계_Simulation___설계기준">#REF!</definedName>
    <definedName name="열_융착_Boss_설계_Guide">#REF!</definedName>
    <definedName name="외관_Gap_관리_Metal_재질">#REF!</definedName>
    <definedName name="외관_Mold_대비_Ear_jack_돌출량">#REF!</definedName>
    <definedName name="외관_부착물_Guide">#REF!</definedName>
    <definedName name="외부_충격에_쉽게_빠지는지_Check">#REF!</definedName>
    <definedName name="외부_충격에_쉽게_빠지는지_Check_2">#REF!</definedName>
    <definedName name="외부_충격에_쉽게_빠지는지_Check_3">#REF!</definedName>
    <definedName name="외부_충격에_의한_Tact_Switch_떨어짐_Check">#REF!</definedName>
    <definedName name="외부_충격으로_인한_Ear_jack_떨어짐_Check">#REF!</definedName>
    <definedName name="외부_충격으로_인한_Ear_jack_떨어짐_Check_2">#REF!</definedName>
    <definedName name="외부에_노출_안된_부분의_Round_적용_값_Guide">#REF!</definedName>
    <definedName name="외부에_노출된_부분의_Round_적용_값_Guide">#REF!</definedName>
    <definedName name="우" localSheetId="0" hidden="1">{#N/A,#N/A,FALSE,"P.C.B"}</definedName>
    <definedName name="우" localSheetId="3" hidden="1">{#N/A,#N/A,FALSE,"P.C.B"}</definedName>
    <definedName name="우" localSheetId="2" hidden="1">{#N/A,#N/A,FALSE,"P.C.B"}</definedName>
    <definedName name="우" localSheetId="1" hidden="1">{#N/A,#N/A,FALSE,"P.C.B"}</definedName>
    <definedName name="우" hidden="1">{#N/A,#N/A,FALSE,"P.C.B"}</definedName>
    <definedName name="우ㄴ" localSheetId="0" hidden="1">{#N/A,#N/A,FALSE,"P.C.B"}</definedName>
    <definedName name="우ㄴ" localSheetId="3" hidden="1">{#N/A,#N/A,FALSE,"P.C.B"}</definedName>
    <definedName name="우ㄴ" localSheetId="2" hidden="1">{#N/A,#N/A,FALSE,"P.C.B"}</definedName>
    <definedName name="우ㄴ" localSheetId="1" hidden="1">{#N/A,#N/A,FALSE,"P.C.B"}</definedName>
    <definedName name="우ㄴ" hidden="1">{#N/A,#N/A,FALSE,"P.C.B"}</definedName>
    <definedName name="원자재_별_단품_절곡_Test_결과">#REF!</definedName>
    <definedName name="원할한_기능을_위한_Hole치수_및_기타">#REF!</definedName>
    <definedName name="원할한_기능을_위한_두께__투과율_확인">#REF!</definedName>
    <definedName name="유동_방지_구조_확인">#REF!</definedName>
    <definedName name="유동_방지_구조_확인_2">#REF!</definedName>
    <definedName name="이남구" localSheetId="0" hidden="1">{#N/A,#N/A,FALSE,"P.C.B"}</definedName>
    <definedName name="이남구" localSheetId="3" hidden="1">{#N/A,#N/A,FALSE,"P.C.B"}</definedName>
    <definedName name="이남구" localSheetId="2" hidden="1">{#N/A,#N/A,FALSE,"P.C.B"}</definedName>
    <definedName name="이남구" localSheetId="1" hidden="1">{#N/A,#N/A,FALSE,"P.C.B"}</definedName>
    <definedName name="이남구" hidden="1">{#N/A,#N/A,FALSE,"P.C.B"}</definedName>
    <definedName name="이물__분진_및_침수__유입_방지를_위한_Pad_Size">#REF!</definedName>
    <definedName name="이물_유입_방지_Pad_조립성_관련_검토">#REF!</definedName>
    <definedName name="이물_유입_방지를_위한_FPCB_Size">#REF!</definedName>
    <definedName name="이봉해" localSheetId="0" hidden="1">{#N/A,#N/A,FALSE,"자재관리";#N/A,#N/A,FALSE,"자재관리";#N/A,#N/A,FALSE,"자재관리"}</definedName>
    <definedName name="이봉해" localSheetId="3" hidden="1">{#N/A,#N/A,FALSE,"자재관리";#N/A,#N/A,FALSE,"자재관리";#N/A,#N/A,FALSE,"자재관리"}</definedName>
    <definedName name="이봉해" localSheetId="2" hidden="1">{#N/A,#N/A,FALSE,"자재관리";#N/A,#N/A,FALSE,"자재관리";#N/A,#N/A,FALSE,"자재관리"}</definedName>
    <definedName name="이봉해" localSheetId="1" hidden="1">{#N/A,#N/A,FALSE,"자재관리";#N/A,#N/A,FALSE,"자재관리";#N/A,#N/A,FALSE,"자재관리"}</definedName>
    <definedName name="이봉해" hidden="1">{#N/A,#N/A,FALSE,"자재관리";#N/A,#N/A,FALSE,"자재관리";#N/A,#N/A,FALSE,"자재관리"}</definedName>
    <definedName name="이재승">#REF!</definedName>
    <definedName name="이중_Switch_Dome_사양__승인원">#REF!</definedName>
    <definedName name="이중사출_Cap__Micro_SD__MMI__동작_시_NCVM관련_Guide">#REF!</definedName>
    <definedName name="이중사출_PC___ABS도금__Guide">#REF!</definedName>
    <definedName name="이중사출_PC___ABS도금__Guide_2">#REF!</definedName>
    <definedName name="이중사출_시_견고성">#REF!</definedName>
    <definedName name="이ㅣ">#REF!</definedName>
    <definedName name="ㅈ" localSheetId="0" hidden="1">{#N/A,#N/A,FALSE,"자재관리";#N/A,#N/A,FALSE,"자재관리";#N/A,#N/A,FALSE,"자재관리"}</definedName>
    <definedName name="ㅈ" localSheetId="3" hidden="1">{#N/A,#N/A,FALSE,"자재관리";#N/A,#N/A,FALSE,"자재관리";#N/A,#N/A,FALSE,"자재관리"}</definedName>
    <definedName name="ㅈ" localSheetId="2" hidden="1">{#N/A,#N/A,FALSE,"자재관리";#N/A,#N/A,FALSE,"자재관리";#N/A,#N/A,FALSE,"자재관리"}</definedName>
    <definedName name="ㅈ" localSheetId="1" hidden="1">{#N/A,#N/A,FALSE,"자재관리";#N/A,#N/A,FALSE,"자재관리";#N/A,#N/A,FALSE,"자재관리"}</definedName>
    <definedName name="ㅈ" hidden="1">{#N/A,#N/A,FALSE,"자재관리";#N/A,#N/A,FALSE,"자재관리";#N/A,#N/A,FALSE,"자재관리"}</definedName>
    <definedName name="ㅈㅈ">#REF!</definedName>
    <definedName name="ㅈㅈㅈ" hidden="1">#REF!</definedName>
    <definedName name="자">#REF!</definedName>
    <definedName name="자사_양산된_모델_차광Tape_부착영역_2008.8_2010.8____Best_사례">#REF!</definedName>
    <definedName name="장준홍" localSheetId="0" hidden="1">{#N/A,#N/A,FALSE,"P.C.B"}</definedName>
    <definedName name="장준홍" localSheetId="3" hidden="1">{#N/A,#N/A,FALSE,"P.C.B"}</definedName>
    <definedName name="장준홍" localSheetId="2" hidden="1">{#N/A,#N/A,FALSE,"P.C.B"}</definedName>
    <definedName name="장준홍" localSheetId="1" hidden="1">{#N/A,#N/A,FALSE,"P.C.B"}</definedName>
    <definedName name="장준홍" hidden="1">{#N/A,#N/A,FALSE,"P.C.B"}</definedName>
    <definedName name="장중혁" localSheetId="0">{"XLSHEET.XLA"}</definedName>
    <definedName name="장중혁" localSheetId="3">{"XLSHEET.XLA"}</definedName>
    <definedName name="장중혁" localSheetId="2">{"XLSHEET.XLA"}</definedName>
    <definedName name="장중혁" localSheetId="1">{"XLSHEET.XLA"}</definedName>
    <definedName name="장중혁">{"XLSHEET.XLA"}</definedName>
    <definedName name="장착된__MicroSD_Card의_위치">#REF!</definedName>
    <definedName name="재고">#REF!</definedName>
    <definedName name="재고계획1" localSheetId="0" hidden="1">{#N/A,#N/A,FALSE,"P.C.B"}</definedName>
    <definedName name="재고계획1" localSheetId="3" hidden="1">{#N/A,#N/A,FALSE,"P.C.B"}</definedName>
    <definedName name="재고계획1" localSheetId="2" hidden="1">{#N/A,#N/A,FALSE,"P.C.B"}</definedName>
    <definedName name="재고계획1" localSheetId="1" hidden="1">{#N/A,#N/A,FALSE,"P.C.B"}</definedName>
    <definedName name="재고계획1" hidden="1">{#N/A,#N/A,FALSE,"P.C.B"}</definedName>
    <definedName name="재료비">#REF!</definedName>
    <definedName name="재작업성_및_After_Service_고려_사항">#REF!</definedName>
    <definedName name="재질별_Hook_기구_설계_2_Guide_Mold_to_Mold">#REF!</definedName>
    <definedName name="재질별_Hook_기구_설계_Guide_Mold_to_Diecasting">#REF!</definedName>
    <definedName name="재질별_Hook_기구_설계_Guide_Mold_to_Mold">#REF!</definedName>
    <definedName name="전면_Navi__Multi__Key_고정_구조">#REF!</definedName>
    <definedName name="접착_type적용_시_Check_사항">#REF!</definedName>
    <definedName name="접착_type적용_시_Check_사항_2">#REF!</definedName>
    <definedName name="접착_면은_평면이며_접착_면적_Check">#REF!</definedName>
    <definedName name="접착_면은_평면이며_접착_면적_Check_2">#REF!</definedName>
    <definedName name="제_목">#REF!</definedName>
    <definedName name="제_목NCVM_코팅_단면_구조">#REF!</definedName>
    <definedName name="제_목Proximity_Sensor_형합부_기본_구조_근접센서">#REF!</definedName>
    <definedName name="제품인정_Check_List_Metal_Dome">#REF!</definedName>
    <definedName name="조립___분해시_용이한_구조_확인">#REF!</definedName>
    <definedName name="조립___분해시_용이한_구조_확인_2">#REF!</definedName>
    <definedName name="조립___분해시_용이한_구조_확인_3">#REF!</definedName>
    <definedName name="조립_기준_clip_PAD_설정">#REF!</definedName>
    <definedName name="조립_후_유동_Check">#REF!</definedName>
    <definedName name="조립_후_유동_Check_2">#REF!</definedName>
    <definedName name="조립_후_유동_Check_3">#REF!</definedName>
    <definedName name="조립_후_유동_Check_4">#REF!</definedName>
    <definedName name="종공" localSheetId="0" hidden="1">{"REVISED",#N/A,FALSE,"Sheet1"}</definedName>
    <definedName name="종공" localSheetId="3" hidden="1">{"REVISED",#N/A,FALSE,"Sheet1"}</definedName>
    <definedName name="종공" localSheetId="2" hidden="1">{"REVISED",#N/A,FALSE,"Sheet1"}</definedName>
    <definedName name="종공" localSheetId="1" hidden="1">{"REVISED",#N/A,FALSE,"Sheet1"}</definedName>
    <definedName name="종공" hidden="1">{"REVISED",#N/A,FALSE,"Sheet1"}</definedName>
    <definedName name="중앙_Hook_Type_설계_Guide">#REF!</definedName>
    <definedName name="중요_공정_관리">#REF!</definedName>
    <definedName name="증착_지그와_제품_간_Gap_확인">#REF!</definedName>
    <definedName name="진척" localSheetId="0" hidden="1">{#N/A,#N/A,FALSE,"자재관리";#N/A,#N/A,FALSE,"자재관리";#N/A,#N/A,FALSE,"자재관리"}</definedName>
    <definedName name="진척" localSheetId="3" hidden="1">{#N/A,#N/A,FALSE,"자재관리";#N/A,#N/A,FALSE,"자재관리";#N/A,#N/A,FALSE,"자재관리"}</definedName>
    <definedName name="진척" localSheetId="2" hidden="1">{#N/A,#N/A,FALSE,"자재관리";#N/A,#N/A,FALSE,"자재관리";#N/A,#N/A,FALSE,"자재관리"}</definedName>
    <definedName name="진척" localSheetId="1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차광_Tape_공정_및_Dome_Assy_공정">#REF!</definedName>
    <definedName name="차광_Tape_영역_Guide">#REF!</definedName>
    <definedName name="차광_TAPE_영역_GUIDE_1">#REF!</definedName>
    <definedName name="차광_TAPE_영역_GUIDE_2">#REF!</definedName>
    <definedName name="차광_Tape_재질_Guide">#REF!</definedName>
    <definedName name="차광_Tape_재질_및_접착력">#REF!</definedName>
    <definedName name="차광_TAPE_재질_접착력">#REF!</definedName>
    <definedName name="차광_Tape의_영역_Guide">#REF!</definedName>
    <definedName name="차광_Tape의_영역_Guide__LGF">#REF!</definedName>
    <definedName name="차광_Tape의_영역_Guide_2">#REF!</definedName>
    <definedName name="차광_Tape의_영역_Guide_모델_참조">#REF!</definedName>
    <definedName name="차광_테이프_신뢰성_시험">#REF!</definedName>
    <definedName name="차광_테이프_점착력_테스트_결과">#REF!</definedName>
    <definedName name="착탈식_Hook_위치_Guide_2__Hook_Type">#REF!</definedName>
    <definedName name="착탈식_Hook_위치_Guide_3__Hook_Type">#REF!</definedName>
    <definedName name="착탈식_Hook_위치_Guide_4__Hook_Type">#REF!</definedName>
    <definedName name="착탈식_Hook_위치_Guide_Hook_Type">#REF!</definedName>
    <definedName name="체결_Hook_설계_Guide_2">#REF!</definedName>
    <definedName name="체결_Hook_설계_Guide_3">#REF!</definedName>
    <definedName name="체결_Hook_설계_Guide_4">#REF!</definedName>
    <definedName name="체결_Hook_설계_Guide_측면_2">#REF!</definedName>
    <definedName name="초1">#REF!</definedName>
    <definedName name="초음파_융착_설계_Guide">#REF!</definedName>
    <definedName name="측면_Hook_Type_설계_Guide">#REF!</definedName>
    <definedName name="측면_P_L이_외관으로_노출될_경우_P_L_외관_품질_및_신뢰성_검토">#REF!</definedName>
    <definedName name="카메라_안착면의_응력_분포_Check">#REF!</definedName>
    <definedName name="클릭_시__Rubber_base가_dome의_정중앙을_제외하고_metal_dome과_간섭_여부_Check">#REF!</definedName>
    <definedName name="클릭감_개선">#REF!</definedName>
    <definedName name="키_인식돌기_자사___타사_현상_분석">#REF!</definedName>
    <definedName name="키_인식돌기_형상_높이_설계_Guide">#REF!</definedName>
    <definedName name="팀별" localSheetId="0" hidden="1">{#N/A,#N/A,FALSE,"자재관리";#N/A,#N/A,FALSE,"자재관리";#N/A,#N/A,FALSE,"자재관리"}</definedName>
    <definedName name="팀별" localSheetId="3" hidden="1">{#N/A,#N/A,FALSE,"자재관리";#N/A,#N/A,FALSE,"자재관리";#N/A,#N/A,FALSE,"자재관리"}</definedName>
    <definedName name="팀별" localSheetId="2" hidden="1">{#N/A,#N/A,FALSE,"자재관리";#N/A,#N/A,FALSE,"자재관리";#N/A,#N/A,FALSE,"자재관리"}</definedName>
    <definedName name="팀별" localSheetId="1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ㅍㅍ" localSheetId="0" hidden="1">{#N/A,#N/A,FALSE,"P.C.B"}</definedName>
    <definedName name="ㅍㅍ" localSheetId="3" hidden="1">{#N/A,#N/A,FALSE,"P.C.B"}</definedName>
    <definedName name="ㅍㅍ" localSheetId="2" hidden="1">{#N/A,#N/A,FALSE,"P.C.B"}</definedName>
    <definedName name="ㅍㅍ" localSheetId="1" hidden="1">{#N/A,#N/A,FALSE,"P.C.B"}</definedName>
    <definedName name="ㅍㅍ" hidden="1">{#N/A,#N/A,FALSE,"P.C.B"}</definedName>
    <definedName name="판매국내">#REF!</definedName>
    <definedName name="판매무상">#REF!</definedName>
    <definedName name="판매해외">#REF!</definedName>
    <definedName name="평가함수_및_관리기준_적용_제안">#REF!</definedName>
    <definedName name="폏ㄴ" localSheetId="0" hidden="1">{#N/A,#N/A,FALSE,"자재관리";#N/A,#N/A,FALSE,"자재관리";#N/A,#N/A,FALSE,"자재관리"}</definedName>
    <definedName name="폏ㄴ" localSheetId="3" hidden="1">{#N/A,#N/A,FALSE,"자재관리";#N/A,#N/A,FALSE,"자재관리";#N/A,#N/A,FALSE,"자재관리"}</definedName>
    <definedName name="폏ㄴ" localSheetId="2" hidden="1">{#N/A,#N/A,FALSE,"자재관리";#N/A,#N/A,FALSE,"자재관리";#N/A,#N/A,FALSE,"자재관리"}</definedName>
    <definedName name="폏ㄴ" localSheetId="1" hidden="1">{#N/A,#N/A,FALSE,"자재관리";#N/A,#N/A,FALSE,"자재관리";#N/A,#N/A,FALSE,"자재관리"}</definedName>
    <definedName name="폏ㄴ" hidden="1">{#N/A,#N/A,FALSE,"자재관리";#N/A,#N/A,FALSE,"자재관리";#N/A,#N/A,FALSE,"자재관리"}</definedName>
    <definedName name="표준제정신청서RE1" localSheetId="0" hidden="1">{#N/A,#N/A,FALSE,"P.C.B"}</definedName>
    <definedName name="표준제정신청서RE1" localSheetId="3" hidden="1">{#N/A,#N/A,FALSE,"P.C.B"}</definedName>
    <definedName name="표준제정신청서RE1" localSheetId="2" hidden="1">{#N/A,#N/A,FALSE,"P.C.B"}</definedName>
    <definedName name="표준제정신청서RE1" localSheetId="1" hidden="1">{#N/A,#N/A,FALSE,"P.C.B"}</definedName>
    <definedName name="표준제정신청서RE1" hidden="1">{#N/A,#N/A,FALSE,"P.C.B"}</definedName>
    <definedName name="ㅎ" localSheetId="0" hidden="1">{#N/A,#N/A,FALSE,"P.C.B"}</definedName>
    <definedName name="ㅎ" localSheetId="3" hidden="1">{#N/A,#N/A,FALSE,"P.C.B"}</definedName>
    <definedName name="ㅎ" localSheetId="2" hidden="1">{#N/A,#N/A,FALSE,"P.C.B"}</definedName>
    <definedName name="ㅎ" localSheetId="1" hidden="1">{#N/A,#N/A,FALSE,"P.C.B"}</definedName>
    <definedName name="ㅎ" hidden="1">{#N/A,#N/A,FALSE,"P.C.B"}</definedName>
    <definedName name="해외출장비_Depo" hidden="1">#REF!</definedName>
    <definedName name="형상별_차광_Tape_가격">#REF!</definedName>
    <definedName name="회로22" localSheetId="0" hidden="1">{"COMPARISON",#N/A,FALSE,"Sheet1"}</definedName>
    <definedName name="회로22" localSheetId="3" hidden="1">{"COMPARISON",#N/A,FALSE,"Sheet1"}</definedName>
    <definedName name="회로22" localSheetId="2" hidden="1">{"COMPARISON",#N/A,FALSE,"Sheet1"}</definedName>
    <definedName name="회로22" localSheetId="1" hidden="1">{"COMPARISON",#N/A,FALSE,"Sheet1"}</definedName>
    <definedName name="회로22" hidden="1">{"COMPARISON",#N/A,FALSE,"Sheet1"}</definedName>
    <definedName name="회로기타">#REF!</definedName>
    <definedName name="회전Type_들뜸방지">#REF!</definedName>
    <definedName name="회전Type_들뜸방지_2">#REF!</definedName>
    <definedName name="ㅏㅏㅏ" localSheetId="0" hidden="1">{"'Sheet1'!$E$23","'Sheet1'!$A$3:$H$19","'Sheet1'!$A$1:$H$19"}</definedName>
    <definedName name="ㅏㅏㅏ" localSheetId="3" hidden="1">{"'Sheet1'!$E$23","'Sheet1'!$A$3:$H$19","'Sheet1'!$A$1:$H$19"}</definedName>
    <definedName name="ㅏㅏㅏ" localSheetId="2" hidden="1">{"'Sheet1'!$E$23","'Sheet1'!$A$3:$H$19","'Sheet1'!$A$1:$H$19"}</definedName>
    <definedName name="ㅏㅏㅏ" localSheetId="1" hidden="1">{"'Sheet1'!$E$23","'Sheet1'!$A$3:$H$19","'Sheet1'!$A$1:$H$19"}</definedName>
    <definedName name="ㅏㅏㅏ" hidden="1">{"'Sheet1'!$E$23","'Sheet1'!$A$3:$H$19","'Sheet1'!$A$1:$H$19"}</definedName>
    <definedName name="ㅓ" localSheetId="0" hidden="1">{#N/A,#N/A,TRUE,"자재관리";#N/A,#N/A,TRUE,"품질"}</definedName>
    <definedName name="ㅓ" localSheetId="3" hidden="1">{#N/A,#N/A,TRUE,"자재관리";#N/A,#N/A,TRUE,"품질"}</definedName>
    <definedName name="ㅓ" localSheetId="2" hidden="1">{#N/A,#N/A,TRUE,"자재관리";#N/A,#N/A,TRUE,"품질"}</definedName>
    <definedName name="ㅓ" localSheetId="1" hidden="1">{#N/A,#N/A,TRUE,"자재관리";#N/A,#N/A,TRUE,"품질"}</definedName>
    <definedName name="ㅓ" hidden="1">{#N/A,#N/A,TRUE,"자재관리";#N/A,#N/A,TRUE,"품질"}</definedName>
    <definedName name="ㅗ" localSheetId="0" hidden="1">{#N/A,#N/A,FALSE,"P.C.B"}</definedName>
    <definedName name="ㅗ" localSheetId="3" hidden="1">{#N/A,#N/A,FALSE,"P.C.B"}</definedName>
    <definedName name="ㅗ" localSheetId="2" hidden="1">{#N/A,#N/A,FALSE,"P.C.B"}</definedName>
    <definedName name="ㅗ" localSheetId="1" hidden="1">{#N/A,#N/A,FALSE,"P.C.B"}</definedName>
    <definedName name="ㅗ" hidden="1">{#N/A,#N/A,FALSE,"P.C.B"}</definedName>
    <definedName name="ㅛ" localSheetId="0" hidden="1">{#N/A,#N/A,FALSE,"자재관리";#N/A,#N/A,FALSE,"자재관리";#N/A,#N/A,FALSE,"자재관리"}</definedName>
    <definedName name="ㅛ" localSheetId="3" hidden="1">{#N/A,#N/A,FALSE,"자재관리";#N/A,#N/A,FALSE,"자재관리";#N/A,#N/A,FALSE,"자재관리"}</definedName>
    <definedName name="ㅛ" localSheetId="2" hidden="1">{#N/A,#N/A,FALSE,"자재관리";#N/A,#N/A,FALSE,"자재관리";#N/A,#N/A,FALSE,"자재관리"}</definedName>
    <definedName name="ㅛ" localSheetId="1" hidden="1">{#N/A,#N/A,FALSE,"자재관리";#N/A,#N/A,FALSE,"자재관리";#N/A,#N/A,FALSE,"자재관리"}</definedName>
    <definedName name="ㅛ" hidden="1">{#N/A,#N/A,FALSE,"자재관리";#N/A,#N/A,FALSE,"자재관리";#N/A,#N/A,FALSE,"자재관리"}</definedName>
    <definedName name="ㅜㄴ" localSheetId="0" hidden="1">{#N/A,#N/A,FALSE,"P.C.B"}</definedName>
    <definedName name="ㅜㄴ" localSheetId="3" hidden="1">{#N/A,#N/A,FALSE,"P.C.B"}</definedName>
    <definedName name="ㅜㄴ" localSheetId="2" hidden="1">{#N/A,#N/A,FALSE,"P.C.B"}</definedName>
    <definedName name="ㅜㄴ" localSheetId="1" hidden="1">{#N/A,#N/A,FALSE,"P.C.B"}</definedName>
    <definedName name="ㅜㄴ" hidden="1">{#N/A,#N/A,FALSE,"P.C.B"}</definedName>
    <definedName name="ㅜㄴ우" localSheetId="0" hidden="1">{#N/A,#N/A,FALSE,"P.C.B"}</definedName>
    <definedName name="ㅜㄴ우" localSheetId="3" hidden="1">{#N/A,#N/A,FALSE,"P.C.B"}</definedName>
    <definedName name="ㅜㄴ우" localSheetId="2" hidden="1">{#N/A,#N/A,FALSE,"P.C.B"}</definedName>
    <definedName name="ㅜㄴ우" localSheetId="1" hidden="1">{#N/A,#N/A,FALSE,"P.C.B"}</definedName>
    <definedName name="ㅜㄴ우" hidden="1">{#N/A,#N/A,FALSE,"P.C.B"}</definedName>
    <definedName name="ㅜㄴ우ㄴ" localSheetId="0" hidden="1">{#N/A,#N/A,FALSE,"P.C.B"}</definedName>
    <definedName name="ㅜㄴ우ㄴ" localSheetId="3" hidden="1">{#N/A,#N/A,FALSE,"P.C.B"}</definedName>
    <definedName name="ㅜㄴ우ㄴ" localSheetId="2" hidden="1">{#N/A,#N/A,FALSE,"P.C.B"}</definedName>
    <definedName name="ㅜㄴ우ㄴ" localSheetId="1" hidden="1">{#N/A,#N/A,FALSE,"P.C.B"}</definedName>
    <definedName name="ㅜㄴ우ㄴ" hidden="1">{#N/A,#N/A,FALSE,"P.C.B"}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2" i="6" l="1"/>
  <c r="Q602" i="6"/>
  <c r="R602" i="6"/>
  <c r="U602" i="6"/>
  <c r="L603" i="6"/>
  <c r="Q603" i="6"/>
  <c r="R603" i="6"/>
  <c r="U603" i="6"/>
  <c r="L604" i="6"/>
  <c r="Q604" i="6"/>
  <c r="R604" i="6"/>
  <c r="U604" i="6"/>
  <c r="L605" i="6"/>
  <c r="Q605" i="6"/>
  <c r="R605" i="6"/>
  <c r="U605" i="6"/>
  <c r="L606" i="6"/>
  <c r="Q606" i="6"/>
  <c r="R606" i="6"/>
  <c r="U606" i="6"/>
  <c r="L607" i="6"/>
  <c r="Q607" i="6"/>
  <c r="R607" i="6"/>
  <c r="U607" i="6"/>
  <c r="L608" i="6"/>
  <c r="Q608" i="6"/>
  <c r="R608" i="6"/>
  <c r="U608" i="6"/>
  <c r="L609" i="6"/>
  <c r="Q609" i="6"/>
  <c r="R609" i="6"/>
  <c r="U609" i="6"/>
  <c r="L610" i="6"/>
  <c r="Q610" i="6"/>
  <c r="R610" i="6"/>
  <c r="U610" i="6"/>
  <c r="L611" i="6"/>
  <c r="Q611" i="6"/>
  <c r="R611" i="6"/>
  <c r="U611" i="6"/>
  <c r="L612" i="6"/>
  <c r="Q612" i="6"/>
  <c r="R612" i="6"/>
  <c r="U612" i="6"/>
  <c r="L613" i="6"/>
  <c r="Q613" i="6"/>
  <c r="R613" i="6"/>
  <c r="U613" i="6"/>
  <c r="L614" i="6"/>
  <c r="Q614" i="6"/>
  <c r="R614" i="6"/>
  <c r="U614" i="6"/>
  <c r="L615" i="6"/>
  <c r="Q615" i="6"/>
  <c r="R615" i="6"/>
  <c r="U615" i="6"/>
  <c r="L616" i="6"/>
  <c r="Q616" i="6"/>
  <c r="R616" i="6"/>
  <c r="U616" i="6"/>
  <c r="L617" i="6"/>
  <c r="Q617" i="6"/>
  <c r="R617" i="6"/>
  <c r="U617" i="6"/>
  <c r="L618" i="6"/>
  <c r="Q618" i="6"/>
  <c r="R618" i="6"/>
  <c r="U618" i="6"/>
  <c r="L619" i="6"/>
  <c r="Q619" i="6"/>
  <c r="R619" i="6"/>
  <c r="U619" i="6"/>
  <c r="L620" i="6"/>
  <c r="Q620" i="6"/>
  <c r="R620" i="6"/>
  <c r="U620" i="6"/>
  <c r="L621" i="6"/>
  <c r="Q621" i="6"/>
  <c r="R621" i="6"/>
  <c r="U621" i="6"/>
  <c r="L622" i="6"/>
  <c r="Q622" i="6"/>
  <c r="R622" i="6"/>
  <c r="U622" i="6"/>
  <c r="L623" i="6"/>
  <c r="Q623" i="6"/>
  <c r="R623" i="6"/>
  <c r="U623" i="6"/>
  <c r="L624" i="6"/>
  <c r="Q624" i="6"/>
  <c r="R624" i="6"/>
  <c r="U624" i="6"/>
  <c r="L625" i="6"/>
  <c r="Q625" i="6"/>
  <c r="R625" i="6"/>
  <c r="U625" i="6"/>
  <c r="L626" i="6"/>
  <c r="Q626" i="6"/>
  <c r="R626" i="6"/>
  <c r="U626" i="6"/>
  <c r="L627" i="6"/>
  <c r="Q627" i="6"/>
  <c r="R627" i="6"/>
  <c r="U627" i="6"/>
  <c r="L628" i="6"/>
  <c r="Q628" i="6"/>
  <c r="R628" i="6"/>
  <c r="U628" i="6"/>
  <c r="L629" i="6"/>
  <c r="Q629" i="6"/>
  <c r="R629" i="6"/>
  <c r="U629" i="6"/>
  <c r="L630" i="6"/>
  <c r="Q630" i="6"/>
  <c r="R630" i="6"/>
  <c r="U630" i="6"/>
  <c r="L631" i="6"/>
  <c r="Q631" i="6"/>
  <c r="R631" i="6"/>
  <c r="U631" i="6"/>
  <c r="L632" i="6"/>
  <c r="Q632" i="6"/>
  <c r="R632" i="6"/>
  <c r="U632" i="6"/>
  <c r="L633" i="6"/>
  <c r="Q633" i="6"/>
  <c r="R633" i="6"/>
  <c r="U633" i="6"/>
  <c r="L634" i="6"/>
  <c r="Q634" i="6"/>
  <c r="R634" i="6"/>
  <c r="U634" i="6"/>
  <c r="L635" i="6"/>
  <c r="Q635" i="6"/>
  <c r="R635" i="6"/>
  <c r="U635" i="6"/>
  <c r="L636" i="6"/>
  <c r="Q636" i="6"/>
  <c r="R636" i="6"/>
  <c r="U636" i="6"/>
  <c r="L637" i="6"/>
  <c r="Q637" i="6"/>
  <c r="R637" i="6"/>
  <c r="U637" i="6"/>
  <c r="L638" i="6"/>
  <c r="Q638" i="6"/>
  <c r="R638" i="6"/>
  <c r="U638" i="6"/>
  <c r="L639" i="6"/>
  <c r="Q639" i="6"/>
  <c r="R639" i="6"/>
  <c r="U639" i="6"/>
  <c r="L640" i="6"/>
  <c r="Q640" i="6"/>
  <c r="R640" i="6"/>
  <c r="U640" i="6"/>
  <c r="L641" i="6"/>
  <c r="Q641" i="6"/>
  <c r="R641" i="6"/>
  <c r="U641" i="6"/>
  <c r="L642" i="6"/>
  <c r="Q642" i="6"/>
  <c r="R642" i="6"/>
  <c r="U642" i="6"/>
  <c r="L643" i="6"/>
  <c r="Q643" i="6"/>
  <c r="R643" i="6"/>
  <c r="U643" i="6"/>
  <c r="L644" i="6"/>
  <c r="Q644" i="6"/>
  <c r="R644" i="6"/>
  <c r="U644" i="6"/>
  <c r="L645" i="6"/>
  <c r="Q645" i="6"/>
  <c r="R645" i="6"/>
  <c r="U645" i="6"/>
  <c r="L646" i="6"/>
  <c r="Q646" i="6"/>
  <c r="R646" i="6"/>
  <c r="U646" i="6"/>
  <c r="L647" i="6"/>
  <c r="Q647" i="6"/>
  <c r="R647" i="6"/>
  <c r="U647" i="6"/>
  <c r="L648" i="6"/>
  <c r="Q648" i="6"/>
  <c r="R648" i="6"/>
  <c r="U648" i="6"/>
  <c r="L649" i="6"/>
  <c r="Q649" i="6"/>
  <c r="R649" i="6"/>
  <c r="U649" i="6"/>
  <c r="L650" i="6"/>
  <c r="Q650" i="6"/>
  <c r="R650" i="6"/>
  <c r="U650" i="6"/>
  <c r="L651" i="6"/>
  <c r="Q651" i="6"/>
  <c r="R651" i="6"/>
  <c r="U651" i="6"/>
  <c r="L652" i="6"/>
  <c r="Q652" i="6"/>
  <c r="R652" i="6"/>
  <c r="U652" i="6"/>
  <c r="L653" i="6"/>
  <c r="Q653" i="6"/>
  <c r="R653" i="6"/>
  <c r="U653" i="6"/>
  <c r="L654" i="6"/>
  <c r="Q654" i="6"/>
  <c r="R654" i="6"/>
  <c r="U654" i="6"/>
  <c r="L655" i="6"/>
  <c r="Q655" i="6"/>
  <c r="R655" i="6"/>
  <c r="U655" i="6"/>
  <c r="L656" i="6"/>
  <c r="Q656" i="6"/>
  <c r="R656" i="6"/>
  <c r="U656" i="6"/>
  <c r="L657" i="6"/>
  <c r="Q657" i="6"/>
  <c r="R657" i="6"/>
  <c r="U657" i="6"/>
  <c r="L658" i="6"/>
  <c r="Q658" i="6"/>
  <c r="R658" i="6"/>
  <c r="U658" i="6"/>
  <c r="L659" i="6"/>
  <c r="Q659" i="6"/>
  <c r="R659" i="6"/>
  <c r="U659" i="6"/>
  <c r="L660" i="6"/>
  <c r="Q660" i="6"/>
  <c r="R660" i="6"/>
  <c r="U660" i="6"/>
  <c r="L661" i="6"/>
  <c r="Q661" i="6"/>
  <c r="R661" i="6"/>
  <c r="U661" i="6"/>
  <c r="L662" i="6"/>
  <c r="Q662" i="6"/>
  <c r="R662" i="6"/>
  <c r="U662" i="6"/>
  <c r="L663" i="6"/>
  <c r="Q663" i="6"/>
  <c r="R663" i="6"/>
  <c r="U663" i="6"/>
  <c r="L664" i="6"/>
  <c r="Q664" i="6"/>
  <c r="R664" i="6"/>
  <c r="U664" i="6"/>
  <c r="L665" i="6"/>
  <c r="Q665" i="6"/>
  <c r="R665" i="6"/>
  <c r="U665" i="6"/>
  <c r="L666" i="6"/>
  <c r="Q666" i="6"/>
  <c r="R666" i="6"/>
  <c r="U666" i="6"/>
  <c r="L667" i="6"/>
  <c r="Q667" i="6"/>
  <c r="R667" i="6"/>
  <c r="U667" i="6"/>
  <c r="L668" i="6"/>
  <c r="Q668" i="6"/>
  <c r="R668" i="6"/>
  <c r="U668" i="6"/>
  <c r="L669" i="6"/>
  <c r="Q669" i="6"/>
  <c r="R669" i="6"/>
  <c r="U669" i="6"/>
  <c r="L670" i="6"/>
  <c r="Q670" i="6"/>
  <c r="R670" i="6"/>
  <c r="U670" i="6"/>
  <c r="L671" i="6"/>
  <c r="Q671" i="6"/>
  <c r="R671" i="6"/>
  <c r="U671" i="6"/>
  <c r="L672" i="6"/>
  <c r="Q672" i="6"/>
  <c r="R672" i="6"/>
  <c r="U672" i="6"/>
  <c r="L673" i="6"/>
  <c r="Q673" i="6"/>
  <c r="R673" i="6"/>
  <c r="U673" i="6"/>
  <c r="L674" i="6"/>
  <c r="Q674" i="6"/>
  <c r="R674" i="6"/>
  <c r="U674" i="6"/>
  <c r="L675" i="6"/>
  <c r="Q675" i="6"/>
  <c r="R675" i="6"/>
  <c r="U675" i="6"/>
  <c r="L676" i="6"/>
  <c r="Q676" i="6"/>
  <c r="R676" i="6"/>
  <c r="U676" i="6"/>
  <c r="L677" i="6"/>
  <c r="Q677" i="6"/>
  <c r="R677" i="6"/>
  <c r="U677" i="6"/>
  <c r="L678" i="6"/>
  <c r="Q678" i="6"/>
  <c r="R678" i="6"/>
  <c r="U678" i="6"/>
  <c r="L679" i="6"/>
  <c r="Q679" i="6"/>
  <c r="R679" i="6"/>
  <c r="U679" i="6"/>
  <c r="L680" i="6"/>
  <c r="Q680" i="6"/>
  <c r="R680" i="6"/>
  <c r="U680" i="6"/>
  <c r="L681" i="6"/>
  <c r="Q681" i="6"/>
  <c r="R681" i="6"/>
  <c r="U681" i="6"/>
  <c r="L682" i="6"/>
  <c r="Q682" i="6"/>
  <c r="R682" i="6"/>
  <c r="U682" i="6"/>
  <c r="L683" i="6"/>
  <c r="Q683" i="6"/>
  <c r="R683" i="6"/>
  <c r="U683" i="6"/>
  <c r="L684" i="6"/>
  <c r="Q684" i="6"/>
  <c r="R684" i="6"/>
  <c r="U684" i="6"/>
  <c r="L685" i="6"/>
  <c r="Q685" i="6"/>
  <c r="R685" i="6"/>
  <c r="U685" i="6"/>
  <c r="L686" i="6"/>
  <c r="Q686" i="6"/>
  <c r="R686" i="6"/>
  <c r="U686" i="6"/>
  <c r="L687" i="6"/>
  <c r="Q687" i="6"/>
  <c r="R687" i="6"/>
  <c r="U687" i="6"/>
  <c r="L688" i="6"/>
  <c r="Q688" i="6"/>
  <c r="R688" i="6"/>
  <c r="U688" i="6"/>
  <c r="L689" i="6"/>
  <c r="Q689" i="6"/>
  <c r="R689" i="6"/>
  <c r="U689" i="6"/>
  <c r="L690" i="6"/>
  <c r="Q690" i="6"/>
  <c r="R690" i="6"/>
  <c r="U690" i="6"/>
  <c r="L691" i="6"/>
  <c r="Q691" i="6"/>
  <c r="R691" i="6"/>
  <c r="U691" i="6"/>
  <c r="L692" i="6"/>
  <c r="Q692" i="6"/>
  <c r="R692" i="6"/>
  <c r="U692" i="6"/>
  <c r="L693" i="6"/>
  <c r="Q693" i="6"/>
  <c r="R693" i="6"/>
  <c r="U693" i="6"/>
  <c r="L694" i="6"/>
  <c r="Q694" i="6"/>
  <c r="R694" i="6"/>
  <c r="U694" i="6"/>
  <c r="L695" i="6"/>
  <c r="Q695" i="6"/>
  <c r="R695" i="6"/>
  <c r="U695" i="6"/>
  <c r="L696" i="6"/>
  <c r="Q696" i="6"/>
  <c r="R696" i="6"/>
  <c r="U696" i="6"/>
  <c r="L697" i="6"/>
  <c r="Q697" i="6"/>
  <c r="R697" i="6"/>
  <c r="U697" i="6"/>
  <c r="L600" i="6"/>
  <c r="Q600" i="6"/>
  <c r="R600" i="6"/>
  <c r="U600" i="6"/>
  <c r="L601" i="6"/>
  <c r="Q601" i="6"/>
  <c r="R601" i="6"/>
  <c r="U601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L82" i="6"/>
  <c r="Q82" i="6"/>
  <c r="R82" i="6"/>
  <c r="U82" i="6"/>
  <c r="L83" i="6"/>
  <c r="Q83" i="6"/>
  <c r="R83" i="6"/>
  <c r="U83" i="6"/>
  <c r="L84" i="6"/>
  <c r="Q84" i="6"/>
  <c r="R84" i="6"/>
  <c r="U84" i="6"/>
  <c r="L85" i="6"/>
  <c r="Q85" i="6"/>
  <c r="R85" i="6"/>
  <c r="U85" i="6"/>
  <c r="L86" i="6"/>
  <c r="Q86" i="6"/>
  <c r="R86" i="6"/>
  <c r="U86" i="6"/>
  <c r="L87" i="6"/>
  <c r="Q87" i="6"/>
  <c r="R87" i="6"/>
  <c r="U87" i="6"/>
  <c r="L88" i="6"/>
  <c r="Q88" i="6"/>
  <c r="R88" i="6"/>
  <c r="U88" i="6"/>
  <c r="L89" i="6"/>
  <c r="Q89" i="6"/>
  <c r="R89" i="6"/>
  <c r="U89" i="6"/>
  <c r="L90" i="6"/>
  <c r="Q90" i="6"/>
  <c r="R90" i="6"/>
  <c r="U90" i="6"/>
  <c r="L91" i="6"/>
  <c r="Q91" i="6"/>
  <c r="R91" i="6"/>
  <c r="U91" i="6"/>
  <c r="L92" i="6"/>
  <c r="Q92" i="6"/>
  <c r="R92" i="6"/>
  <c r="U92" i="6"/>
  <c r="L93" i="6"/>
  <c r="Q93" i="6"/>
  <c r="R93" i="6"/>
  <c r="U93" i="6"/>
  <c r="L94" i="6"/>
  <c r="Q94" i="6"/>
  <c r="R94" i="6"/>
  <c r="U94" i="6"/>
  <c r="L95" i="6"/>
  <c r="Q95" i="6"/>
  <c r="R95" i="6"/>
  <c r="U95" i="6"/>
  <c r="L96" i="6"/>
  <c r="Q96" i="6"/>
  <c r="R96" i="6"/>
  <c r="U96" i="6"/>
  <c r="L97" i="6"/>
  <c r="Q97" i="6"/>
  <c r="R97" i="6"/>
  <c r="U97" i="6"/>
  <c r="L98" i="6"/>
  <c r="Q98" i="6"/>
  <c r="R98" i="6"/>
  <c r="U98" i="6"/>
  <c r="L99" i="6"/>
  <c r="Q99" i="6"/>
  <c r="R99" i="6"/>
  <c r="U99" i="6"/>
  <c r="L100" i="6"/>
  <c r="Q100" i="6"/>
  <c r="R100" i="6"/>
  <c r="U100" i="6"/>
  <c r="L101" i="6"/>
  <c r="Q101" i="6"/>
  <c r="R101" i="6"/>
  <c r="U101" i="6"/>
  <c r="L102" i="6"/>
  <c r="Q102" i="6"/>
  <c r="R102" i="6"/>
  <c r="U102" i="6"/>
  <c r="L103" i="6"/>
  <c r="Q103" i="6"/>
  <c r="R103" i="6"/>
  <c r="U103" i="6"/>
  <c r="L104" i="6"/>
  <c r="Q104" i="6"/>
  <c r="R104" i="6"/>
  <c r="U104" i="6"/>
  <c r="L105" i="6"/>
  <c r="Q105" i="6"/>
  <c r="R105" i="6"/>
  <c r="U105" i="6"/>
  <c r="L106" i="6"/>
  <c r="Q106" i="6"/>
  <c r="R106" i="6"/>
  <c r="U106" i="6"/>
  <c r="L107" i="6"/>
  <c r="Q107" i="6"/>
  <c r="R107" i="6"/>
  <c r="U107" i="6"/>
  <c r="L108" i="6"/>
  <c r="Q108" i="6"/>
  <c r="R108" i="6"/>
  <c r="U108" i="6"/>
  <c r="L109" i="6"/>
  <c r="Q109" i="6"/>
  <c r="R109" i="6"/>
  <c r="U109" i="6"/>
  <c r="L110" i="6"/>
  <c r="Q110" i="6"/>
  <c r="R110" i="6"/>
  <c r="U110" i="6"/>
  <c r="L111" i="6"/>
  <c r="Q111" i="6"/>
  <c r="R111" i="6"/>
  <c r="U111" i="6"/>
  <c r="L112" i="6"/>
  <c r="Q112" i="6"/>
  <c r="R112" i="6"/>
  <c r="U112" i="6"/>
  <c r="L113" i="6"/>
  <c r="Q113" i="6"/>
  <c r="R113" i="6"/>
  <c r="U113" i="6"/>
  <c r="L114" i="6"/>
  <c r="Q114" i="6"/>
  <c r="R114" i="6"/>
  <c r="U114" i="6"/>
  <c r="L115" i="6"/>
  <c r="Q115" i="6"/>
  <c r="R115" i="6"/>
  <c r="U115" i="6"/>
  <c r="L116" i="6"/>
  <c r="Q116" i="6"/>
  <c r="R116" i="6"/>
  <c r="U116" i="6"/>
  <c r="L117" i="6"/>
  <c r="Q117" i="6"/>
  <c r="R117" i="6"/>
  <c r="U117" i="6"/>
  <c r="L118" i="6"/>
  <c r="Q118" i="6"/>
  <c r="R118" i="6"/>
  <c r="U118" i="6"/>
  <c r="L119" i="6"/>
  <c r="Q119" i="6"/>
  <c r="R119" i="6"/>
  <c r="U119" i="6"/>
  <c r="L120" i="6"/>
  <c r="Q120" i="6"/>
  <c r="R120" i="6"/>
  <c r="U120" i="6"/>
  <c r="L121" i="6"/>
  <c r="Q121" i="6"/>
  <c r="R121" i="6"/>
  <c r="U121" i="6"/>
  <c r="L122" i="6"/>
  <c r="Q122" i="6"/>
  <c r="R122" i="6"/>
  <c r="U122" i="6"/>
  <c r="L123" i="6"/>
  <c r="Q123" i="6"/>
  <c r="R123" i="6"/>
  <c r="U123" i="6"/>
  <c r="L124" i="6"/>
  <c r="Q124" i="6"/>
  <c r="R124" i="6"/>
  <c r="U124" i="6"/>
  <c r="L125" i="6"/>
  <c r="Q125" i="6"/>
  <c r="R125" i="6"/>
  <c r="U125" i="6"/>
  <c r="L126" i="6"/>
  <c r="Q126" i="6"/>
  <c r="R126" i="6"/>
  <c r="U126" i="6"/>
  <c r="L127" i="6"/>
  <c r="Q127" i="6"/>
  <c r="R127" i="6"/>
  <c r="U127" i="6"/>
  <c r="L128" i="6"/>
  <c r="Q128" i="6"/>
  <c r="R128" i="6"/>
  <c r="U128" i="6"/>
  <c r="L129" i="6"/>
  <c r="Q129" i="6"/>
  <c r="R129" i="6"/>
  <c r="U129" i="6"/>
  <c r="L130" i="6"/>
  <c r="Q130" i="6"/>
  <c r="R130" i="6"/>
  <c r="U130" i="6"/>
  <c r="L131" i="6"/>
  <c r="Q131" i="6"/>
  <c r="R131" i="6"/>
  <c r="U131" i="6"/>
  <c r="L132" i="6"/>
  <c r="Q132" i="6"/>
  <c r="R132" i="6"/>
  <c r="U132" i="6"/>
  <c r="L133" i="6"/>
  <c r="Q133" i="6"/>
  <c r="R133" i="6"/>
  <c r="U133" i="6"/>
  <c r="L134" i="6"/>
  <c r="Q134" i="6"/>
  <c r="R134" i="6"/>
  <c r="U134" i="6"/>
  <c r="L135" i="6"/>
  <c r="Q135" i="6"/>
  <c r="R135" i="6"/>
  <c r="U135" i="6"/>
  <c r="L136" i="6"/>
  <c r="Q136" i="6"/>
  <c r="R136" i="6"/>
  <c r="U136" i="6"/>
  <c r="L137" i="6"/>
  <c r="Q137" i="6"/>
  <c r="R137" i="6"/>
  <c r="U137" i="6"/>
  <c r="L138" i="6"/>
  <c r="Q138" i="6"/>
  <c r="R138" i="6"/>
  <c r="U138" i="6"/>
  <c r="L139" i="6"/>
  <c r="Q139" i="6"/>
  <c r="R139" i="6"/>
  <c r="U139" i="6"/>
  <c r="L140" i="6"/>
  <c r="Q140" i="6"/>
  <c r="R140" i="6"/>
  <c r="U140" i="6"/>
  <c r="L141" i="6"/>
  <c r="Q141" i="6"/>
  <c r="R141" i="6"/>
  <c r="U141" i="6"/>
  <c r="L142" i="6"/>
  <c r="Q142" i="6"/>
  <c r="R142" i="6"/>
  <c r="U142" i="6"/>
  <c r="L143" i="6"/>
  <c r="Q143" i="6"/>
  <c r="R143" i="6"/>
  <c r="U143" i="6"/>
  <c r="L144" i="6"/>
  <c r="Q144" i="6"/>
  <c r="R144" i="6"/>
  <c r="U144" i="6"/>
  <c r="L145" i="6"/>
  <c r="Q145" i="6"/>
  <c r="R145" i="6"/>
  <c r="U145" i="6"/>
  <c r="L146" i="6"/>
  <c r="Q146" i="6"/>
  <c r="R146" i="6"/>
  <c r="U146" i="6"/>
  <c r="L147" i="6"/>
  <c r="Q147" i="6"/>
  <c r="R147" i="6"/>
  <c r="U147" i="6"/>
  <c r="L148" i="6"/>
  <c r="Q148" i="6"/>
  <c r="R148" i="6"/>
  <c r="U148" i="6"/>
  <c r="L149" i="6"/>
  <c r="Q149" i="6"/>
  <c r="R149" i="6"/>
  <c r="U149" i="6"/>
  <c r="L150" i="6"/>
  <c r="Q150" i="6"/>
  <c r="R150" i="6"/>
  <c r="U150" i="6"/>
  <c r="L151" i="6"/>
  <c r="Q151" i="6"/>
  <c r="R151" i="6"/>
  <c r="U151" i="6"/>
  <c r="L152" i="6"/>
  <c r="Q152" i="6"/>
  <c r="R152" i="6"/>
  <c r="U152" i="6"/>
  <c r="L153" i="6"/>
  <c r="Q153" i="6"/>
  <c r="R153" i="6"/>
  <c r="U153" i="6"/>
  <c r="L154" i="6"/>
  <c r="Q154" i="6"/>
  <c r="R154" i="6"/>
  <c r="U154" i="6"/>
  <c r="L155" i="6"/>
  <c r="Q155" i="6"/>
  <c r="R155" i="6"/>
  <c r="U155" i="6"/>
  <c r="L156" i="6"/>
  <c r="Q156" i="6"/>
  <c r="R156" i="6"/>
  <c r="U156" i="6"/>
  <c r="L157" i="6"/>
  <c r="Q157" i="6"/>
  <c r="R157" i="6"/>
  <c r="U157" i="6"/>
  <c r="L158" i="6"/>
  <c r="Q158" i="6"/>
  <c r="R158" i="6"/>
  <c r="U158" i="6"/>
  <c r="L159" i="6"/>
  <c r="Q159" i="6"/>
  <c r="R159" i="6"/>
  <c r="U159" i="6"/>
  <c r="L160" i="6"/>
  <c r="Q160" i="6"/>
  <c r="R160" i="6"/>
  <c r="U160" i="6"/>
  <c r="L161" i="6"/>
  <c r="Q161" i="6"/>
  <c r="R161" i="6"/>
  <c r="U161" i="6"/>
  <c r="L162" i="6"/>
  <c r="Q162" i="6"/>
  <c r="R162" i="6"/>
  <c r="U162" i="6"/>
  <c r="L163" i="6"/>
  <c r="Q163" i="6"/>
  <c r="R163" i="6"/>
  <c r="U163" i="6"/>
  <c r="L164" i="6"/>
  <c r="Q164" i="6"/>
  <c r="R164" i="6"/>
  <c r="U164" i="6"/>
  <c r="L165" i="6"/>
  <c r="Q165" i="6"/>
  <c r="R165" i="6"/>
  <c r="U165" i="6"/>
  <c r="L166" i="6"/>
  <c r="Q166" i="6"/>
  <c r="R166" i="6"/>
  <c r="U166" i="6"/>
  <c r="L167" i="6"/>
  <c r="Q167" i="6"/>
  <c r="R167" i="6"/>
  <c r="U167" i="6"/>
  <c r="L168" i="6"/>
  <c r="Q168" i="6"/>
  <c r="R168" i="6"/>
  <c r="U168" i="6"/>
  <c r="L169" i="6"/>
  <c r="Q169" i="6"/>
  <c r="R169" i="6"/>
  <c r="U169" i="6"/>
  <c r="L170" i="6"/>
  <c r="Q170" i="6"/>
  <c r="R170" i="6"/>
  <c r="U170" i="6"/>
  <c r="L171" i="6"/>
  <c r="Q171" i="6"/>
  <c r="R171" i="6"/>
  <c r="U171" i="6"/>
  <c r="L172" i="6"/>
  <c r="Q172" i="6"/>
  <c r="R172" i="6"/>
  <c r="U172" i="6"/>
  <c r="L173" i="6"/>
  <c r="Q173" i="6"/>
  <c r="R173" i="6"/>
  <c r="U173" i="6"/>
  <c r="L174" i="6"/>
  <c r="Q174" i="6"/>
  <c r="R174" i="6"/>
  <c r="U174" i="6"/>
  <c r="L175" i="6"/>
  <c r="Q175" i="6"/>
  <c r="R175" i="6"/>
  <c r="U175" i="6"/>
  <c r="L176" i="6"/>
  <c r="Q176" i="6"/>
  <c r="R176" i="6"/>
  <c r="U176" i="6"/>
  <c r="L177" i="6"/>
  <c r="Q177" i="6"/>
  <c r="R177" i="6"/>
  <c r="U177" i="6"/>
  <c r="L178" i="6"/>
  <c r="Q178" i="6"/>
  <c r="R178" i="6"/>
  <c r="U178" i="6"/>
  <c r="L179" i="6"/>
  <c r="Q179" i="6"/>
  <c r="R179" i="6"/>
  <c r="U179" i="6"/>
  <c r="L180" i="6"/>
  <c r="Q180" i="6"/>
  <c r="R180" i="6"/>
  <c r="U180" i="6"/>
  <c r="L181" i="6"/>
  <c r="Q181" i="6"/>
  <c r="R181" i="6"/>
  <c r="U181" i="6"/>
  <c r="L182" i="6"/>
  <c r="Q182" i="6"/>
  <c r="R182" i="6"/>
  <c r="U182" i="6"/>
  <c r="L183" i="6"/>
  <c r="Q183" i="6"/>
  <c r="R183" i="6"/>
  <c r="U183" i="6"/>
  <c r="L184" i="6"/>
  <c r="Q184" i="6"/>
  <c r="R184" i="6"/>
  <c r="U184" i="6"/>
  <c r="L185" i="6"/>
  <c r="Q185" i="6"/>
  <c r="R185" i="6"/>
  <c r="U185" i="6"/>
  <c r="L186" i="6"/>
  <c r="Q186" i="6"/>
  <c r="R186" i="6"/>
  <c r="U186" i="6"/>
  <c r="L187" i="6"/>
  <c r="Q187" i="6"/>
  <c r="R187" i="6"/>
  <c r="U187" i="6"/>
  <c r="L188" i="6"/>
  <c r="Q188" i="6"/>
  <c r="R188" i="6"/>
  <c r="U188" i="6"/>
  <c r="L189" i="6"/>
  <c r="Q189" i="6"/>
  <c r="R189" i="6"/>
  <c r="U189" i="6"/>
  <c r="L190" i="6"/>
  <c r="Q190" i="6"/>
  <c r="R190" i="6"/>
  <c r="U190" i="6"/>
  <c r="L191" i="6"/>
  <c r="Q191" i="6"/>
  <c r="R191" i="6"/>
  <c r="U191" i="6"/>
  <c r="L192" i="6"/>
  <c r="Q192" i="6"/>
  <c r="R192" i="6"/>
  <c r="U192" i="6"/>
  <c r="L193" i="6"/>
  <c r="Q193" i="6"/>
  <c r="R193" i="6"/>
  <c r="U193" i="6"/>
  <c r="L194" i="6"/>
  <c r="Q194" i="6"/>
  <c r="R194" i="6"/>
  <c r="U194" i="6"/>
  <c r="L195" i="6"/>
  <c r="Q195" i="6"/>
  <c r="R195" i="6"/>
  <c r="U195" i="6"/>
  <c r="L196" i="6"/>
  <c r="Q196" i="6"/>
  <c r="R196" i="6"/>
  <c r="U196" i="6"/>
  <c r="L197" i="6"/>
  <c r="Q197" i="6"/>
  <c r="R197" i="6"/>
  <c r="U197" i="6"/>
  <c r="L198" i="6"/>
  <c r="Q198" i="6"/>
  <c r="R198" i="6"/>
  <c r="U198" i="6"/>
  <c r="L199" i="6"/>
  <c r="Q199" i="6"/>
  <c r="R199" i="6"/>
  <c r="U199" i="6"/>
  <c r="L200" i="6"/>
  <c r="Q200" i="6"/>
  <c r="R200" i="6"/>
  <c r="U200" i="6"/>
  <c r="L201" i="6"/>
  <c r="Q201" i="6"/>
  <c r="R201" i="6"/>
  <c r="U201" i="6"/>
  <c r="L202" i="6"/>
  <c r="Q202" i="6"/>
  <c r="R202" i="6"/>
  <c r="U202" i="6"/>
  <c r="L203" i="6"/>
  <c r="Q203" i="6"/>
  <c r="R203" i="6"/>
  <c r="U203" i="6"/>
  <c r="L204" i="6"/>
  <c r="Q204" i="6"/>
  <c r="R204" i="6"/>
  <c r="U204" i="6"/>
  <c r="L205" i="6"/>
  <c r="Q205" i="6"/>
  <c r="R205" i="6"/>
  <c r="U205" i="6"/>
  <c r="L206" i="6"/>
  <c r="Q206" i="6"/>
  <c r="R206" i="6"/>
  <c r="U206" i="6"/>
  <c r="L207" i="6"/>
  <c r="Q207" i="6"/>
  <c r="R207" i="6"/>
  <c r="U207" i="6"/>
  <c r="L208" i="6"/>
  <c r="Q208" i="6"/>
  <c r="R208" i="6"/>
  <c r="U208" i="6"/>
  <c r="L209" i="6"/>
  <c r="Q209" i="6"/>
  <c r="R209" i="6"/>
  <c r="U209" i="6"/>
  <c r="L210" i="6"/>
  <c r="Q210" i="6"/>
  <c r="R210" i="6"/>
  <c r="U210" i="6"/>
  <c r="L211" i="6"/>
  <c r="Q211" i="6"/>
  <c r="R211" i="6"/>
  <c r="U211" i="6"/>
  <c r="L212" i="6"/>
  <c r="Q212" i="6"/>
  <c r="R212" i="6"/>
  <c r="U212" i="6"/>
  <c r="L213" i="6"/>
  <c r="Q213" i="6"/>
  <c r="R213" i="6"/>
  <c r="U213" i="6"/>
  <c r="L214" i="6"/>
  <c r="Q214" i="6"/>
  <c r="R214" i="6"/>
  <c r="U214" i="6"/>
  <c r="L215" i="6"/>
  <c r="Q215" i="6"/>
  <c r="R215" i="6"/>
  <c r="U215" i="6"/>
  <c r="L216" i="6"/>
  <c r="Q216" i="6"/>
  <c r="R216" i="6"/>
  <c r="U216" i="6"/>
  <c r="L217" i="6"/>
  <c r="Q217" i="6"/>
  <c r="R217" i="6"/>
  <c r="U217" i="6"/>
  <c r="L218" i="6"/>
  <c r="Q218" i="6"/>
  <c r="R218" i="6"/>
  <c r="U218" i="6"/>
  <c r="L219" i="6"/>
  <c r="Q219" i="6"/>
  <c r="R219" i="6"/>
  <c r="U219" i="6"/>
  <c r="L220" i="6"/>
  <c r="Q220" i="6"/>
  <c r="R220" i="6"/>
  <c r="U220" i="6"/>
  <c r="L221" i="6"/>
  <c r="Q221" i="6"/>
  <c r="R221" i="6"/>
  <c r="U221" i="6"/>
  <c r="L222" i="6"/>
  <c r="Q222" i="6"/>
  <c r="R222" i="6"/>
  <c r="U222" i="6"/>
  <c r="L223" i="6"/>
  <c r="Q223" i="6"/>
  <c r="R223" i="6"/>
  <c r="U223" i="6"/>
  <c r="L224" i="6"/>
  <c r="Q224" i="6"/>
  <c r="R224" i="6"/>
  <c r="U224" i="6"/>
  <c r="L225" i="6"/>
  <c r="Q225" i="6"/>
  <c r="R225" i="6"/>
  <c r="U225" i="6"/>
  <c r="L226" i="6"/>
  <c r="Q226" i="6"/>
  <c r="R226" i="6"/>
  <c r="U226" i="6"/>
  <c r="L227" i="6"/>
  <c r="Q227" i="6"/>
  <c r="R227" i="6"/>
  <c r="U227" i="6"/>
  <c r="L228" i="6"/>
  <c r="Q228" i="6"/>
  <c r="R228" i="6"/>
  <c r="U228" i="6"/>
  <c r="L229" i="6"/>
  <c r="Q229" i="6"/>
  <c r="R229" i="6"/>
  <c r="U229" i="6"/>
  <c r="L230" i="6"/>
  <c r="Q230" i="6"/>
  <c r="R230" i="6"/>
  <c r="U230" i="6"/>
  <c r="L231" i="6"/>
  <c r="Q231" i="6"/>
  <c r="R231" i="6"/>
  <c r="U231" i="6"/>
  <c r="L232" i="6"/>
  <c r="Q232" i="6"/>
  <c r="R232" i="6"/>
  <c r="U232" i="6"/>
  <c r="L233" i="6"/>
  <c r="Q233" i="6"/>
  <c r="R233" i="6"/>
  <c r="U233" i="6"/>
  <c r="L234" i="6"/>
  <c r="Q234" i="6"/>
  <c r="R234" i="6"/>
  <c r="U234" i="6"/>
  <c r="L235" i="6"/>
  <c r="Q235" i="6"/>
  <c r="R235" i="6"/>
  <c r="U235" i="6"/>
  <c r="L236" i="6"/>
  <c r="Q236" i="6"/>
  <c r="R236" i="6"/>
  <c r="U236" i="6"/>
  <c r="L237" i="6"/>
  <c r="Q237" i="6"/>
  <c r="R237" i="6"/>
  <c r="U237" i="6"/>
  <c r="L238" i="6"/>
  <c r="Q238" i="6"/>
  <c r="R238" i="6"/>
  <c r="U238" i="6"/>
  <c r="L239" i="6"/>
  <c r="Q239" i="6"/>
  <c r="R239" i="6"/>
  <c r="U239" i="6"/>
  <c r="L240" i="6"/>
  <c r="Q240" i="6"/>
  <c r="R240" i="6"/>
  <c r="U240" i="6"/>
  <c r="L241" i="6"/>
  <c r="Q241" i="6"/>
  <c r="R241" i="6"/>
  <c r="U241" i="6"/>
  <c r="L242" i="6"/>
  <c r="Q242" i="6"/>
  <c r="R242" i="6"/>
  <c r="U242" i="6"/>
  <c r="L243" i="6"/>
  <c r="Q243" i="6"/>
  <c r="R243" i="6"/>
  <c r="U243" i="6"/>
  <c r="L244" i="6"/>
  <c r="Q244" i="6"/>
  <c r="R244" i="6"/>
  <c r="U244" i="6"/>
  <c r="L245" i="6"/>
  <c r="Q245" i="6"/>
  <c r="R245" i="6"/>
  <c r="U245" i="6"/>
  <c r="L246" i="6"/>
  <c r="Q246" i="6"/>
  <c r="R246" i="6"/>
  <c r="U246" i="6"/>
  <c r="L247" i="6"/>
  <c r="Q247" i="6"/>
  <c r="R247" i="6"/>
  <c r="U247" i="6"/>
  <c r="L248" i="6"/>
  <c r="Q248" i="6"/>
  <c r="R248" i="6"/>
  <c r="U248" i="6"/>
  <c r="L249" i="6"/>
  <c r="Q249" i="6"/>
  <c r="R249" i="6"/>
  <c r="U249" i="6"/>
  <c r="L250" i="6"/>
  <c r="Q250" i="6"/>
  <c r="R250" i="6"/>
  <c r="U250" i="6"/>
  <c r="L251" i="6"/>
  <c r="Q251" i="6"/>
  <c r="R251" i="6"/>
  <c r="U251" i="6"/>
  <c r="L252" i="6"/>
  <c r="Q252" i="6"/>
  <c r="R252" i="6"/>
  <c r="U252" i="6"/>
  <c r="L253" i="6"/>
  <c r="Q253" i="6"/>
  <c r="R253" i="6"/>
  <c r="U253" i="6"/>
  <c r="L254" i="6"/>
  <c r="Q254" i="6"/>
  <c r="R254" i="6"/>
  <c r="U254" i="6"/>
  <c r="L255" i="6"/>
  <c r="Q255" i="6"/>
  <c r="R255" i="6"/>
  <c r="U255" i="6"/>
  <c r="L256" i="6"/>
  <c r="Q256" i="6"/>
  <c r="R256" i="6"/>
  <c r="U256" i="6"/>
  <c r="L257" i="6"/>
  <c r="Q257" i="6"/>
  <c r="R257" i="6"/>
  <c r="U257" i="6"/>
  <c r="L258" i="6"/>
  <c r="Q258" i="6"/>
  <c r="R258" i="6"/>
  <c r="U258" i="6"/>
  <c r="L259" i="6"/>
  <c r="Q259" i="6"/>
  <c r="R259" i="6"/>
  <c r="U259" i="6"/>
  <c r="L260" i="6"/>
  <c r="Q260" i="6"/>
  <c r="R260" i="6"/>
  <c r="U260" i="6"/>
  <c r="L261" i="6"/>
  <c r="Q261" i="6"/>
  <c r="R261" i="6"/>
  <c r="U261" i="6"/>
  <c r="L262" i="6"/>
  <c r="Q262" i="6"/>
  <c r="R262" i="6"/>
  <c r="U262" i="6"/>
  <c r="L263" i="6"/>
  <c r="Q263" i="6"/>
  <c r="R263" i="6"/>
  <c r="U263" i="6"/>
  <c r="L264" i="6"/>
  <c r="Q264" i="6"/>
  <c r="R264" i="6"/>
  <c r="U264" i="6"/>
  <c r="L265" i="6"/>
  <c r="Q265" i="6"/>
  <c r="R265" i="6"/>
  <c r="U265" i="6"/>
  <c r="L266" i="6"/>
  <c r="Q266" i="6"/>
  <c r="R266" i="6"/>
  <c r="U266" i="6"/>
  <c r="L267" i="6"/>
  <c r="Q267" i="6"/>
  <c r="R267" i="6"/>
  <c r="U267" i="6"/>
  <c r="L268" i="6"/>
  <c r="Q268" i="6"/>
  <c r="R268" i="6"/>
  <c r="U268" i="6"/>
  <c r="L269" i="6"/>
  <c r="Q269" i="6"/>
  <c r="R269" i="6"/>
  <c r="U269" i="6"/>
  <c r="L270" i="6"/>
  <c r="Q270" i="6"/>
  <c r="R270" i="6"/>
  <c r="U270" i="6"/>
  <c r="L271" i="6"/>
  <c r="Q271" i="6"/>
  <c r="R271" i="6"/>
  <c r="U271" i="6"/>
  <c r="L272" i="6"/>
  <c r="Q272" i="6"/>
  <c r="R272" i="6"/>
  <c r="U272" i="6"/>
  <c r="L273" i="6"/>
  <c r="Q273" i="6"/>
  <c r="R273" i="6"/>
  <c r="U273" i="6"/>
  <c r="L274" i="6"/>
  <c r="Q274" i="6"/>
  <c r="R274" i="6"/>
  <c r="U274" i="6"/>
  <c r="L275" i="6"/>
  <c r="Q275" i="6"/>
  <c r="R275" i="6"/>
  <c r="U275" i="6"/>
  <c r="L276" i="6"/>
  <c r="Q276" i="6"/>
  <c r="R276" i="6"/>
  <c r="U276" i="6"/>
  <c r="L277" i="6"/>
  <c r="Q277" i="6"/>
  <c r="R277" i="6"/>
  <c r="U277" i="6"/>
  <c r="L278" i="6"/>
  <c r="Q278" i="6"/>
  <c r="R278" i="6"/>
  <c r="U278" i="6"/>
  <c r="L279" i="6"/>
  <c r="Q279" i="6"/>
  <c r="R279" i="6"/>
  <c r="U279" i="6"/>
  <c r="L280" i="6"/>
  <c r="Q280" i="6"/>
  <c r="R280" i="6"/>
  <c r="U280" i="6"/>
  <c r="L281" i="6"/>
  <c r="Q281" i="6"/>
  <c r="R281" i="6"/>
  <c r="U281" i="6"/>
  <c r="L282" i="6"/>
  <c r="Q282" i="6"/>
  <c r="R282" i="6"/>
  <c r="U282" i="6"/>
  <c r="L283" i="6"/>
  <c r="Q283" i="6"/>
  <c r="R283" i="6"/>
  <c r="U283" i="6"/>
  <c r="L284" i="6"/>
  <c r="Q284" i="6"/>
  <c r="R284" i="6"/>
  <c r="U284" i="6"/>
  <c r="L285" i="6"/>
  <c r="Q285" i="6"/>
  <c r="R285" i="6"/>
  <c r="U285" i="6"/>
  <c r="L286" i="6"/>
  <c r="Q286" i="6"/>
  <c r="R286" i="6"/>
  <c r="U286" i="6"/>
  <c r="L287" i="6"/>
  <c r="Q287" i="6"/>
  <c r="R287" i="6"/>
  <c r="U287" i="6"/>
  <c r="L288" i="6"/>
  <c r="Q288" i="6"/>
  <c r="R288" i="6"/>
  <c r="U288" i="6"/>
  <c r="L289" i="6"/>
  <c r="Q289" i="6"/>
  <c r="R289" i="6"/>
  <c r="U289" i="6"/>
  <c r="L290" i="6"/>
  <c r="Q290" i="6"/>
  <c r="R290" i="6"/>
  <c r="U290" i="6"/>
  <c r="L291" i="6"/>
  <c r="Q291" i="6"/>
  <c r="R291" i="6"/>
  <c r="U291" i="6"/>
  <c r="L292" i="6"/>
  <c r="Q292" i="6"/>
  <c r="R292" i="6"/>
  <c r="U292" i="6"/>
  <c r="L293" i="6"/>
  <c r="Q293" i="6"/>
  <c r="R293" i="6"/>
  <c r="U293" i="6"/>
  <c r="L294" i="6"/>
  <c r="Q294" i="6"/>
  <c r="R294" i="6"/>
  <c r="U294" i="6"/>
  <c r="L295" i="6"/>
  <c r="Q295" i="6"/>
  <c r="R295" i="6"/>
  <c r="U295" i="6"/>
  <c r="L296" i="6"/>
  <c r="Q296" i="6"/>
  <c r="R296" i="6"/>
  <c r="U296" i="6"/>
  <c r="L297" i="6"/>
  <c r="Q297" i="6"/>
  <c r="R297" i="6"/>
  <c r="U297" i="6"/>
  <c r="L298" i="6"/>
  <c r="Q298" i="6"/>
  <c r="R298" i="6"/>
  <c r="U298" i="6"/>
  <c r="L299" i="6"/>
  <c r="Q299" i="6"/>
  <c r="R299" i="6"/>
  <c r="U299" i="6"/>
  <c r="L300" i="6"/>
  <c r="Q300" i="6"/>
  <c r="R300" i="6"/>
  <c r="U300" i="6"/>
  <c r="L301" i="6"/>
  <c r="Q301" i="6"/>
  <c r="R301" i="6"/>
  <c r="U301" i="6"/>
  <c r="L302" i="6"/>
  <c r="Q302" i="6"/>
  <c r="R302" i="6"/>
  <c r="U302" i="6"/>
  <c r="L303" i="6"/>
  <c r="Q303" i="6"/>
  <c r="R303" i="6"/>
  <c r="U303" i="6"/>
  <c r="L304" i="6"/>
  <c r="Q304" i="6"/>
  <c r="R304" i="6"/>
  <c r="U304" i="6"/>
  <c r="L305" i="6"/>
  <c r="Q305" i="6"/>
  <c r="R305" i="6"/>
  <c r="U305" i="6"/>
  <c r="L306" i="6"/>
  <c r="Q306" i="6"/>
  <c r="R306" i="6"/>
  <c r="U306" i="6"/>
  <c r="L307" i="6"/>
  <c r="Q307" i="6"/>
  <c r="R307" i="6"/>
  <c r="U307" i="6"/>
  <c r="L308" i="6"/>
  <c r="Q308" i="6"/>
  <c r="R308" i="6"/>
  <c r="U308" i="6"/>
  <c r="L309" i="6"/>
  <c r="Q309" i="6"/>
  <c r="R309" i="6"/>
  <c r="U309" i="6"/>
  <c r="L310" i="6"/>
  <c r="Q310" i="6"/>
  <c r="R310" i="6"/>
  <c r="U310" i="6"/>
  <c r="L311" i="6"/>
  <c r="Q311" i="6"/>
  <c r="R311" i="6"/>
  <c r="U311" i="6"/>
  <c r="L312" i="6"/>
  <c r="Q312" i="6"/>
  <c r="R312" i="6"/>
  <c r="U312" i="6"/>
  <c r="L313" i="6"/>
  <c r="Q313" i="6"/>
  <c r="R313" i="6"/>
  <c r="U313" i="6"/>
  <c r="L314" i="6"/>
  <c r="Q314" i="6"/>
  <c r="R314" i="6"/>
  <c r="U314" i="6"/>
  <c r="L315" i="6"/>
  <c r="Q315" i="6"/>
  <c r="R315" i="6"/>
  <c r="U315" i="6"/>
  <c r="L316" i="6"/>
  <c r="Q316" i="6"/>
  <c r="R316" i="6"/>
  <c r="U316" i="6"/>
  <c r="L317" i="6"/>
  <c r="Q317" i="6"/>
  <c r="R317" i="6"/>
  <c r="U317" i="6"/>
  <c r="L318" i="6"/>
  <c r="Q318" i="6"/>
  <c r="R318" i="6"/>
  <c r="U318" i="6"/>
  <c r="L319" i="6"/>
  <c r="Q319" i="6"/>
  <c r="R319" i="6"/>
  <c r="U319" i="6"/>
  <c r="L320" i="6"/>
  <c r="Q320" i="6"/>
  <c r="R320" i="6"/>
  <c r="U320" i="6"/>
  <c r="L321" i="6"/>
  <c r="Q321" i="6"/>
  <c r="R321" i="6"/>
  <c r="U321" i="6"/>
  <c r="L322" i="6"/>
  <c r="Q322" i="6"/>
  <c r="R322" i="6"/>
  <c r="U322" i="6"/>
  <c r="L323" i="6"/>
  <c r="Q323" i="6"/>
  <c r="R323" i="6"/>
  <c r="U323" i="6"/>
  <c r="L324" i="6"/>
  <c r="Q324" i="6"/>
  <c r="R324" i="6"/>
  <c r="U324" i="6"/>
  <c r="L325" i="6"/>
  <c r="Q325" i="6"/>
  <c r="R325" i="6"/>
  <c r="U325" i="6"/>
  <c r="L326" i="6"/>
  <c r="Q326" i="6"/>
  <c r="R326" i="6"/>
  <c r="U326" i="6"/>
  <c r="L327" i="6"/>
  <c r="Q327" i="6"/>
  <c r="R327" i="6"/>
  <c r="U327" i="6"/>
  <c r="L328" i="6"/>
  <c r="Q328" i="6"/>
  <c r="R328" i="6"/>
  <c r="U328" i="6"/>
  <c r="L329" i="6"/>
  <c r="Q329" i="6"/>
  <c r="R329" i="6"/>
  <c r="U329" i="6"/>
  <c r="L330" i="6"/>
  <c r="Q330" i="6"/>
  <c r="R330" i="6"/>
  <c r="U330" i="6"/>
  <c r="L331" i="6"/>
  <c r="Q331" i="6"/>
  <c r="R331" i="6"/>
  <c r="U331" i="6"/>
  <c r="L332" i="6"/>
  <c r="Q332" i="6"/>
  <c r="R332" i="6"/>
  <c r="U332" i="6"/>
  <c r="L333" i="6"/>
  <c r="Q333" i="6"/>
  <c r="R333" i="6"/>
  <c r="U333" i="6"/>
  <c r="L334" i="6"/>
  <c r="Q334" i="6"/>
  <c r="R334" i="6"/>
  <c r="U334" i="6"/>
  <c r="L335" i="6"/>
  <c r="Q335" i="6"/>
  <c r="R335" i="6"/>
  <c r="U335" i="6"/>
  <c r="L336" i="6"/>
  <c r="Q336" i="6"/>
  <c r="R336" i="6"/>
  <c r="U336" i="6"/>
  <c r="L337" i="6"/>
  <c r="Q337" i="6"/>
  <c r="R337" i="6"/>
  <c r="U337" i="6"/>
  <c r="L338" i="6"/>
  <c r="Q338" i="6"/>
  <c r="R338" i="6"/>
  <c r="U338" i="6"/>
  <c r="L339" i="6"/>
  <c r="Q339" i="6"/>
  <c r="R339" i="6"/>
  <c r="U339" i="6"/>
  <c r="L340" i="6"/>
  <c r="Q340" i="6"/>
  <c r="R340" i="6"/>
  <c r="U340" i="6"/>
  <c r="L341" i="6"/>
  <c r="Q341" i="6"/>
  <c r="R341" i="6"/>
  <c r="U341" i="6"/>
  <c r="L342" i="6"/>
  <c r="Q342" i="6"/>
  <c r="R342" i="6"/>
  <c r="U342" i="6"/>
  <c r="L343" i="6"/>
  <c r="Q343" i="6"/>
  <c r="R343" i="6"/>
  <c r="U343" i="6"/>
  <c r="L344" i="6"/>
  <c r="Q344" i="6"/>
  <c r="R344" i="6"/>
  <c r="U344" i="6"/>
  <c r="L345" i="6"/>
  <c r="Q345" i="6"/>
  <c r="R345" i="6"/>
  <c r="U345" i="6"/>
  <c r="L346" i="6"/>
  <c r="Q346" i="6"/>
  <c r="R346" i="6"/>
  <c r="U346" i="6"/>
  <c r="L347" i="6"/>
  <c r="Q347" i="6"/>
  <c r="R347" i="6"/>
  <c r="U347" i="6"/>
  <c r="L348" i="6"/>
  <c r="Q348" i="6"/>
  <c r="R348" i="6"/>
  <c r="U348" i="6"/>
  <c r="L349" i="6"/>
  <c r="Q349" i="6"/>
  <c r="R349" i="6"/>
  <c r="U349" i="6"/>
  <c r="L350" i="6"/>
  <c r="Q350" i="6"/>
  <c r="R350" i="6"/>
  <c r="U350" i="6"/>
  <c r="L351" i="6"/>
  <c r="Q351" i="6"/>
  <c r="R351" i="6"/>
  <c r="U351" i="6"/>
  <c r="L352" i="6"/>
  <c r="Q352" i="6"/>
  <c r="R352" i="6"/>
  <c r="U352" i="6"/>
  <c r="L353" i="6"/>
  <c r="Q353" i="6"/>
  <c r="R353" i="6"/>
  <c r="U353" i="6"/>
  <c r="L354" i="6"/>
  <c r="Q354" i="6"/>
  <c r="R354" i="6"/>
  <c r="U354" i="6"/>
  <c r="L355" i="6"/>
  <c r="Q355" i="6"/>
  <c r="R355" i="6"/>
  <c r="U355" i="6"/>
  <c r="L356" i="6"/>
  <c r="Q356" i="6"/>
  <c r="R356" i="6"/>
  <c r="U356" i="6"/>
  <c r="L357" i="6"/>
  <c r="Q357" i="6"/>
  <c r="R357" i="6"/>
  <c r="U357" i="6"/>
  <c r="L358" i="6"/>
  <c r="Q358" i="6"/>
  <c r="R358" i="6"/>
  <c r="U358" i="6"/>
  <c r="L359" i="6"/>
  <c r="Q359" i="6"/>
  <c r="R359" i="6"/>
  <c r="U359" i="6"/>
  <c r="L360" i="6"/>
  <c r="Q360" i="6"/>
  <c r="R360" i="6"/>
  <c r="U360" i="6"/>
  <c r="L361" i="6"/>
  <c r="Q361" i="6"/>
  <c r="R361" i="6"/>
  <c r="U361" i="6"/>
  <c r="L362" i="6"/>
  <c r="Q362" i="6"/>
  <c r="R362" i="6"/>
  <c r="U362" i="6"/>
  <c r="L363" i="6"/>
  <c r="Q363" i="6"/>
  <c r="R363" i="6"/>
  <c r="U363" i="6"/>
  <c r="L364" i="6"/>
  <c r="Q364" i="6"/>
  <c r="R364" i="6"/>
  <c r="U364" i="6"/>
  <c r="L365" i="6"/>
  <c r="Q365" i="6"/>
  <c r="R365" i="6"/>
  <c r="U365" i="6"/>
  <c r="L366" i="6"/>
  <c r="Q366" i="6"/>
  <c r="R366" i="6"/>
  <c r="U366" i="6"/>
  <c r="L367" i="6"/>
  <c r="Q367" i="6"/>
  <c r="R367" i="6"/>
  <c r="U367" i="6"/>
  <c r="L368" i="6"/>
  <c r="Q368" i="6"/>
  <c r="R368" i="6"/>
  <c r="U368" i="6"/>
  <c r="L369" i="6"/>
  <c r="Q369" i="6"/>
  <c r="R369" i="6"/>
  <c r="U369" i="6"/>
  <c r="L370" i="6"/>
  <c r="Q370" i="6"/>
  <c r="R370" i="6"/>
  <c r="U370" i="6"/>
  <c r="L371" i="6"/>
  <c r="Q371" i="6"/>
  <c r="R371" i="6"/>
  <c r="U371" i="6"/>
  <c r="L372" i="6"/>
  <c r="Q372" i="6"/>
  <c r="R372" i="6"/>
  <c r="U372" i="6"/>
  <c r="L373" i="6"/>
  <c r="Q373" i="6"/>
  <c r="R373" i="6"/>
  <c r="U373" i="6"/>
  <c r="L374" i="6"/>
  <c r="Q374" i="6"/>
  <c r="R374" i="6"/>
  <c r="U374" i="6"/>
  <c r="L375" i="6"/>
  <c r="Q375" i="6"/>
  <c r="R375" i="6"/>
  <c r="U375" i="6"/>
  <c r="L376" i="6"/>
  <c r="Q376" i="6"/>
  <c r="R376" i="6"/>
  <c r="U376" i="6"/>
  <c r="L377" i="6"/>
  <c r="Q377" i="6"/>
  <c r="R377" i="6"/>
  <c r="U377" i="6"/>
  <c r="L378" i="6"/>
  <c r="Q378" i="6"/>
  <c r="R378" i="6"/>
  <c r="U378" i="6"/>
  <c r="L379" i="6"/>
  <c r="Q379" i="6"/>
  <c r="R379" i="6"/>
  <c r="U379" i="6"/>
  <c r="L380" i="6"/>
  <c r="Q380" i="6"/>
  <c r="R380" i="6"/>
  <c r="U380" i="6"/>
  <c r="L381" i="6"/>
  <c r="Q381" i="6"/>
  <c r="R381" i="6"/>
  <c r="U381" i="6"/>
  <c r="L382" i="6"/>
  <c r="Q382" i="6"/>
  <c r="R382" i="6"/>
  <c r="U382" i="6"/>
  <c r="L383" i="6"/>
  <c r="Q383" i="6"/>
  <c r="R383" i="6"/>
  <c r="U383" i="6"/>
  <c r="L384" i="6"/>
  <c r="Q384" i="6"/>
  <c r="R384" i="6"/>
  <c r="U384" i="6"/>
  <c r="L385" i="6"/>
  <c r="Q385" i="6"/>
  <c r="R385" i="6"/>
  <c r="U385" i="6"/>
  <c r="L386" i="6"/>
  <c r="Q386" i="6"/>
  <c r="R386" i="6"/>
  <c r="U386" i="6"/>
  <c r="L387" i="6"/>
  <c r="Q387" i="6"/>
  <c r="R387" i="6"/>
  <c r="U387" i="6"/>
  <c r="L388" i="6"/>
  <c r="Q388" i="6"/>
  <c r="R388" i="6"/>
  <c r="U388" i="6"/>
  <c r="L389" i="6"/>
  <c r="Q389" i="6"/>
  <c r="R389" i="6"/>
  <c r="U389" i="6"/>
  <c r="L390" i="6"/>
  <c r="Q390" i="6"/>
  <c r="R390" i="6"/>
  <c r="U390" i="6"/>
  <c r="L391" i="6"/>
  <c r="Q391" i="6"/>
  <c r="R391" i="6"/>
  <c r="U391" i="6"/>
  <c r="L392" i="6"/>
  <c r="Q392" i="6"/>
  <c r="R392" i="6"/>
  <c r="U392" i="6"/>
  <c r="L393" i="6"/>
  <c r="Q393" i="6"/>
  <c r="R393" i="6"/>
  <c r="U393" i="6"/>
  <c r="L394" i="6"/>
  <c r="Q394" i="6"/>
  <c r="R394" i="6"/>
  <c r="U394" i="6"/>
  <c r="L395" i="6"/>
  <c r="Q395" i="6"/>
  <c r="R395" i="6"/>
  <c r="U395" i="6"/>
  <c r="L396" i="6"/>
  <c r="Q396" i="6"/>
  <c r="R396" i="6"/>
  <c r="U396" i="6"/>
  <c r="L397" i="6"/>
  <c r="Q397" i="6"/>
  <c r="R397" i="6"/>
  <c r="U397" i="6"/>
  <c r="L398" i="6"/>
  <c r="Q398" i="6"/>
  <c r="R398" i="6"/>
  <c r="U398" i="6"/>
  <c r="L399" i="6"/>
  <c r="Q399" i="6"/>
  <c r="R399" i="6"/>
  <c r="U399" i="6"/>
  <c r="L400" i="6"/>
  <c r="Q400" i="6"/>
  <c r="R400" i="6"/>
  <c r="U400" i="6"/>
  <c r="L401" i="6"/>
  <c r="Q401" i="6"/>
  <c r="R401" i="6"/>
  <c r="U401" i="6"/>
  <c r="L402" i="6"/>
  <c r="Q402" i="6"/>
  <c r="R402" i="6"/>
  <c r="U402" i="6"/>
  <c r="L403" i="6"/>
  <c r="Q403" i="6"/>
  <c r="R403" i="6"/>
  <c r="U403" i="6"/>
  <c r="L404" i="6"/>
  <c r="Q404" i="6"/>
  <c r="R404" i="6"/>
  <c r="U404" i="6"/>
  <c r="L405" i="6"/>
  <c r="Q405" i="6"/>
  <c r="R405" i="6"/>
  <c r="U405" i="6"/>
  <c r="L406" i="6"/>
  <c r="Q406" i="6"/>
  <c r="R406" i="6"/>
  <c r="U406" i="6"/>
  <c r="L407" i="6"/>
  <c r="Q407" i="6"/>
  <c r="R407" i="6"/>
  <c r="U407" i="6"/>
  <c r="L408" i="6"/>
  <c r="Q408" i="6"/>
  <c r="R408" i="6"/>
  <c r="U408" i="6"/>
  <c r="L409" i="6"/>
  <c r="Q409" i="6"/>
  <c r="R409" i="6"/>
  <c r="U409" i="6"/>
  <c r="L410" i="6"/>
  <c r="Q410" i="6"/>
  <c r="R410" i="6"/>
  <c r="U410" i="6"/>
  <c r="L411" i="6"/>
  <c r="Q411" i="6"/>
  <c r="R411" i="6"/>
  <c r="U411" i="6"/>
  <c r="L412" i="6"/>
  <c r="Q412" i="6"/>
  <c r="R412" i="6"/>
  <c r="U412" i="6"/>
  <c r="L413" i="6"/>
  <c r="Q413" i="6"/>
  <c r="R413" i="6"/>
  <c r="U413" i="6"/>
  <c r="L414" i="6"/>
  <c r="Q414" i="6"/>
  <c r="R414" i="6"/>
  <c r="U414" i="6"/>
  <c r="L415" i="6"/>
  <c r="Q415" i="6"/>
  <c r="R415" i="6"/>
  <c r="U415" i="6"/>
  <c r="L416" i="6"/>
  <c r="Q416" i="6"/>
  <c r="R416" i="6"/>
  <c r="U416" i="6"/>
  <c r="L417" i="6"/>
  <c r="Q417" i="6"/>
  <c r="R417" i="6"/>
  <c r="U417" i="6"/>
  <c r="L418" i="6"/>
  <c r="Q418" i="6"/>
  <c r="R418" i="6"/>
  <c r="U418" i="6"/>
  <c r="L419" i="6"/>
  <c r="Q419" i="6"/>
  <c r="R419" i="6"/>
  <c r="U419" i="6"/>
  <c r="L420" i="6"/>
  <c r="Q420" i="6"/>
  <c r="R420" i="6"/>
  <c r="U420" i="6"/>
  <c r="L421" i="6"/>
  <c r="Q421" i="6"/>
  <c r="R421" i="6"/>
  <c r="U421" i="6"/>
  <c r="L422" i="6"/>
  <c r="Q422" i="6"/>
  <c r="R422" i="6"/>
  <c r="U422" i="6"/>
  <c r="L423" i="6"/>
  <c r="Q423" i="6"/>
  <c r="R423" i="6"/>
  <c r="U423" i="6"/>
  <c r="L424" i="6"/>
  <c r="Q424" i="6"/>
  <c r="R424" i="6"/>
  <c r="U424" i="6"/>
  <c r="L425" i="6"/>
  <c r="Q425" i="6"/>
  <c r="R425" i="6"/>
  <c r="U425" i="6"/>
  <c r="L426" i="6"/>
  <c r="Q426" i="6"/>
  <c r="R426" i="6"/>
  <c r="U426" i="6"/>
  <c r="L427" i="6"/>
  <c r="Q427" i="6"/>
  <c r="R427" i="6"/>
  <c r="U427" i="6"/>
  <c r="L428" i="6"/>
  <c r="Q428" i="6"/>
  <c r="R428" i="6"/>
  <c r="U428" i="6"/>
  <c r="L429" i="6"/>
  <c r="Q429" i="6"/>
  <c r="R429" i="6"/>
  <c r="U429" i="6"/>
  <c r="L430" i="6"/>
  <c r="Q430" i="6"/>
  <c r="R430" i="6"/>
  <c r="U430" i="6"/>
  <c r="L431" i="6"/>
  <c r="Q431" i="6"/>
  <c r="R431" i="6"/>
  <c r="U431" i="6"/>
  <c r="L432" i="6"/>
  <c r="Q432" i="6"/>
  <c r="R432" i="6"/>
  <c r="U432" i="6"/>
  <c r="L433" i="6"/>
  <c r="Q433" i="6"/>
  <c r="R433" i="6"/>
  <c r="U433" i="6"/>
  <c r="L434" i="6"/>
  <c r="Q434" i="6"/>
  <c r="R434" i="6"/>
  <c r="U434" i="6"/>
  <c r="L435" i="6"/>
  <c r="Q435" i="6"/>
  <c r="R435" i="6"/>
  <c r="U435" i="6"/>
  <c r="L436" i="6"/>
  <c r="Q436" i="6"/>
  <c r="R436" i="6"/>
  <c r="U436" i="6"/>
  <c r="L437" i="6"/>
  <c r="Q437" i="6"/>
  <c r="R437" i="6"/>
  <c r="U437" i="6"/>
  <c r="L438" i="6"/>
  <c r="Q438" i="6"/>
  <c r="R438" i="6"/>
  <c r="U438" i="6"/>
  <c r="L439" i="6"/>
  <c r="Q439" i="6"/>
  <c r="R439" i="6"/>
  <c r="U439" i="6"/>
  <c r="L440" i="6"/>
  <c r="Q440" i="6"/>
  <c r="R440" i="6"/>
  <c r="U440" i="6"/>
  <c r="L441" i="6"/>
  <c r="Q441" i="6"/>
  <c r="R441" i="6"/>
  <c r="U441" i="6"/>
  <c r="L442" i="6"/>
  <c r="Q442" i="6"/>
  <c r="R442" i="6"/>
  <c r="U442" i="6"/>
  <c r="L443" i="6"/>
  <c r="Q443" i="6"/>
  <c r="R443" i="6"/>
  <c r="U443" i="6"/>
  <c r="L444" i="6"/>
  <c r="Q444" i="6"/>
  <c r="R444" i="6"/>
  <c r="U444" i="6"/>
  <c r="L445" i="6"/>
  <c r="Q445" i="6"/>
  <c r="R445" i="6"/>
  <c r="U445" i="6"/>
  <c r="L446" i="6"/>
  <c r="Q446" i="6"/>
  <c r="R446" i="6"/>
  <c r="U446" i="6"/>
  <c r="L447" i="6"/>
  <c r="Q447" i="6"/>
  <c r="R447" i="6"/>
  <c r="U447" i="6"/>
  <c r="L448" i="6"/>
  <c r="Q448" i="6"/>
  <c r="R448" i="6"/>
  <c r="U448" i="6"/>
  <c r="L449" i="6"/>
  <c r="Q449" i="6"/>
  <c r="R449" i="6"/>
  <c r="U449" i="6"/>
  <c r="L450" i="6"/>
  <c r="Q450" i="6"/>
  <c r="R450" i="6"/>
  <c r="U450" i="6"/>
  <c r="L451" i="6"/>
  <c r="Q451" i="6"/>
  <c r="R451" i="6"/>
  <c r="U451" i="6"/>
  <c r="L452" i="6"/>
  <c r="Q452" i="6"/>
  <c r="R452" i="6"/>
  <c r="U452" i="6"/>
  <c r="L453" i="6"/>
  <c r="Q453" i="6"/>
  <c r="R453" i="6"/>
  <c r="U453" i="6"/>
  <c r="L454" i="6"/>
  <c r="Q454" i="6"/>
  <c r="R454" i="6"/>
  <c r="U454" i="6"/>
  <c r="L455" i="6"/>
  <c r="Q455" i="6"/>
  <c r="R455" i="6"/>
  <c r="U455" i="6"/>
  <c r="L456" i="6"/>
  <c r="Q456" i="6"/>
  <c r="R456" i="6"/>
  <c r="U456" i="6"/>
  <c r="L457" i="6"/>
  <c r="Q457" i="6"/>
  <c r="R457" i="6"/>
  <c r="U457" i="6"/>
  <c r="L458" i="6"/>
  <c r="Q458" i="6"/>
  <c r="R458" i="6"/>
  <c r="U458" i="6"/>
  <c r="L459" i="6"/>
  <c r="Q459" i="6"/>
  <c r="R459" i="6"/>
  <c r="U459" i="6"/>
  <c r="L460" i="6"/>
  <c r="Q460" i="6"/>
  <c r="R460" i="6"/>
  <c r="U460" i="6"/>
  <c r="L461" i="6"/>
  <c r="Q461" i="6"/>
  <c r="R461" i="6"/>
  <c r="U461" i="6"/>
  <c r="L462" i="6"/>
  <c r="Q462" i="6"/>
  <c r="R462" i="6"/>
  <c r="U462" i="6"/>
  <c r="L463" i="6"/>
  <c r="Q463" i="6"/>
  <c r="R463" i="6"/>
  <c r="U463" i="6"/>
  <c r="L464" i="6"/>
  <c r="Q464" i="6"/>
  <c r="R464" i="6"/>
  <c r="U464" i="6"/>
  <c r="L465" i="6"/>
  <c r="Q465" i="6"/>
  <c r="R465" i="6"/>
  <c r="U465" i="6"/>
  <c r="L466" i="6"/>
  <c r="Q466" i="6"/>
  <c r="R466" i="6"/>
  <c r="U466" i="6"/>
  <c r="L467" i="6"/>
  <c r="Q467" i="6"/>
  <c r="R467" i="6"/>
  <c r="U467" i="6"/>
  <c r="L468" i="6"/>
  <c r="Q468" i="6"/>
  <c r="R468" i="6"/>
  <c r="U468" i="6"/>
  <c r="L469" i="6"/>
  <c r="Q469" i="6"/>
  <c r="R469" i="6"/>
  <c r="U469" i="6"/>
  <c r="L470" i="6"/>
  <c r="Q470" i="6"/>
  <c r="R470" i="6"/>
  <c r="U470" i="6"/>
  <c r="L471" i="6"/>
  <c r="Q471" i="6"/>
  <c r="R471" i="6"/>
  <c r="U471" i="6"/>
  <c r="L472" i="6"/>
  <c r="Q472" i="6"/>
  <c r="R472" i="6"/>
  <c r="U472" i="6"/>
  <c r="L473" i="6"/>
  <c r="Q473" i="6"/>
  <c r="R473" i="6"/>
  <c r="U473" i="6"/>
  <c r="L474" i="6"/>
  <c r="Q474" i="6"/>
  <c r="R474" i="6"/>
  <c r="U474" i="6"/>
  <c r="L475" i="6"/>
  <c r="Q475" i="6"/>
  <c r="R475" i="6"/>
  <c r="U475" i="6"/>
  <c r="L476" i="6"/>
  <c r="Q476" i="6"/>
  <c r="R476" i="6"/>
  <c r="U476" i="6"/>
  <c r="L477" i="6"/>
  <c r="Q477" i="6"/>
  <c r="R477" i="6"/>
  <c r="U477" i="6"/>
  <c r="L478" i="6"/>
  <c r="Q478" i="6"/>
  <c r="R478" i="6"/>
  <c r="U478" i="6"/>
  <c r="L479" i="6"/>
  <c r="Q479" i="6"/>
  <c r="R479" i="6"/>
  <c r="U479" i="6"/>
  <c r="L480" i="6"/>
  <c r="Q480" i="6"/>
  <c r="R480" i="6"/>
  <c r="U480" i="6"/>
  <c r="L481" i="6"/>
  <c r="Q481" i="6"/>
  <c r="R481" i="6"/>
  <c r="U481" i="6"/>
  <c r="L482" i="6"/>
  <c r="Q482" i="6"/>
  <c r="R482" i="6"/>
  <c r="U482" i="6"/>
  <c r="L483" i="6"/>
  <c r="Q483" i="6"/>
  <c r="R483" i="6"/>
  <c r="U483" i="6"/>
  <c r="L484" i="6"/>
  <c r="Q484" i="6"/>
  <c r="R484" i="6"/>
  <c r="U484" i="6"/>
  <c r="L485" i="6"/>
  <c r="Q485" i="6"/>
  <c r="R485" i="6"/>
  <c r="U485" i="6"/>
  <c r="L486" i="6"/>
  <c r="Q486" i="6"/>
  <c r="R486" i="6"/>
  <c r="U486" i="6"/>
  <c r="L487" i="6"/>
  <c r="Q487" i="6"/>
  <c r="R487" i="6"/>
  <c r="U487" i="6"/>
  <c r="L488" i="6"/>
  <c r="Q488" i="6"/>
  <c r="R488" i="6"/>
  <c r="U488" i="6"/>
  <c r="L489" i="6"/>
  <c r="Q489" i="6"/>
  <c r="R489" i="6"/>
  <c r="U489" i="6"/>
  <c r="L490" i="6"/>
  <c r="Q490" i="6"/>
  <c r="R490" i="6"/>
  <c r="U490" i="6"/>
  <c r="L491" i="6"/>
  <c r="Q491" i="6"/>
  <c r="R491" i="6"/>
  <c r="U491" i="6"/>
  <c r="L492" i="6"/>
  <c r="Q492" i="6"/>
  <c r="R492" i="6"/>
  <c r="U492" i="6"/>
  <c r="L493" i="6"/>
  <c r="Q493" i="6"/>
  <c r="R493" i="6"/>
  <c r="U493" i="6"/>
  <c r="L494" i="6"/>
  <c r="Q494" i="6"/>
  <c r="R494" i="6"/>
  <c r="U494" i="6"/>
  <c r="L495" i="6"/>
  <c r="Q495" i="6"/>
  <c r="R495" i="6"/>
  <c r="U495" i="6"/>
  <c r="L496" i="6"/>
  <c r="Q496" i="6"/>
  <c r="R496" i="6"/>
  <c r="U496" i="6"/>
  <c r="L497" i="6"/>
  <c r="Q497" i="6"/>
  <c r="R497" i="6"/>
  <c r="U497" i="6"/>
  <c r="L498" i="6"/>
  <c r="Q498" i="6"/>
  <c r="R498" i="6"/>
  <c r="U498" i="6"/>
  <c r="L499" i="6"/>
  <c r="Q499" i="6"/>
  <c r="R499" i="6"/>
  <c r="U499" i="6"/>
  <c r="L500" i="6"/>
  <c r="Q500" i="6"/>
  <c r="R500" i="6"/>
  <c r="U500" i="6"/>
  <c r="L501" i="6"/>
  <c r="Q501" i="6"/>
  <c r="R501" i="6"/>
  <c r="U501" i="6"/>
  <c r="L502" i="6"/>
  <c r="Q502" i="6"/>
  <c r="R502" i="6"/>
  <c r="U502" i="6"/>
  <c r="L503" i="6"/>
  <c r="Q503" i="6"/>
  <c r="R503" i="6"/>
  <c r="U503" i="6"/>
  <c r="L504" i="6"/>
  <c r="Q504" i="6"/>
  <c r="R504" i="6"/>
  <c r="U504" i="6"/>
  <c r="L505" i="6"/>
  <c r="Q505" i="6"/>
  <c r="R505" i="6"/>
  <c r="U505" i="6"/>
  <c r="L506" i="6"/>
  <c r="Q506" i="6"/>
  <c r="R506" i="6"/>
  <c r="U506" i="6"/>
  <c r="L507" i="6"/>
  <c r="Q507" i="6"/>
  <c r="R507" i="6"/>
  <c r="U507" i="6"/>
  <c r="L508" i="6"/>
  <c r="Q508" i="6"/>
  <c r="R508" i="6"/>
  <c r="U508" i="6"/>
  <c r="L509" i="6"/>
  <c r="Q509" i="6"/>
  <c r="R509" i="6"/>
  <c r="U509" i="6"/>
  <c r="L510" i="6"/>
  <c r="Q510" i="6"/>
  <c r="R510" i="6"/>
  <c r="U510" i="6"/>
  <c r="L511" i="6"/>
  <c r="Q511" i="6"/>
  <c r="R511" i="6"/>
  <c r="U511" i="6"/>
  <c r="L512" i="6"/>
  <c r="Q512" i="6"/>
  <c r="R512" i="6"/>
  <c r="U512" i="6"/>
  <c r="L513" i="6"/>
  <c r="Q513" i="6"/>
  <c r="R513" i="6"/>
  <c r="U513" i="6"/>
  <c r="L514" i="6"/>
  <c r="Q514" i="6"/>
  <c r="R514" i="6"/>
  <c r="U514" i="6"/>
  <c r="L515" i="6"/>
  <c r="Q515" i="6"/>
  <c r="R515" i="6"/>
  <c r="U515" i="6"/>
  <c r="L516" i="6"/>
  <c r="Q516" i="6"/>
  <c r="R516" i="6"/>
  <c r="U516" i="6"/>
  <c r="L517" i="6"/>
  <c r="Q517" i="6"/>
  <c r="R517" i="6"/>
  <c r="U517" i="6"/>
  <c r="L518" i="6"/>
  <c r="Q518" i="6"/>
  <c r="R518" i="6"/>
  <c r="U518" i="6"/>
  <c r="L519" i="6"/>
  <c r="Q519" i="6"/>
  <c r="R519" i="6"/>
  <c r="U519" i="6"/>
  <c r="L520" i="6"/>
  <c r="Q520" i="6"/>
  <c r="R520" i="6"/>
  <c r="U520" i="6"/>
  <c r="L521" i="6"/>
  <c r="Q521" i="6"/>
  <c r="R521" i="6"/>
  <c r="U521" i="6"/>
  <c r="L522" i="6"/>
  <c r="Q522" i="6"/>
  <c r="R522" i="6"/>
  <c r="U522" i="6"/>
  <c r="L523" i="6"/>
  <c r="Q523" i="6"/>
  <c r="R523" i="6"/>
  <c r="U523" i="6"/>
  <c r="L524" i="6"/>
  <c r="Q524" i="6"/>
  <c r="R524" i="6"/>
  <c r="U524" i="6"/>
  <c r="L525" i="6"/>
  <c r="Q525" i="6"/>
  <c r="R525" i="6"/>
  <c r="U525" i="6"/>
  <c r="L526" i="6"/>
  <c r="Q526" i="6"/>
  <c r="R526" i="6"/>
  <c r="U526" i="6"/>
  <c r="L527" i="6"/>
  <c r="Q527" i="6"/>
  <c r="R527" i="6"/>
  <c r="U527" i="6"/>
  <c r="L528" i="6"/>
  <c r="Q528" i="6"/>
  <c r="R528" i="6"/>
  <c r="U528" i="6"/>
  <c r="L529" i="6"/>
  <c r="Q529" i="6"/>
  <c r="R529" i="6"/>
  <c r="U529" i="6"/>
  <c r="L530" i="6"/>
  <c r="Q530" i="6"/>
  <c r="R530" i="6"/>
  <c r="U530" i="6"/>
  <c r="L531" i="6"/>
  <c r="Q531" i="6"/>
  <c r="R531" i="6"/>
  <c r="U531" i="6"/>
  <c r="L532" i="6"/>
  <c r="Q532" i="6"/>
  <c r="R532" i="6"/>
  <c r="U532" i="6"/>
  <c r="L533" i="6"/>
  <c r="Q533" i="6"/>
  <c r="R533" i="6"/>
  <c r="U533" i="6"/>
  <c r="L534" i="6"/>
  <c r="Q534" i="6"/>
  <c r="R534" i="6"/>
  <c r="U534" i="6"/>
  <c r="L535" i="6"/>
  <c r="Q535" i="6"/>
  <c r="R535" i="6"/>
  <c r="U535" i="6"/>
  <c r="L536" i="6"/>
  <c r="Q536" i="6"/>
  <c r="R536" i="6"/>
  <c r="U536" i="6"/>
  <c r="L537" i="6"/>
  <c r="Q537" i="6"/>
  <c r="R537" i="6"/>
  <c r="U537" i="6"/>
  <c r="L538" i="6"/>
  <c r="Q538" i="6"/>
  <c r="R538" i="6"/>
  <c r="U538" i="6"/>
  <c r="L539" i="6"/>
  <c r="Q539" i="6"/>
  <c r="R539" i="6"/>
  <c r="U539" i="6"/>
  <c r="L540" i="6"/>
  <c r="Q540" i="6"/>
  <c r="R540" i="6"/>
  <c r="U540" i="6"/>
  <c r="L541" i="6"/>
  <c r="Q541" i="6"/>
  <c r="R541" i="6"/>
  <c r="U541" i="6"/>
  <c r="L542" i="6"/>
  <c r="Q542" i="6"/>
  <c r="R542" i="6"/>
  <c r="U542" i="6"/>
  <c r="L543" i="6"/>
  <c r="Q543" i="6"/>
  <c r="R543" i="6"/>
  <c r="U543" i="6"/>
  <c r="L544" i="6"/>
  <c r="Q544" i="6"/>
  <c r="R544" i="6"/>
  <c r="U544" i="6"/>
  <c r="L545" i="6"/>
  <c r="Q545" i="6"/>
  <c r="R545" i="6"/>
  <c r="U545" i="6"/>
  <c r="L546" i="6"/>
  <c r="Q546" i="6"/>
  <c r="R546" i="6"/>
  <c r="U546" i="6"/>
  <c r="L547" i="6"/>
  <c r="Q547" i="6"/>
  <c r="R547" i="6"/>
  <c r="U547" i="6"/>
  <c r="L548" i="6"/>
  <c r="Q548" i="6"/>
  <c r="R548" i="6"/>
  <c r="U548" i="6"/>
  <c r="L549" i="6"/>
  <c r="Q549" i="6"/>
  <c r="R549" i="6"/>
  <c r="U549" i="6"/>
  <c r="L550" i="6"/>
  <c r="Q550" i="6"/>
  <c r="R550" i="6"/>
  <c r="U550" i="6"/>
  <c r="L551" i="6"/>
  <c r="Q551" i="6"/>
  <c r="R551" i="6"/>
  <c r="U551" i="6"/>
  <c r="L552" i="6"/>
  <c r="Q552" i="6"/>
  <c r="R552" i="6"/>
  <c r="U552" i="6"/>
  <c r="L553" i="6"/>
  <c r="Q553" i="6"/>
  <c r="R553" i="6"/>
  <c r="U553" i="6"/>
  <c r="L554" i="6"/>
  <c r="Q554" i="6"/>
  <c r="R554" i="6"/>
  <c r="U554" i="6"/>
  <c r="L555" i="6"/>
  <c r="Q555" i="6"/>
  <c r="R555" i="6"/>
  <c r="U555" i="6"/>
  <c r="L556" i="6"/>
  <c r="Q556" i="6"/>
  <c r="R556" i="6"/>
  <c r="U556" i="6"/>
  <c r="L557" i="6"/>
  <c r="Q557" i="6"/>
  <c r="R557" i="6"/>
  <c r="U557" i="6"/>
  <c r="L558" i="6"/>
  <c r="Q558" i="6"/>
  <c r="R558" i="6"/>
  <c r="U558" i="6"/>
  <c r="L559" i="6"/>
  <c r="Q559" i="6"/>
  <c r="R559" i="6"/>
  <c r="U559" i="6"/>
  <c r="L560" i="6"/>
  <c r="Q560" i="6"/>
  <c r="R560" i="6"/>
  <c r="U560" i="6"/>
  <c r="L561" i="6"/>
  <c r="Q561" i="6"/>
  <c r="R561" i="6"/>
  <c r="U561" i="6"/>
  <c r="L562" i="6"/>
  <c r="Q562" i="6"/>
  <c r="R562" i="6"/>
  <c r="U562" i="6"/>
  <c r="L563" i="6"/>
  <c r="Q563" i="6"/>
  <c r="R563" i="6"/>
  <c r="U563" i="6"/>
  <c r="L564" i="6"/>
  <c r="Q564" i="6"/>
  <c r="R564" i="6"/>
  <c r="U564" i="6"/>
  <c r="L565" i="6"/>
  <c r="Q565" i="6"/>
  <c r="R565" i="6"/>
  <c r="U565" i="6"/>
  <c r="L566" i="6"/>
  <c r="Q566" i="6"/>
  <c r="R566" i="6"/>
  <c r="U566" i="6"/>
  <c r="L567" i="6"/>
  <c r="Q567" i="6"/>
  <c r="R567" i="6"/>
  <c r="U567" i="6"/>
  <c r="L568" i="6"/>
  <c r="Q568" i="6"/>
  <c r="R568" i="6"/>
  <c r="U568" i="6"/>
  <c r="L569" i="6"/>
  <c r="Q569" i="6"/>
  <c r="R569" i="6"/>
  <c r="U569" i="6"/>
  <c r="L570" i="6"/>
  <c r="Q570" i="6"/>
  <c r="R570" i="6"/>
  <c r="U570" i="6"/>
  <c r="L571" i="6"/>
  <c r="Q571" i="6"/>
  <c r="R571" i="6"/>
  <c r="U571" i="6"/>
  <c r="L572" i="6"/>
  <c r="Q572" i="6"/>
  <c r="R572" i="6"/>
  <c r="U572" i="6"/>
  <c r="L573" i="6"/>
  <c r="Q573" i="6"/>
  <c r="R573" i="6"/>
  <c r="U573" i="6"/>
  <c r="L574" i="6"/>
  <c r="Q574" i="6"/>
  <c r="R574" i="6"/>
  <c r="U574" i="6"/>
  <c r="L575" i="6"/>
  <c r="Q575" i="6"/>
  <c r="R575" i="6"/>
  <c r="U575" i="6"/>
  <c r="L576" i="6"/>
  <c r="Q576" i="6"/>
  <c r="R576" i="6"/>
  <c r="U576" i="6"/>
  <c r="L577" i="6"/>
  <c r="Q577" i="6"/>
  <c r="R577" i="6"/>
  <c r="U577" i="6"/>
  <c r="L578" i="6"/>
  <c r="Q578" i="6"/>
  <c r="R578" i="6"/>
  <c r="U578" i="6"/>
  <c r="L579" i="6"/>
  <c r="Q579" i="6"/>
  <c r="R579" i="6"/>
  <c r="U579" i="6"/>
  <c r="L580" i="6"/>
  <c r="Q580" i="6"/>
  <c r="R580" i="6"/>
  <c r="U580" i="6"/>
  <c r="L581" i="6"/>
  <c r="Q581" i="6"/>
  <c r="R581" i="6"/>
  <c r="U581" i="6"/>
  <c r="L582" i="6"/>
  <c r="Q582" i="6"/>
  <c r="R582" i="6"/>
  <c r="U582" i="6"/>
  <c r="L583" i="6"/>
  <c r="Q583" i="6"/>
  <c r="R583" i="6"/>
  <c r="U583" i="6"/>
  <c r="L584" i="6"/>
  <c r="Q584" i="6"/>
  <c r="R584" i="6"/>
  <c r="U584" i="6"/>
  <c r="L585" i="6"/>
  <c r="Q585" i="6"/>
  <c r="R585" i="6"/>
  <c r="U585" i="6"/>
  <c r="L586" i="6"/>
  <c r="Q586" i="6"/>
  <c r="R586" i="6"/>
  <c r="U586" i="6"/>
  <c r="L587" i="6"/>
  <c r="Q587" i="6"/>
  <c r="R587" i="6"/>
  <c r="U587" i="6"/>
  <c r="L588" i="6"/>
  <c r="Q588" i="6"/>
  <c r="R588" i="6"/>
  <c r="U588" i="6"/>
  <c r="L589" i="6"/>
  <c r="Q589" i="6"/>
  <c r="R589" i="6"/>
  <c r="U589" i="6"/>
  <c r="L590" i="6"/>
  <c r="Q590" i="6"/>
  <c r="R590" i="6"/>
  <c r="U590" i="6"/>
  <c r="L591" i="6"/>
  <c r="Q591" i="6"/>
  <c r="R591" i="6"/>
  <c r="U591" i="6"/>
  <c r="L592" i="6"/>
  <c r="Q592" i="6"/>
  <c r="R592" i="6"/>
  <c r="U592" i="6"/>
  <c r="L593" i="6"/>
  <c r="Q593" i="6"/>
  <c r="R593" i="6"/>
  <c r="U593" i="6"/>
  <c r="L594" i="6"/>
  <c r="Q594" i="6"/>
  <c r="R594" i="6"/>
  <c r="U594" i="6"/>
  <c r="L595" i="6"/>
  <c r="Q595" i="6"/>
  <c r="R595" i="6"/>
  <c r="U595" i="6"/>
  <c r="L596" i="6"/>
  <c r="Q596" i="6"/>
  <c r="R596" i="6"/>
  <c r="U596" i="6"/>
  <c r="L597" i="6"/>
  <c r="Q597" i="6"/>
  <c r="R597" i="6"/>
  <c r="U597" i="6"/>
  <c r="L598" i="6"/>
  <c r="Q598" i="6"/>
  <c r="R598" i="6"/>
  <c r="U598" i="6"/>
  <c r="L599" i="6"/>
  <c r="Q599" i="6"/>
  <c r="R599" i="6"/>
  <c r="U599" i="6"/>
  <c r="L82" i="1"/>
  <c r="Q82" i="1"/>
  <c r="R82" i="1"/>
  <c r="U82" i="1"/>
  <c r="L83" i="1"/>
  <c r="Q83" i="1"/>
  <c r="R83" i="1"/>
  <c r="U83" i="1"/>
  <c r="L84" i="1"/>
  <c r="Q84" i="1"/>
  <c r="R84" i="1"/>
  <c r="U84" i="1"/>
  <c r="L85" i="1"/>
  <c r="Q85" i="1"/>
  <c r="R85" i="1"/>
  <c r="U85" i="1"/>
  <c r="L86" i="1"/>
  <c r="Q86" i="1"/>
  <c r="R86" i="1"/>
  <c r="U86" i="1"/>
  <c r="L87" i="1"/>
  <c r="Q87" i="1"/>
  <c r="R87" i="1"/>
  <c r="U87" i="1"/>
  <c r="L88" i="1"/>
  <c r="Q88" i="1"/>
  <c r="R88" i="1"/>
  <c r="U88" i="1"/>
  <c r="L89" i="1"/>
  <c r="Q89" i="1"/>
  <c r="R89" i="1"/>
  <c r="U89" i="1"/>
  <c r="L90" i="1"/>
  <c r="Q90" i="1"/>
  <c r="R90" i="1"/>
  <c r="U90" i="1"/>
  <c r="L91" i="1"/>
  <c r="Q91" i="1"/>
  <c r="R91" i="1"/>
  <c r="U91" i="1"/>
  <c r="L92" i="1"/>
  <c r="Q92" i="1"/>
  <c r="R92" i="1"/>
  <c r="U92" i="1"/>
  <c r="L93" i="1"/>
  <c r="Q93" i="1"/>
  <c r="R93" i="1"/>
  <c r="U93" i="1"/>
  <c r="L94" i="1"/>
  <c r="Q94" i="1"/>
  <c r="R94" i="1"/>
  <c r="U94" i="1"/>
  <c r="L95" i="1"/>
  <c r="Q95" i="1"/>
  <c r="R95" i="1"/>
  <c r="U95" i="1"/>
  <c r="L96" i="1"/>
  <c r="Q96" i="1"/>
  <c r="R96" i="1"/>
  <c r="U96" i="1"/>
  <c r="L97" i="1"/>
  <c r="Q97" i="1"/>
  <c r="R97" i="1"/>
  <c r="U97" i="1"/>
  <c r="L98" i="1"/>
  <c r="Q98" i="1"/>
  <c r="R98" i="1"/>
  <c r="U98" i="1"/>
  <c r="L99" i="1"/>
  <c r="Q99" i="1"/>
  <c r="R99" i="1"/>
  <c r="U99" i="1"/>
  <c r="L100" i="1"/>
  <c r="Q100" i="1"/>
  <c r="R100" i="1"/>
  <c r="U100" i="1"/>
  <c r="L101" i="1"/>
  <c r="Q101" i="1"/>
  <c r="R101" i="1"/>
  <c r="U101" i="1"/>
  <c r="L102" i="1"/>
  <c r="Q102" i="1"/>
  <c r="R102" i="1"/>
  <c r="U102" i="1"/>
  <c r="L103" i="1"/>
  <c r="Q103" i="1"/>
  <c r="R103" i="1"/>
  <c r="U103" i="1"/>
  <c r="L104" i="1"/>
  <c r="Q104" i="1"/>
  <c r="R104" i="1"/>
  <c r="U104" i="1"/>
  <c r="L105" i="1"/>
  <c r="Q105" i="1"/>
  <c r="R105" i="1"/>
  <c r="U105" i="1"/>
  <c r="L106" i="1"/>
  <c r="Q106" i="1"/>
  <c r="R106" i="1"/>
  <c r="U106" i="1"/>
  <c r="L107" i="1"/>
  <c r="Q107" i="1"/>
  <c r="R107" i="1"/>
  <c r="U107" i="1"/>
  <c r="L108" i="1"/>
  <c r="Q108" i="1"/>
  <c r="R108" i="1"/>
  <c r="U108" i="1"/>
  <c r="L109" i="1"/>
  <c r="Q109" i="1"/>
  <c r="R109" i="1"/>
  <c r="U109" i="1"/>
  <c r="L110" i="1"/>
  <c r="Q110" i="1"/>
  <c r="R110" i="1"/>
  <c r="U110" i="1"/>
  <c r="L111" i="1"/>
  <c r="Q111" i="1"/>
  <c r="R111" i="1"/>
  <c r="U111" i="1"/>
  <c r="L112" i="1"/>
  <c r="Q112" i="1"/>
  <c r="R112" i="1"/>
  <c r="U112" i="1"/>
  <c r="L113" i="1"/>
  <c r="Q113" i="1"/>
  <c r="R113" i="1"/>
  <c r="U113" i="1"/>
  <c r="L114" i="1"/>
  <c r="Q114" i="1"/>
  <c r="R114" i="1"/>
  <c r="U114" i="1"/>
  <c r="L115" i="1"/>
  <c r="Q115" i="1"/>
  <c r="R115" i="1"/>
  <c r="U115" i="1"/>
  <c r="L116" i="1"/>
  <c r="Q116" i="1"/>
  <c r="R116" i="1"/>
  <c r="U116" i="1"/>
  <c r="L117" i="1"/>
  <c r="Q117" i="1"/>
  <c r="R117" i="1"/>
  <c r="U117" i="1"/>
  <c r="L118" i="1"/>
  <c r="Q118" i="1"/>
  <c r="R118" i="1"/>
  <c r="U118" i="1"/>
  <c r="L119" i="1"/>
  <c r="Q119" i="1"/>
  <c r="R119" i="1"/>
  <c r="U119" i="1"/>
  <c r="L120" i="1"/>
  <c r="Q120" i="1"/>
  <c r="R120" i="1"/>
  <c r="U120" i="1"/>
  <c r="L121" i="1"/>
  <c r="Q121" i="1"/>
  <c r="R121" i="1"/>
  <c r="U121" i="1"/>
  <c r="L122" i="1"/>
  <c r="Q122" i="1"/>
  <c r="R122" i="1"/>
  <c r="U122" i="1"/>
  <c r="L123" i="1"/>
  <c r="Q123" i="1"/>
  <c r="R123" i="1"/>
  <c r="U123" i="1"/>
  <c r="L124" i="1"/>
  <c r="Q124" i="1"/>
  <c r="R124" i="1"/>
  <c r="U124" i="1"/>
  <c r="L125" i="1"/>
  <c r="Q125" i="1"/>
  <c r="R125" i="1"/>
  <c r="U125" i="1"/>
  <c r="L126" i="1"/>
  <c r="Q126" i="1"/>
  <c r="R126" i="1"/>
  <c r="U126" i="1"/>
  <c r="L127" i="1"/>
  <c r="Q127" i="1"/>
  <c r="R127" i="1"/>
  <c r="U127" i="1"/>
  <c r="L128" i="1"/>
  <c r="Q128" i="1"/>
  <c r="R128" i="1"/>
  <c r="U128" i="1"/>
  <c r="L129" i="1"/>
  <c r="Q129" i="1"/>
  <c r="R129" i="1"/>
  <c r="U129" i="1"/>
  <c r="L130" i="1"/>
  <c r="Q130" i="1"/>
  <c r="R130" i="1"/>
  <c r="U130" i="1"/>
  <c r="L131" i="1"/>
  <c r="Q131" i="1"/>
  <c r="R131" i="1"/>
  <c r="U131" i="1"/>
  <c r="L132" i="1"/>
  <c r="Q132" i="1"/>
  <c r="R132" i="1"/>
  <c r="U132" i="1"/>
  <c r="L133" i="1"/>
  <c r="Q133" i="1"/>
  <c r="R133" i="1"/>
  <c r="U133" i="1"/>
  <c r="L134" i="1"/>
  <c r="Q134" i="1"/>
  <c r="R134" i="1"/>
  <c r="U134" i="1"/>
  <c r="L135" i="1"/>
  <c r="Q135" i="1"/>
  <c r="R135" i="1"/>
  <c r="U135" i="1"/>
  <c r="L136" i="1"/>
  <c r="Q136" i="1"/>
  <c r="R136" i="1"/>
  <c r="U136" i="1"/>
  <c r="L137" i="1"/>
  <c r="Q137" i="1"/>
  <c r="R137" i="1"/>
  <c r="U137" i="1"/>
  <c r="L138" i="1"/>
  <c r="Q138" i="1"/>
  <c r="R138" i="1"/>
  <c r="U138" i="1"/>
  <c r="L139" i="1"/>
  <c r="Q139" i="1"/>
  <c r="R139" i="1"/>
  <c r="U139" i="1"/>
  <c r="L140" i="1"/>
  <c r="Q140" i="1"/>
  <c r="R140" i="1"/>
  <c r="U140" i="1"/>
  <c r="L141" i="1"/>
  <c r="Q141" i="1"/>
  <c r="R141" i="1"/>
  <c r="U141" i="1"/>
  <c r="L142" i="1"/>
  <c r="Q142" i="1"/>
  <c r="R142" i="1"/>
  <c r="U142" i="1"/>
  <c r="L143" i="1"/>
  <c r="Q143" i="1"/>
  <c r="R143" i="1"/>
  <c r="U143" i="1"/>
  <c r="L144" i="1"/>
  <c r="Q144" i="1"/>
  <c r="R144" i="1"/>
  <c r="U144" i="1"/>
  <c r="L145" i="1"/>
  <c r="Q145" i="1"/>
  <c r="R145" i="1"/>
  <c r="U145" i="1"/>
  <c r="L146" i="1"/>
  <c r="Q146" i="1"/>
  <c r="R146" i="1"/>
  <c r="U146" i="1"/>
  <c r="L147" i="1"/>
  <c r="Q147" i="1"/>
  <c r="R147" i="1"/>
  <c r="U147" i="1"/>
  <c r="L148" i="1"/>
  <c r="Q148" i="1"/>
  <c r="R148" i="1"/>
  <c r="U148" i="1"/>
  <c r="L149" i="1"/>
  <c r="Q149" i="1"/>
  <c r="R149" i="1"/>
  <c r="U149" i="1"/>
  <c r="L150" i="1"/>
  <c r="Q150" i="1"/>
  <c r="R150" i="1"/>
  <c r="U150" i="1"/>
  <c r="L151" i="1"/>
  <c r="Q151" i="1"/>
  <c r="R151" i="1"/>
  <c r="U151" i="1"/>
  <c r="L152" i="1"/>
  <c r="Q152" i="1"/>
  <c r="R152" i="1"/>
  <c r="U152" i="1"/>
  <c r="L153" i="1"/>
  <c r="Q153" i="1"/>
  <c r="R153" i="1"/>
  <c r="U153" i="1"/>
  <c r="L154" i="1"/>
  <c r="Q154" i="1"/>
  <c r="R154" i="1"/>
  <c r="U154" i="1"/>
  <c r="L155" i="1"/>
  <c r="Q155" i="1"/>
  <c r="R155" i="1"/>
  <c r="U155" i="1"/>
  <c r="L156" i="1"/>
  <c r="Q156" i="1"/>
  <c r="R156" i="1"/>
  <c r="U156" i="1"/>
  <c r="L157" i="1"/>
  <c r="Q157" i="1"/>
  <c r="R157" i="1"/>
  <c r="U157" i="1"/>
  <c r="L158" i="1"/>
  <c r="Q158" i="1"/>
  <c r="R158" i="1"/>
  <c r="U158" i="1"/>
  <c r="L159" i="1"/>
  <c r="Q159" i="1"/>
  <c r="R159" i="1"/>
  <c r="U159" i="1"/>
  <c r="L160" i="1"/>
  <c r="Q160" i="1"/>
  <c r="R160" i="1"/>
  <c r="U160" i="1"/>
  <c r="L161" i="1"/>
  <c r="Q161" i="1"/>
  <c r="R161" i="1"/>
  <c r="U161" i="1"/>
  <c r="L162" i="1"/>
  <c r="Q162" i="1"/>
  <c r="R162" i="1"/>
  <c r="U162" i="1"/>
  <c r="L163" i="1"/>
  <c r="Q163" i="1"/>
  <c r="R163" i="1"/>
  <c r="U163" i="1"/>
  <c r="L164" i="1"/>
  <c r="Q164" i="1"/>
  <c r="R164" i="1"/>
  <c r="U164" i="1"/>
  <c r="L165" i="1"/>
  <c r="Q165" i="1"/>
  <c r="R165" i="1"/>
  <c r="U165" i="1"/>
  <c r="L166" i="1"/>
  <c r="Q166" i="1"/>
  <c r="R166" i="1"/>
  <c r="U166" i="1"/>
  <c r="L167" i="1"/>
  <c r="Q167" i="1"/>
  <c r="R167" i="1"/>
  <c r="U167" i="1"/>
  <c r="L168" i="1"/>
  <c r="Q168" i="1"/>
  <c r="R168" i="1"/>
  <c r="U168" i="1"/>
  <c r="L169" i="1"/>
  <c r="Q169" i="1"/>
  <c r="R169" i="1"/>
  <c r="U169" i="1"/>
  <c r="L170" i="1"/>
  <c r="Q170" i="1"/>
  <c r="R170" i="1"/>
  <c r="U170" i="1"/>
  <c r="L171" i="1"/>
  <c r="Q171" i="1"/>
  <c r="R171" i="1"/>
  <c r="U171" i="1"/>
  <c r="L172" i="1"/>
  <c r="Q172" i="1"/>
  <c r="R172" i="1"/>
  <c r="U172" i="1"/>
  <c r="L173" i="1"/>
  <c r="Q173" i="1"/>
  <c r="R173" i="1"/>
  <c r="U173" i="1"/>
  <c r="L174" i="1"/>
  <c r="Q174" i="1"/>
  <c r="R174" i="1"/>
  <c r="U174" i="1"/>
  <c r="L175" i="1"/>
  <c r="Q175" i="1"/>
  <c r="R175" i="1"/>
  <c r="U175" i="1"/>
  <c r="L176" i="1"/>
  <c r="Q176" i="1"/>
  <c r="R176" i="1"/>
  <c r="U176" i="1"/>
  <c r="L177" i="1"/>
  <c r="Q177" i="1"/>
  <c r="R177" i="1"/>
  <c r="U177" i="1"/>
  <c r="L178" i="1"/>
  <c r="Q178" i="1"/>
  <c r="R178" i="1"/>
  <c r="U178" i="1"/>
  <c r="L179" i="1"/>
  <c r="Q179" i="1"/>
  <c r="R179" i="1"/>
  <c r="U179" i="1"/>
  <c r="L180" i="1"/>
  <c r="Q180" i="1"/>
  <c r="R180" i="1"/>
  <c r="U180" i="1"/>
  <c r="L181" i="1"/>
  <c r="Q181" i="1"/>
  <c r="R181" i="1"/>
  <c r="U181" i="1"/>
  <c r="L182" i="1"/>
  <c r="Q182" i="1"/>
  <c r="R182" i="1"/>
  <c r="U182" i="1"/>
  <c r="L183" i="1"/>
  <c r="Q183" i="1"/>
  <c r="R183" i="1"/>
  <c r="U183" i="1"/>
  <c r="L184" i="1"/>
  <c r="Q184" i="1"/>
  <c r="R184" i="1"/>
  <c r="U184" i="1"/>
  <c r="L185" i="1"/>
  <c r="Q185" i="1"/>
  <c r="R185" i="1"/>
  <c r="U185" i="1"/>
  <c r="L186" i="1"/>
  <c r="Q186" i="1"/>
  <c r="R186" i="1"/>
  <c r="U186" i="1"/>
  <c r="L187" i="1"/>
  <c r="Q187" i="1"/>
  <c r="R187" i="1"/>
  <c r="U187" i="1"/>
  <c r="L188" i="1"/>
  <c r="Q188" i="1"/>
  <c r="R188" i="1"/>
  <c r="U188" i="1"/>
  <c r="L189" i="1"/>
  <c r="Q189" i="1"/>
  <c r="R189" i="1"/>
  <c r="U189" i="1"/>
  <c r="L190" i="1"/>
  <c r="Q190" i="1"/>
  <c r="R190" i="1"/>
  <c r="U190" i="1"/>
  <c r="L191" i="1"/>
  <c r="Q191" i="1"/>
  <c r="R191" i="1"/>
  <c r="U191" i="1"/>
  <c r="L192" i="1"/>
  <c r="Q192" i="1"/>
  <c r="R192" i="1"/>
  <c r="U192" i="1"/>
  <c r="L193" i="1"/>
  <c r="Q193" i="1"/>
  <c r="R193" i="1"/>
  <c r="U193" i="1"/>
  <c r="L194" i="1"/>
  <c r="Q194" i="1"/>
  <c r="R194" i="1"/>
  <c r="U194" i="1"/>
  <c r="L195" i="1"/>
  <c r="Q195" i="1"/>
  <c r="R195" i="1"/>
  <c r="U195" i="1"/>
  <c r="L196" i="1"/>
  <c r="Q196" i="1"/>
  <c r="R196" i="1"/>
  <c r="U196" i="1"/>
  <c r="L197" i="1"/>
  <c r="Q197" i="1"/>
  <c r="R197" i="1"/>
  <c r="U197" i="1"/>
  <c r="L198" i="1"/>
  <c r="Q198" i="1"/>
  <c r="R198" i="1"/>
  <c r="U198" i="1"/>
  <c r="L199" i="1"/>
  <c r="Q199" i="1"/>
  <c r="R199" i="1"/>
  <c r="U199" i="1"/>
  <c r="L200" i="1"/>
  <c r="Q200" i="1"/>
  <c r="R200" i="1"/>
  <c r="U200" i="1"/>
  <c r="L201" i="1"/>
  <c r="Q201" i="1"/>
  <c r="R201" i="1"/>
  <c r="U201" i="1"/>
  <c r="L202" i="1"/>
  <c r="Q202" i="1"/>
  <c r="R202" i="1"/>
  <c r="U202" i="1"/>
  <c r="L203" i="1"/>
  <c r="Q203" i="1"/>
  <c r="R203" i="1"/>
  <c r="U203" i="1"/>
  <c r="L204" i="1"/>
  <c r="Q204" i="1"/>
  <c r="R204" i="1"/>
  <c r="U204" i="1"/>
  <c r="L205" i="1"/>
  <c r="Q205" i="1"/>
  <c r="R205" i="1"/>
  <c r="U205" i="1"/>
  <c r="L206" i="1"/>
  <c r="Q206" i="1"/>
  <c r="R206" i="1"/>
  <c r="U206" i="1"/>
  <c r="L207" i="1"/>
  <c r="Q207" i="1"/>
  <c r="R207" i="1"/>
  <c r="U207" i="1"/>
  <c r="L208" i="1"/>
  <c r="Q208" i="1"/>
  <c r="R208" i="1"/>
  <c r="U208" i="1"/>
  <c r="L209" i="1"/>
  <c r="Q209" i="1"/>
  <c r="R209" i="1"/>
  <c r="U209" i="1"/>
  <c r="L210" i="1"/>
  <c r="Q210" i="1"/>
  <c r="R210" i="1"/>
  <c r="U210" i="1"/>
  <c r="L211" i="1"/>
  <c r="Q211" i="1"/>
  <c r="R211" i="1"/>
  <c r="U211" i="1"/>
  <c r="L212" i="1"/>
  <c r="Q212" i="1"/>
  <c r="R212" i="1"/>
  <c r="U212" i="1"/>
  <c r="L213" i="1"/>
  <c r="Q213" i="1"/>
  <c r="R213" i="1"/>
  <c r="U213" i="1"/>
  <c r="L214" i="1"/>
  <c r="Q214" i="1"/>
  <c r="R214" i="1"/>
  <c r="U214" i="1"/>
  <c r="L215" i="1"/>
  <c r="Q215" i="1"/>
  <c r="R215" i="1"/>
  <c r="U215" i="1"/>
  <c r="L216" i="1"/>
  <c r="Q216" i="1"/>
  <c r="R216" i="1"/>
  <c r="U216" i="1"/>
  <c r="L217" i="1"/>
  <c r="Q217" i="1"/>
  <c r="R217" i="1"/>
  <c r="U217" i="1"/>
  <c r="L218" i="1"/>
  <c r="Q218" i="1"/>
  <c r="R218" i="1"/>
  <c r="U218" i="1"/>
  <c r="L219" i="1"/>
  <c r="Q219" i="1"/>
  <c r="R219" i="1"/>
  <c r="U219" i="1"/>
  <c r="L220" i="1"/>
  <c r="Q220" i="1"/>
  <c r="R220" i="1"/>
  <c r="U220" i="1"/>
  <c r="L221" i="1"/>
  <c r="Q221" i="1"/>
  <c r="R221" i="1"/>
  <c r="U221" i="1"/>
  <c r="L222" i="1"/>
  <c r="Q222" i="1"/>
  <c r="R222" i="1"/>
  <c r="U222" i="1"/>
  <c r="L223" i="1"/>
  <c r="Q223" i="1"/>
  <c r="R223" i="1"/>
  <c r="U223" i="1"/>
  <c r="L224" i="1"/>
  <c r="Q224" i="1"/>
  <c r="R224" i="1"/>
  <c r="U224" i="1"/>
  <c r="L225" i="1"/>
  <c r="Q225" i="1"/>
  <c r="R225" i="1"/>
  <c r="U225" i="1"/>
  <c r="L226" i="1"/>
  <c r="Q226" i="1"/>
  <c r="R226" i="1"/>
  <c r="U226" i="1"/>
  <c r="L227" i="1"/>
  <c r="Q227" i="1"/>
  <c r="R227" i="1"/>
  <c r="U227" i="1"/>
  <c r="L228" i="1"/>
  <c r="Q228" i="1"/>
  <c r="R228" i="1"/>
  <c r="U228" i="1"/>
  <c r="L229" i="1"/>
  <c r="Q229" i="1"/>
  <c r="R229" i="1"/>
  <c r="U229" i="1"/>
  <c r="L230" i="1"/>
  <c r="Q230" i="1"/>
  <c r="R230" i="1"/>
  <c r="U230" i="1"/>
  <c r="L231" i="1"/>
  <c r="Q231" i="1"/>
  <c r="R231" i="1"/>
  <c r="U231" i="1"/>
  <c r="L232" i="1"/>
  <c r="Q232" i="1"/>
  <c r="R232" i="1"/>
  <c r="U232" i="1"/>
  <c r="L233" i="1"/>
  <c r="Q233" i="1"/>
  <c r="R233" i="1"/>
  <c r="U233" i="1"/>
  <c r="L234" i="1"/>
  <c r="Q234" i="1"/>
  <c r="R234" i="1"/>
  <c r="U234" i="1"/>
  <c r="L235" i="1"/>
  <c r="Q235" i="1"/>
  <c r="R235" i="1"/>
  <c r="U235" i="1"/>
  <c r="L236" i="1"/>
  <c r="Q236" i="1"/>
  <c r="R236" i="1"/>
  <c r="U236" i="1"/>
  <c r="L237" i="1"/>
  <c r="Q237" i="1"/>
  <c r="R237" i="1"/>
  <c r="U237" i="1"/>
  <c r="L238" i="1"/>
  <c r="Q238" i="1"/>
  <c r="R238" i="1"/>
  <c r="U238" i="1"/>
  <c r="L239" i="1"/>
  <c r="Q239" i="1"/>
  <c r="R239" i="1"/>
  <c r="U239" i="1"/>
  <c r="L240" i="1"/>
  <c r="Q240" i="1"/>
  <c r="R240" i="1"/>
  <c r="U240" i="1"/>
  <c r="L241" i="1"/>
  <c r="Q241" i="1"/>
  <c r="R241" i="1"/>
  <c r="U241" i="1"/>
  <c r="L242" i="1"/>
  <c r="Q242" i="1"/>
  <c r="R242" i="1"/>
  <c r="U242" i="1"/>
  <c r="L243" i="1"/>
  <c r="Q243" i="1"/>
  <c r="R243" i="1"/>
  <c r="U243" i="1"/>
  <c r="L244" i="1"/>
  <c r="Q244" i="1"/>
  <c r="R244" i="1"/>
  <c r="U244" i="1"/>
  <c r="L245" i="1"/>
  <c r="Q245" i="1"/>
  <c r="R245" i="1"/>
  <c r="U245" i="1"/>
  <c r="L246" i="1"/>
  <c r="Q246" i="1"/>
  <c r="R246" i="1"/>
  <c r="U246" i="1"/>
  <c r="L247" i="1"/>
  <c r="Q247" i="1"/>
  <c r="R247" i="1"/>
  <c r="U247" i="1"/>
  <c r="L248" i="1"/>
  <c r="Q248" i="1"/>
  <c r="R248" i="1"/>
  <c r="U248" i="1"/>
  <c r="L249" i="1"/>
  <c r="Q249" i="1"/>
  <c r="R249" i="1"/>
  <c r="U249" i="1"/>
  <c r="L250" i="1"/>
  <c r="Q250" i="1"/>
  <c r="R250" i="1"/>
  <c r="U250" i="1"/>
  <c r="L251" i="1"/>
  <c r="Q251" i="1"/>
  <c r="R251" i="1"/>
  <c r="U251" i="1"/>
  <c r="L252" i="1"/>
  <c r="Q252" i="1"/>
  <c r="R252" i="1"/>
  <c r="U252" i="1"/>
  <c r="L253" i="1"/>
  <c r="Q253" i="1"/>
  <c r="R253" i="1"/>
  <c r="U253" i="1"/>
  <c r="L254" i="1"/>
  <c r="Q254" i="1"/>
  <c r="R254" i="1"/>
  <c r="U254" i="1"/>
  <c r="L255" i="1"/>
  <c r="Q255" i="1"/>
  <c r="R255" i="1"/>
  <c r="U255" i="1"/>
  <c r="L256" i="1"/>
  <c r="Q256" i="1"/>
  <c r="R256" i="1"/>
  <c r="U256" i="1"/>
  <c r="L257" i="1"/>
  <c r="Q257" i="1"/>
  <c r="R257" i="1"/>
  <c r="U257" i="1"/>
  <c r="L258" i="1"/>
  <c r="Q258" i="1"/>
  <c r="R258" i="1"/>
  <c r="U258" i="1"/>
  <c r="L259" i="1"/>
  <c r="Q259" i="1"/>
  <c r="R259" i="1"/>
  <c r="U259" i="1"/>
  <c r="L260" i="1"/>
  <c r="Q260" i="1"/>
  <c r="R260" i="1"/>
  <c r="U260" i="1"/>
  <c r="L261" i="1"/>
  <c r="Q261" i="1"/>
  <c r="R261" i="1"/>
  <c r="U261" i="1"/>
  <c r="L262" i="1"/>
  <c r="Q262" i="1"/>
  <c r="R262" i="1"/>
  <c r="U262" i="1"/>
  <c r="L263" i="1"/>
  <c r="Q263" i="1"/>
  <c r="R263" i="1"/>
  <c r="U263" i="1"/>
  <c r="L264" i="1"/>
  <c r="Q264" i="1"/>
  <c r="R264" i="1"/>
  <c r="U264" i="1"/>
  <c r="L265" i="1"/>
  <c r="Q265" i="1"/>
  <c r="R265" i="1"/>
  <c r="U265" i="1"/>
  <c r="L266" i="1"/>
  <c r="Q266" i="1"/>
  <c r="R266" i="1"/>
  <c r="U266" i="1"/>
  <c r="L267" i="1"/>
  <c r="Q267" i="1"/>
  <c r="R267" i="1"/>
  <c r="U267" i="1"/>
  <c r="L268" i="1"/>
  <c r="Q268" i="1"/>
  <c r="R268" i="1"/>
  <c r="U268" i="1"/>
  <c r="L269" i="1"/>
  <c r="Q269" i="1"/>
  <c r="R269" i="1"/>
  <c r="U269" i="1"/>
  <c r="L270" i="1"/>
  <c r="Q270" i="1"/>
  <c r="R270" i="1"/>
  <c r="U270" i="1"/>
  <c r="L271" i="1"/>
  <c r="Q271" i="1"/>
  <c r="R271" i="1"/>
  <c r="U271" i="1"/>
  <c r="L272" i="1"/>
  <c r="Q272" i="1"/>
  <c r="R272" i="1"/>
  <c r="U272" i="1"/>
  <c r="L273" i="1"/>
  <c r="Q273" i="1"/>
  <c r="R273" i="1"/>
  <c r="U273" i="1"/>
  <c r="L274" i="1"/>
  <c r="Q274" i="1"/>
  <c r="R274" i="1"/>
  <c r="U274" i="1"/>
  <c r="L275" i="1"/>
  <c r="Q275" i="1"/>
  <c r="R275" i="1"/>
  <c r="U275" i="1"/>
  <c r="L276" i="1"/>
  <c r="Q276" i="1"/>
  <c r="R276" i="1"/>
  <c r="U276" i="1"/>
  <c r="L277" i="1"/>
  <c r="Q277" i="1"/>
  <c r="R277" i="1"/>
  <c r="U277" i="1"/>
  <c r="L278" i="1"/>
  <c r="Q278" i="1"/>
  <c r="R278" i="1"/>
  <c r="U278" i="1"/>
  <c r="L279" i="1"/>
  <c r="Q279" i="1"/>
  <c r="R279" i="1"/>
  <c r="U279" i="1"/>
  <c r="L280" i="1"/>
  <c r="Q280" i="1"/>
  <c r="R280" i="1"/>
  <c r="U280" i="1"/>
  <c r="L281" i="1"/>
  <c r="Q281" i="1"/>
  <c r="R281" i="1"/>
  <c r="U281" i="1"/>
  <c r="L282" i="1"/>
  <c r="Q282" i="1"/>
  <c r="R282" i="1"/>
  <c r="U282" i="1"/>
  <c r="L283" i="1"/>
  <c r="Q283" i="1"/>
  <c r="R283" i="1"/>
  <c r="U283" i="1"/>
  <c r="L284" i="1"/>
  <c r="Q284" i="1"/>
  <c r="R284" i="1"/>
  <c r="U284" i="1"/>
  <c r="L285" i="1"/>
  <c r="Q285" i="1"/>
  <c r="R285" i="1"/>
  <c r="U285" i="1"/>
  <c r="L286" i="1"/>
  <c r="Q286" i="1"/>
  <c r="R286" i="1"/>
  <c r="U286" i="1"/>
  <c r="L287" i="1"/>
  <c r="Q287" i="1"/>
  <c r="R287" i="1"/>
  <c r="U287" i="1"/>
  <c r="L288" i="1"/>
  <c r="Q288" i="1"/>
  <c r="R288" i="1"/>
  <c r="U288" i="1"/>
  <c r="L289" i="1"/>
  <c r="Q289" i="1"/>
  <c r="R289" i="1"/>
  <c r="U289" i="1"/>
  <c r="L290" i="1"/>
  <c r="Q290" i="1"/>
  <c r="R290" i="1"/>
  <c r="U290" i="1"/>
  <c r="L291" i="1"/>
  <c r="Q291" i="1"/>
  <c r="R291" i="1"/>
  <c r="U291" i="1"/>
  <c r="L292" i="1"/>
  <c r="Q292" i="1"/>
  <c r="R292" i="1"/>
  <c r="U292" i="1"/>
  <c r="L293" i="1"/>
  <c r="Q293" i="1"/>
  <c r="R293" i="1"/>
  <c r="U293" i="1"/>
  <c r="L294" i="1"/>
  <c r="Q294" i="1"/>
  <c r="R294" i="1"/>
  <c r="U294" i="1"/>
  <c r="L295" i="1"/>
  <c r="Q295" i="1"/>
  <c r="R295" i="1"/>
  <c r="U295" i="1"/>
  <c r="L296" i="1"/>
  <c r="Q296" i="1"/>
  <c r="R296" i="1"/>
  <c r="U296" i="1"/>
  <c r="L297" i="1"/>
  <c r="Q297" i="1"/>
  <c r="R297" i="1"/>
  <c r="U297" i="1"/>
  <c r="L298" i="1"/>
  <c r="Q298" i="1"/>
  <c r="R298" i="1"/>
  <c r="U298" i="1"/>
  <c r="L299" i="1"/>
  <c r="Q299" i="1"/>
  <c r="R299" i="1"/>
  <c r="U299" i="1"/>
  <c r="L300" i="1"/>
  <c r="Q300" i="1"/>
  <c r="R300" i="1"/>
  <c r="U300" i="1"/>
  <c r="L301" i="1"/>
  <c r="Q301" i="1"/>
  <c r="R301" i="1"/>
  <c r="U301" i="1"/>
  <c r="L302" i="1"/>
  <c r="Q302" i="1"/>
  <c r="R302" i="1"/>
  <c r="U302" i="1"/>
  <c r="L303" i="1"/>
  <c r="Q303" i="1"/>
  <c r="R303" i="1"/>
  <c r="U303" i="1"/>
  <c r="L304" i="1"/>
  <c r="Q304" i="1"/>
  <c r="R304" i="1"/>
  <c r="U304" i="1"/>
  <c r="L305" i="1"/>
  <c r="Q305" i="1"/>
  <c r="R305" i="1"/>
  <c r="U305" i="1"/>
  <c r="L306" i="1"/>
  <c r="Q306" i="1"/>
  <c r="R306" i="1"/>
  <c r="U306" i="1"/>
  <c r="L307" i="1"/>
  <c r="Q307" i="1"/>
  <c r="R307" i="1"/>
  <c r="U307" i="1"/>
  <c r="L308" i="1"/>
  <c r="Q308" i="1"/>
  <c r="R308" i="1"/>
  <c r="U308" i="1"/>
  <c r="L309" i="1"/>
  <c r="Q309" i="1"/>
  <c r="R309" i="1"/>
  <c r="U309" i="1"/>
  <c r="L310" i="1"/>
  <c r="Q310" i="1"/>
  <c r="R310" i="1"/>
  <c r="U310" i="1"/>
  <c r="L311" i="1"/>
  <c r="Q311" i="1"/>
  <c r="R311" i="1"/>
  <c r="U311" i="1"/>
  <c r="L312" i="1"/>
  <c r="Q312" i="1"/>
  <c r="R312" i="1"/>
  <c r="U312" i="1"/>
  <c r="L313" i="1"/>
  <c r="Q313" i="1"/>
  <c r="R313" i="1"/>
  <c r="U313" i="1"/>
  <c r="L314" i="1"/>
  <c r="Q314" i="1"/>
  <c r="R314" i="1"/>
  <c r="U314" i="1"/>
  <c r="L315" i="1"/>
  <c r="Q315" i="1"/>
  <c r="R315" i="1"/>
  <c r="U315" i="1"/>
  <c r="L316" i="1"/>
  <c r="Q316" i="1"/>
  <c r="R316" i="1"/>
  <c r="U316" i="1"/>
  <c r="L317" i="1"/>
  <c r="Q317" i="1"/>
  <c r="R317" i="1"/>
  <c r="U317" i="1"/>
  <c r="L318" i="1"/>
  <c r="Q318" i="1"/>
  <c r="R318" i="1"/>
  <c r="U318" i="1"/>
  <c r="L319" i="1"/>
  <c r="Q319" i="1"/>
  <c r="R319" i="1"/>
  <c r="U319" i="1"/>
  <c r="L320" i="1"/>
  <c r="Q320" i="1"/>
  <c r="R320" i="1"/>
  <c r="U320" i="1"/>
  <c r="L321" i="1"/>
  <c r="Q321" i="1"/>
  <c r="R321" i="1"/>
  <c r="U321" i="1"/>
  <c r="L322" i="1"/>
  <c r="Q322" i="1"/>
  <c r="R322" i="1"/>
  <c r="U322" i="1"/>
  <c r="L323" i="1"/>
  <c r="Q323" i="1"/>
  <c r="R323" i="1"/>
  <c r="U323" i="1"/>
  <c r="L324" i="1"/>
  <c r="Q324" i="1"/>
  <c r="R324" i="1"/>
  <c r="U324" i="1"/>
  <c r="L325" i="1"/>
  <c r="Q325" i="1"/>
  <c r="R325" i="1"/>
  <c r="U325" i="1"/>
  <c r="L326" i="1"/>
  <c r="Q326" i="1"/>
  <c r="R326" i="1"/>
  <c r="U326" i="1"/>
  <c r="L327" i="1"/>
  <c r="Q327" i="1"/>
  <c r="R327" i="1"/>
  <c r="U327" i="1"/>
  <c r="L328" i="1"/>
  <c r="Q328" i="1"/>
  <c r="R328" i="1"/>
  <c r="U328" i="1"/>
  <c r="L329" i="1"/>
  <c r="Q329" i="1"/>
  <c r="R329" i="1"/>
  <c r="U329" i="1"/>
  <c r="L330" i="1"/>
  <c r="Q330" i="1"/>
  <c r="R330" i="1"/>
  <c r="U330" i="1"/>
  <c r="L331" i="1"/>
  <c r="Q331" i="1"/>
  <c r="R331" i="1"/>
  <c r="U331" i="1"/>
  <c r="L332" i="1"/>
  <c r="Q332" i="1"/>
  <c r="R332" i="1"/>
  <c r="U332" i="1"/>
  <c r="L333" i="1"/>
  <c r="Q333" i="1"/>
  <c r="R333" i="1"/>
  <c r="U333" i="1"/>
  <c r="L334" i="1"/>
  <c r="Q334" i="1"/>
  <c r="R334" i="1"/>
  <c r="U334" i="1"/>
  <c r="L335" i="1"/>
  <c r="Q335" i="1"/>
  <c r="R335" i="1"/>
  <c r="U335" i="1"/>
  <c r="L336" i="1"/>
  <c r="Q336" i="1"/>
  <c r="R336" i="1"/>
  <c r="U336" i="1"/>
  <c r="L337" i="1"/>
  <c r="Q337" i="1"/>
  <c r="R337" i="1"/>
  <c r="U337" i="1"/>
  <c r="L338" i="1"/>
  <c r="Q338" i="1"/>
  <c r="R338" i="1"/>
  <c r="U338" i="1"/>
  <c r="L339" i="1"/>
  <c r="Q339" i="1"/>
  <c r="R339" i="1"/>
  <c r="U339" i="1"/>
  <c r="L340" i="1"/>
  <c r="Q340" i="1"/>
  <c r="R340" i="1"/>
  <c r="U340" i="1"/>
  <c r="L341" i="1"/>
  <c r="Q341" i="1"/>
  <c r="R341" i="1"/>
  <c r="U341" i="1"/>
  <c r="L342" i="1"/>
  <c r="Q342" i="1"/>
  <c r="R342" i="1"/>
  <c r="U342" i="1"/>
  <c r="L343" i="1"/>
  <c r="Q343" i="1"/>
  <c r="R343" i="1"/>
  <c r="U343" i="1"/>
  <c r="L344" i="1"/>
  <c r="Q344" i="1"/>
  <c r="R344" i="1"/>
  <c r="U344" i="1"/>
  <c r="L345" i="1"/>
  <c r="Q345" i="1"/>
  <c r="R345" i="1"/>
  <c r="U345" i="1"/>
  <c r="L346" i="1"/>
  <c r="Q346" i="1"/>
  <c r="R346" i="1"/>
  <c r="U346" i="1"/>
  <c r="L347" i="1"/>
  <c r="Q347" i="1"/>
  <c r="R347" i="1"/>
  <c r="U347" i="1"/>
  <c r="L348" i="1"/>
  <c r="Q348" i="1"/>
  <c r="R348" i="1"/>
  <c r="U348" i="1"/>
  <c r="L349" i="1"/>
  <c r="Q349" i="1"/>
  <c r="R349" i="1"/>
  <c r="U349" i="1"/>
  <c r="L350" i="1"/>
  <c r="Q350" i="1"/>
  <c r="R350" i="1"/>
  <c r="U350" i="1"/>
  <c r="L351" i="1"/>
  <c r="Q351" i="1"/>
  <c r="R351" i="1"/>
  <c r="U351" i="1"/>
  <c r="L352" i="1"/>
  <c r="Q352" i="1"/>
  <c r="R352" i="1"/>
  <c r="U352" i="1"/>
  <c r="L353" i="1"/>
  <c r="Q353" i="1"/>
  <c r="R353" i="1"/>
  <c r="U353" i="1"/>
  <c r="L354" i="1"/>
  <c r="Q354" i="1"/>
  <c r="R354" i="1"/>
  <c r="U354" i="1"/>
  <c r="L355" i="1"/>
  <c r="Q355" i="1"/>
  <c r="R355" i="1"/>
  <c r="U355" i="1"/>
  <c r="L356" i="1"/>
  <c r="Q356" i="1"/>
  <c r="R356" i="1"/>
  <c r="U356" i="1"/>
  <c r="L357" i="1"/>
  <c r="Q357" i="1"/>
  <c r="R357" i="1"/>
  <c r="U357" i="1"/>
  <c r="L358" i="1"/>
  <c r="Q358" i="1"/>
  <c r="R358" i="1"/>
  <c r="U358" i="1"/>
  <c r="L359" i="1"/>
  <c r="Q359" i="1"/>
  <c r="R359" i="1"/>
  <c r="U359" i="1"/>
  <c r="L360" i="1"/>
  <c r="Q360" i="1"/>
  <c r="R360" i="1"/>
  <c r="U360" i="1"/>
  <c r="L361" i="1"/>
  <c r="Q361" i="1"/>
  <c r="R361" i="1"/>
  <c r="U361" i="1"/>
  <c r="L362" i="1"/>
  <c r="Q362" i="1"/>
  <c r="R362" i="1"/>
  <c r="U362" i="1"/>
  <c r="L363" i="1"/>
  <c r="Q363" i="1"/>
  <c r="R363" i="1"/>
  <c r="U363" i="1"/>
  <c r="L364" i="1"/>
  <c r="Q364" i="1"/>
  <c r="R364" i="1"/>
  <c r="U364" i="1"/>
  <c r="L365" i="1"/>
  <c r="Q365" i="1"/>
  <c r="R365" i="1"/>
  <c r="U365" i="1"/>
  <c r="L366" i="1"/>
  <c r="Q366" i="1"/>
  <c r="R366" i="1"/>
  <c r="U366" i="1"/>
  <c r="L367" i="1"/>
  <c r="Q367" i="1"/>
  <c r="R367" i="1"/>
  <c r="U367" i="1"/>
  <c r="L368" i="1"/>
  <c r="Q368" i="1"/>
  <c r="R368" i="1"/>
  <c r="U368" i="1"/>
  <c r="L369" i="1"/>
  <c r="Q369" i="1"/>
  <c r="R369" i="1"/>
  <c r="U369" i="1"/>
  <c r="L370" i="1"/>
  <c r="Q370" i="1"/>
  <c r="R370" i="1"/>
  <c r="U370" i="1"/>
  <c r="L371" i="1"/>
  <c r="Q371" i="1"/>
  <c r="R371" i="1"/>
  <c r="U371" i="1"/>
  <c r="L372" i="1"/>
  <c r="Q372" i="1"/>
  <c r="R372" i="1"/>
  <c r="U372" i="1"/>
  <c r="L373" i="1"/>
  <c r="Q373" i="1"/>
  <c r="R373" i="1"/>
  <c r="U373" i="1"/>
  <c r="L374" i="1"/>
  <c r="Q374" i="1"/>
  <c r="R374" i="1"/>
  <c r="U374" i="1"/>
  <c r="L375" i="1"/>
  <c r="Q375" i="1"/>
  <c r="R375" i="1"/>
  <c r="U375" i="1"/>
  <c r="L376" i="1"/>
  <c r="Q376" i="1"/>
  <c r="R376" i="1"/>
  <c r="U376" i="1"/>
  <c r="L377" i="1"/>
  <c r="Q377" i="1"/>
  <c r="R377" i="1"/>
  <c r="U377" i="1"/>
  <c r="L378" i="1"/>
  <c r="Q378" i="1"/>
  <c r="R378" i="1"/>
  <c r="U378" i="1"/>
  <c r="L379" i="1"/>
  <c r="Q379" i="1"/>
  <c r="R379" i="1"/>
  <c r="U379" i="1"/>
  <c r="L380" i="1"/>
  <c r="Q380" i="1"/>
  <c r="R380" i="1"/>
  <c r="U380" i="1"/>
  <c r="L381" i="1"/>
  <c r="Q381" i="1"/>
  <c r="R381" i="1"/>
  <c r="U381" i="1"/>
  <c r="L382" i="1"/>
  <c r="Q382" i="1"/>
  <c r="R382" i="1"/>
  <c r="U382" i="1"/>
  <c r="L383" i="1"/>
  <c r="Q383" i="1"/>
  <c r="R383" i="1"/>
  <c r="U383" i="1"/>
  <c r="L384" i="1"/>
  <c r="Q384" i="1"/>
  <c r="R384" i="1"/>
  <c r="U384" i="1"/>
  <c r="L385" i="1"/>
  <c r="Q385" i="1"/>
  <c r="R385" i="1"/>
  <c r="U385" i="1"/>
  <c r="L386" i="1"/>
  <c r="Q386" i="1"/>
  <c r="R386" i="1"/>
  <c r="U386" i="1"/>
  <c r="L387" i="1"/>
  <c r="Q387" i="1"/>
  <c r="R387" i="1"/>
  <c r="U387" i="1"/>
  <c r="L388" i="1"/>
  <c r="Q388" i="1"/>
  <c r="R388" i="1"/>
  <c r="U388" i="1"/>
  <c r="L389" i="1"/>
  <c r="Q389" i="1"/>
  <c r="R389" i="1"/>
  <c r="U389" i="1"/>
  <c r="L390" i="1"/>
  <c r="Q390" i="1"/>
  <c r="R390" i="1"/>
  <c r="U390" i="1"/>
  <c r="L391" i="1"/>
  <c r="Q391" i="1"/>
  <c r="R391" i="1"/>
  <c r="U391" i="1"/>
  <c r="L392" i="1"/>
  <c r="Q392" i="1"/>
  <c r="R392" i="1"/>
  <c r="U392" i="1"/>
  <c r="L393" i="1"/>
  <c r="Q393" i="1"/>
  <c r="R393" i="1"/>
  <c r="U393" i="1"/>
  <c r="L394" i="1"/>
  <c r="Q394" i="1"/>
  <c r="R394" i="1"/>
  <c r="U394" i="1"/>
  <c r="L395" i="1"/>
  <c r="Q395" i="1"/>
  <c r="R395" i="1"/>
  <c r="U395" i="1"/>
  <c r="L396" i="1"/>
  <c r="Q396" i="1"/>
  <c r="R396" i="1"/>
  <c r="U396" i="1"/>
  <c r="L397" i="1"/>
  <c r="Q397" i="1"/>
  <c r="R397" i="1"/>
  <c r="U397" i="1"/>
  <c r="L398" i="1"/>
  <c r="Q398" i="1"/>
  <c r="R398" i="1"/>
  <c r="U398" i="1"/>
  <c r="L399" i="1"/>
  <c r="Q399" i="1"/>
  <c r="R399" i="1"/>
  <c r="U399" i="1"/>
  <c r="L400" i="1"/>
  <c r="Q400" i="1"/>
  <c r="R400" i="1"/>
  <c r="U400" i="1"/>
  <c r="L401" i="1"/>
  <c r="Q401" i="1"/>
  <c r="R401" i="1"/>
  <c r="U401" i="1"/>
  <c r="L402" i="1"/>
  <c r="Q402" i="1"/>
  <c r="R402" i="1"/>
  <c r="U402" i="1"/>
  <c r="L403" i="1"/>
  <c r="Q403" i="1"/>
  <c r="R403" i="1"/>
  <c r="U403" i="1"/>
  <c r="L404" i="1"/>
  <c r="Q404" i="1"/>
  <c r="R404" i="1"/>
  <c r="U404" i="1"/>
  <c r="L405" i="1"/>
  <c r="Q405" i="1"/>
  <c r="R405" i="1"/>
  <c r="U405" i="1"/>
  <c r="L406" i="1"/>
  <c r="Q406" i="1"/>
  <c r="R406" i="1"/>
  <c r="U406" i="1"/>
  <c r="L407" i="1"/>
  <c r="Q407" i="1"/>
  <c r="R407" i="1"/>
  <c r="U407" i="1"/>
  <c r="L408" i="1"/>
  <c r="Q408" i="1"/>
  <c r="R408" i="1"/>
  <c r="U408" i="1"/>
  <c r="L409" i="1"/>
  <c r="Q409" i="1"/>
  <c r="R409" i="1"/>
  <c r="U409" i="1"/>
  <c r="L410" i="1"/>
  <c r="Q410" i="1"/>
  <c r="R410" i="1"/>
  <c r="U410" i="1"/>
  <c r="L411" i="1"/>
  <c r="Q411" i="1"/>
  <c r="R411" i="1"/>
  <c r="U411" i="1"/>
  <c r="L412" i="1"/>
  <c r="Q412" i="1"/>
  <c r="R412" i="1"/>
  <c r="U412" i="1"/>
  <c r="L413" i="1"/>
  <c r="Q413" i="1"/>
  <c r="R413" i="1"/>
  <c r="U413" i="1"/>
  <c r="L414" i="1"/>
  <c r="Q414" i="1"/>
  <c r="R414" i="1"/>
  <c r="U414" i="1"/>
  <c r="L415" i="1"/>
  <c r="Q415" i="1"/>
  <c r="R415" i="1"/>
  <c r="U415" i="1"/>
  <c r="L416" i="1"/>
  <c r="Q416" i="1"/>
  <c r="R416" i="1"/>
  <c r="U416" i="1"/>
  <c r="L417" i="1"/>
  <c r="Q417" i="1"/>
  <c r="R417" i="1"/>
  <c r="U417" i="1"/>
  <c r="L418" i="1"/>
  <c r="Q418" i="1"/>
  <c r="R418" i="1"/>
  <c r="U418" i="1"/>
  <c r="L419" i="1"/>
  <c r="Q419" i="1"/>
  <c r="R419" i="1"/>
  <c r="U419" i="1"/>
  <c r="L420" i="1"/>
  <c r="Q420" i="1"/>
  <c r="R420" i="1"/>
  <c r="U420" i="1"/>
  <c r="L421" i="1"/>
  <c r="Q421" i="1"/>
  <c r="R421" i="1"/>
  <c r="U421" i="1"/>
  <c r="L422" i="1"/>
  <c r="Q422" i="1"/>
  <c r="R422" i="1"/>
  <c r="U422" i="1"/>
  <c r="L423" i="1"/>
  <c r="Q423" i="1"/>
  <c r="R423" i="1"/>
  <c r="U423" i="1"/>
  <c r="L424" i="1"/>
  <c r="Q424" i="1"/>
  <c r="R424" i="1"/>
  <c r="U424" i="1"/>
  <c r="L425" i="1"/>
  <c r="Q425" i="1"/>
  <c r="R425" i="1"/>
  <c r="U425" i="1"/>
  <c r="L426" i="1"/>
  <c r="Q426" i="1"/>
  <c r="R426" i="1"/>
  <c r="U426" i="1"/>
  <c r="L427" i="1"/>
  <c r="Q427" i="1"/>
  <c r="R427" i="1"/>
  <c r="U427" i="1"/>
  <c r="L428" i="1"/>
  <c r="Q428" i="1"/>
  <c r="R428" i="1"/>
  <c r="U428" i="1"/>
  <c r="L429" i="1"/>
  <c r="Q429" i="1"/>
  <c r="R429" i="1"/>
  <c r="U429" i="1"/>
  <c r="L430" i="1"/>
  <c r="Q430" i="1"/>
  <c r="R430" i="1"/>
  <c r="U430" i="1"/>
  <c r="L431" i="1"/>
  <c r="Q431" i="1"/>
  <c r="R431" i="1"/>
  <c r="U431" i="1"/>
  <c r="L432" i="1"/>
  <c r="Q432" i="1"/>
  <c r="R432" i="1"/>
  <c r="U432" i="1"/>
  <c r="L433" i="1"/>
  <c r="Q433" i="1"/>
  <c r="R433" i="1"/>
  <c r="U433" i="1"/>
  <c r="L434" i="1"/>
  <c r="Q434" i="1"/>
  <c r="R434" i="1"/>
  <c r="U434" i="1"/>
  <c r="L435" i="1"/>
  <c r="Q435" i="1"/>
  <c r="R435" i="1"/>
  <c r="U435" i="1"/>
  <c r="L436" i="1"/>
  <c r="Q436" i="1"/>
  <c r="R436" i="1"/>
  <c r="U436" i="1"/>
  <c r="L437" i="1"/>
  <c r="Q437" i="1"/>
  <c r="R437" i="1"/>
  <c r="U437" i="1"/>
  <c r="L438" i="1"/>
  <c r="Q438" i="1"/>
  <c r="R438" i="1"/>
  <c r="U438" i="1"/>
  <c r="L439" i="1"/>
  <c r="Q439" i="1"/>
  <c r="R439" i="1"/>
  <c r="U439" i="1"/>
  <c r="L440" i="1"/>
  <c r="Q440" i="1"/>
  <c r="R440" i="1"/>
  <c r="U440" i="1"/>
  <c r="L441" i="1"/>
  <c r="Q441" i="1"/>
  <c r="R441" i="1"/>
  <c r="U441" i="1"/>
  <c r="L442" i="1"/>
  <c r="Q442" i="1"/>
  <c r="R442" i="1"/>
  <c r="U442" i="1"/>
  <c r="L443" i="1"/>
  <c r="Q443" i="1"/>
  <c r="R443" i="1"/>
  <c r="U443" i="1"/>
  <c r="L444" i="1"/>
  <c r="Q444" i="1"/>
  <c r="R444" i="1"/>
  <c r="U444" i="1"/>
  <c r="L445" i="1"/>
  <c r="Q445" i="1"/>
  <c r="R445" i="1"/>
  <c r="U445" i="1"/>
  <c r="L446" i="1"/>
  <c r="Q446" i="1"/>
  <c r="R446" i="1"/>
  <c r="U446" i="1"/>
  <c r="L447" i="1"/>
  <c r="Q447" i="1"/>
  <c r="R447" i="1"/>
  <c r="U447" i="1"/>
  <c r="L448" i="1"/>
  <c r="Q448" i="1"/>
  <c r="R448" i="1"/>
  <c r="U448" i="1"/>
  <c r="L449" i="1"/>
  <c r="Q449" i="1"/>
  <c r="R449" i="1"/>
  <c r="U449" i="1"/>
  <c r="L450" i="1"/>
  <c r="Q450" i="1"/>
  <c r="R450" i="1"/>
  <c r="U450" i="1"/>
  <c r="L451" i="1"/>
  <c r="Q451" i="1"/>
  <c r="R451" i="1"/>
  <c r="U451" i="1"/>
  <c r="L452" i="1"/>
  <c r="Q452" i="1"/>
  <c r="R452" i="1"/>
  <c r="U452" i="1"/>
  <c r="L453" i="1"/>
  <c r="Q453" i="1"/>
  <c r="R453" i="1"/>
  <c r="U453" i="1"/>
  <c r="L454" i="1"/>
  <c r="Q454" i="1"/>
  <c r="R454" i="1"/>
  <c r="U454" i="1"/>
  <c r="L455" i="1"/>
  <c r="Q455" i="1"/>
  <c r="R455" i="1"/>
  <c r="U455" i="1"/>
  <c r="L456" i="1"/>
  <c r="Q456" i="1"/>
  <c r="R456" i="1"/>
  <c r="U456" i="1"/>
  <c r="L457" i="1"/>
  <c r="Q457" i="1"/>
  <c r="R457" i="1"/>
  <c r="U457" i="1"/>
  <c r="L458" i="1"/>
  <c r="Q458" i="1"/>
  <c r="R458" i="1"/>
  <c r="U458" i="1"/>
  <c r="L459" i="1"/>
  <c r="Q459" i="1"/>
  <c r="R459" i="1"/>
  <c r="U459" i="1"/>
  <c r="L460" i="1"/>
  <c r="Q460" i="1"/>
  <c r="R460" i="1"/>
  <c r="U460" i="1"/>
  <c r="L461" i="1"/>
  <c r="Q461" i="1"/>
  <c r="R461" i="1"/>
  <c r="U461" i="1"/>
  <c r="L462" i="1"/>
  <c r="Q462" i="1"/>
  <c r="R462" i="1"/>
  <c r="U462" i="1"/>
  <c r="L463" i="1"/>
  <c r="Q463" i="1"/>
  <c r="R463" i="1"/>
  <c r="U463" i="1"/>
  <c r="L464" i="1"/>
  <c r="Q464" i="1"/>
  <c r="R464" i="1"/>
  <c r="U464" i="1"/>
  <c r="L465" i="1"/>
  <c r="Q465" i="1"/>
  <c r="R465" i="1"/>
  <c r="U465" i="1"/>
  <c r="L466" i="1"/>
  <c r="Q466" i="1"/>
  <c r="R466" i="1"/>
  <c r="U466" i="1"/>
  <c r="L467" i="1"/>
  <c r="Q467" i="1"/>
  <c r="R467" i="1"/>
  <c r="U467" i="1"/>
  <c r="L468" i="1"/>
  <c r="Q468" i="1"/>
  <c r="R468" i="1"/>
  <c r="U468" i="1"/>
  <c r="L469" i="1"/>
  <c r="Q469" i="1"/>
  <c r="R469" i="1"/>
  <c r="U469" i="1"/>
  <c r="L470" i="1"/>
  <c r="Q470" i="1"/>
  <c r="R470" i="1"/>
  <c r="U470" i="1"/>
  <c r="L471" i="1"/>
  <c r="Q471" i="1"/>
  <c r="R471" i="1"/>
  <c r="U471" i="1"/>
  <c r="L472" i="1"/>
  <c r="Q472" i="1"/>
  <c r="R472" i="1"/>
  <c r="U472" i="1"/>
  <c r="L473" i="1"/>
  <c r="Q473" i="1"/>
  <c r="R473" i="1"/>
  <c r="U473" i="1"/>
  <c r="L474" i="1"/>
  <c r="Q474" i="1"/>
  <c r="R474" i="1"/>
  <c r="U474" i="1"/>
  <c r="L475" i="1"/>
  <c r="Q475" i="1"/>
  <c r="R475" i="1"/>
  <c r="U475" i="1"/>
  <c r="L476" i="1"/>
  <c r="Q476" i="1"/>
  <c r="R476" i="1"/>
  <c r="U476" i="1"/>
  <c r="L477" i="1"/>
  <c r="Q477" i="1"/>
  <c r="R477" i="1"/>
  <c r="U477" i="1"/>
  <c r="L478" i="1"/>
  <c r="Q478" i="1"/>
  <c r="R478" i="1"/>
  <c r="U478" i="1"/>
  <c r="L479" i="1"/>
  <c r="Q479" i="1"/>
  <c r="R479" i="1"/>
  <c r="U479" i="1"/>
  <c r="L480" i="1"/>
  <c r="Q480" i="1"/>
  <c r="R480" i="1"/>
  <c r="U480" i="1"/>
  <c r="L481" i="1"/>
  <c r="Q481" i="1"/>
  <c r="R481" i="1"/>
  <c r="U481" i="1"/>
  <c r="L482" i="1"/>
  <c r="Q482" i="1"/>
  <c r="R482" i="1"/>
  <c r="U482" i="1"/>
  <c r="L483" i="1"/>
  <c r="Q483" i="1"/>
  <c r="R483" i="1"/>
  <c r="U483" i="1"/>
  <c r="L484" i="1"/>
  <c r="Q484" i="1"/>
  <c r="R484" i="1"/>
  <c r="U484" i="1"/>
  <c r="L485" i="1"/>
  <c r="Q485" i="1"/>
  <c r="R485" i="1"/>
  <c r="U485" i="1"/>
  <c r="L486" i="1"/>
  <c r="Q486" i="1"/>
  <c r="R486" i="1"/>
  <c r="U486" i="1"/>
  <c r="L487" i="1"/>
  <c r="Q487" i="1"/>
  <c r="R487" i="1"/>
  <c r="U487" i="1"/>
  <c r="L488" i="1"/>
  <c r="Q488" i="1"/>
  <c r="R488" i="1"/>
  <c r="U488" i="1"/>
  <c r="L489" i="1"/>
  <c r="Q489" i="1"/>
  <c r="R489" i="1"/>
  <c r="U489" i="1"/>
  <c r="L490" i="1"/>
  <c r="Q490" i="1"/>
  <c r="R490" i="1"/>
  <c r="U490" i="1"/>
  <c r="L491" i="1"/>
  <c r="Q491" i="1"/>
  <c r="R491" i="1"/>
  <c r="U491" i="1"/>
  <c r="L492" i="1"/>
  <c r="Q492" i="1"/>
  <c r="R492" i="1"/>
  <c r="U492" i="1"/>
  <c r="L493" i="1"/>
  <c r="Q493" i="1"/>
  <c r="R493" i="1"/>
  <c r="U493" i="1"/>
  <c r="L494" i="1"/>
  <c r="Q494" i="1"/>
  <c r="R494" i="1"/>
  <c r="U494" i="1"/>
  <c r="L495" i="1"/>
  <c r="Q495" i="1"/>
  <c r="R495" i="1"/>
  <c r="U495" i="1"/>
  <c r="L496" i="1"/>
  <c r="Q496" i="1"/>
  <c r="R496" i="1"/>
  <c r="U496" i="1"/>
  <c r="L497" i="1"/>
  <c r="Q497" i="1"/>
  <c r="R497" i="1"/>
  <c r="U497" i="1"/>
  <c r="L498" i="1"/>
  <c r="Q498" i="1"/>
  <c r="R498" i="1"/>
  <c r="U498" i="1"/>
  <c r="L499" i="1"/>
  <c r="Q499" i="1"/>
  <c r="R499" i="1"/>
  <c r="U499" i="1"/>
  <c r="L500" i="1"/>
  <c r="Q500" i="1"/>
  <c r="R500" i="1"/>
  <c r="U500" i="1"/>
  <c r="L501" i="1"/>
  <c r="Q501" i="1"/>
  <c r="R501" i="1"/>
  <c r="U501" i="1"/>
  <c r="L502" i="1"/>
  <c r="Q502" i="1"/>
  <c r="R502" i="1"/>
  <c r="U502" i="1"/>
  <c r="L503" i="1"/>
  <c r="Q503" i="1"/>
  <c r="R503" i="1"/>
  <c r="U503" i="1"/>
  <c r="L504" i="1"/>
  <c r="Q504" i="1"/>
  <c r="R504" i="1"/>
  <c r="U504" i="1"/>
  <c r="L505" i="1"/>
  <c r="Q505" i="1"/>
  <c r="R505" i="1"/>
  <c r="U505" i="1"/>
  <c r="L506" i="1"/>
  <c r="Q506" i="1"/>
  <c r="R506" i="1"/>
  <c r="U506" i="1"/>
  <c r="L507" i="1"/>
  <c r="Q507" i="1"/>
  <c r="R507" i="1"/>
  <c r="U507" i="1"/>
  <c r="L508" i="1"/>
  <c r="Q508" i="1"/>
  <c r="R508" i="1"/>
  <c r="U508" i="1"/>
  <c r="L509" i="1"/>
  <c r="Q509" i="1"/>
  <c r="R509" i="1"/>
  <c r="U509" i="1"/>
  <c r="L510" i="1"/>
  <c r="Q510" i="1"/>
  <c r="R510" i="1"/>
  <c r="U510" i="1"/>
  <c r="L511" i="1"/>
  <c r="Q511" i="1"/>
  <c r="R511" i="1"/>
  <c r="U511" i="1"/>
  <c r="L512" i="1"/>
  <c r="Q512" i="1"/>
  <c r="R512" i="1"/>
  <c r="U512" i="1"/>
  <c r="L513" i="1"/>
  <c r="Q513" i="1"/>
  <c r="R513" i="1"/>
  <c r="U513" i="1"/>
  <c r="L514" i="1"/>
  <c r="Q514" i="1"/>
  <c r="R514" i="1"/>
  <c r="U514" i="1"/>
  <c r="L515" i="1"/>
  <c r="Q515" i="1"/>
  <c r="R515" i="1"/>
  <c r="U515" i="1"/>
  <c r="L516" i="1"/>
  <c r="Q516" i="1"/>
  <c r="R516" i="1"/>
  <c r="U516" i="1"/>
  <c r="L517" i="1"/>
  <c r="Q517" i="1"/>
  <c r="R517" i="1"/>
  <c r="U517" i="1"/>
  <c r="L518" i="1"/>
  <c r="Q518" i="1"/>
  <c r="R518" i="1"/>
  <c r="U518" i="1"/>
  <c r="L519" i="1"/>
  <c r="Q519" i="1"/>
  <c r="R519" i="1"/>
  <c r="U519" i="1"/>
  <c r="L520" i="1"/>
  <c r="Q520" i="1"/>
  <c r="R520" i="1"/>
  <c r="U520" i="1"/>
  <c r="L521" i="1"/>
  <c r="Q521" i="1"/>
  <c r="R521" i="1"/>
  <c r="U521" i="1"/>
  <c r="L522" i="1"/>
  <c r="Q522" i="1"/>
  <c r="R522" i="1"/>
  <c r="U522" i="1"/>
  <c r="L523" i="1"/>
  <c r="Q523" i="1"/>
  <c r="R523" i="1"/>
  <c r="U523" i="1"/>
  <c r="L524" i="1"/>
  <c r="Q524" i="1"/>
  <c r="R524" i="1"/>
  <c r="U524" i="1"/>
  <c r="L525" i="1"/>
  <c r="Q525" i="1"/>
  <c r="R525" i="1"/>
  <c r="U525" i="1"/>
  <c r="L526" i="1"/>
  <c r="Q526" i="1"/>
  <c r="R526" i="1"/>
  <c r="U526" i="1"/>
  <c r="L527" i="1"/>
  <c r="Q527" i="1"/>
  <c r="R527" i="1"/>
  <c r="U527" i="1"/>
  <c r="L528" i="1"/>
  <c r="Q528" i="1"/>
  <c r="R528" i="1"/>
  <c r="U528" i="1"/>
  <c r="L529" i="1"/>
  <c r="Q529" i="1"/>
  <c r="R529" i="1"/>
  <c r="U529" i="1"/>
  <c r="L530" i="1"/>
  <c r="Q530" i="1"/>
  <c r="R530" i="1"/>
  <c r="U530" i="1"/>
  <c r="L531" i="1"/>
  <c r="Q531" i="1"/>
  <c r="R531" i="1"/>
  <c r="U531" i="1"/>
  <c r="L532" i="1"/>
  <c r="Q532" i="1"/>
  <c r="R532" i="1"/>
  <c r="U532" i="1"/>
  <c r="L533" i="1"/>
  <c r="Q533" i="1"/>
  <c r="R533" i="1"/>
  <c r="U533" i="1"/>
  <c r="L534" i="1"/>
  <c r="Q534" i="1"/>
  <c r="R534" i="1"/>
  <c r="U534" i="1"/>
  <c r="L535" i="1"/>
  <c r="Q535" i="1"/>
  <c r="R535" i="1"/>
  <c r="U535" i="1"/>
  <c r="L536" i="1"/>
  <c r="Q536" i="1"/>
  <c r="R536" i="1"/>
  <c r="U536" i="1"/>
  <c r="L537" i="1"/>
  <c r="Q537" i="1"/>
  <c r="R537" i="1"/>
  <c r="U537" i="1"/>
  <c r="L538" i="1"/>
  <c r="Q538" i="1"/>
  <c r="R538" i="1"/>
  <c r="U538" i="1"/>
  <c r="L539" i="1"/>
  <c r="Q539" i="1"/>
  <c r="R539" i="1"/>
  <c r="U539" i="1"/>
  <c r="L540" i="1"/>
  <c r="Q540" i="1"/>
  <c r="R540" i="1"/>
  <c r="U540" i="1"/>
  <c r="L541" i="1"/>
  <c r="Q541" i="1"/>
  <c r="R541" i="1"/>
  <c r="U541" i="1"/>
  <c r="L542" i="1"/>
  <c r="Q542" i="1"/>
  <c r="R542" i="1"/>
  <c r="U542" i="1"/>
  <c r="L543" i="1"/>
  <c r="Q543" i="1"/>
  <c r="R543" i="1"/>
  <c r="U543" i="1"/>
  <c r="L544" i="1"/>
  <c r="Q544" i="1"/>
  <c r="R544" i="1"/>
  <c r="U544" i="1"/>
  <c r="L545" i="1"/>
  <c r="Q545" i="1"/>
  <c r="R545" i="1"/>
  <c r="U545" i="1"/>
  <c r="L546" i="1"/>
  <c r="Q546" i="1"/>
  <c r="R546" i="1"/>
  <c r="U546" i="1"/>
  <c r="L547" i="1"/>
  <c r="Q547" i="1"/>
  <c r="R547" i="1"/>
  <c r="U547" i="1"/>
  <c r="L548" i="1"/>
  <c r="Q548" i="1"/>
  <c r="R548" i="1"/>
  <c r="U548" i="1"/>
  <c r="L549" i="1"/>
  <c r="Q549" i="1"/>
  <c r="R549" i="1"/>
  <c r="U549" i="1"/>
  <c r="L550" i="1"/>
  <c r="Q550" i="1"/>
  <c r="R550" i="1"/>
  <c r="U550" i="1"/>
  <c r="L551" i="1"/>
  <c r="Q551" i="1"/>
  <c r="R551" i="1"/>
  <c r="U551" i="1"/>
  <c r="L552" i="1"/>
  <c r="Q552" i="1"/>
  <c r="R552" i="1"/>
  <c r="U552" i="1"/>
  <c r="L553" i="1"/>
  <c r="Q553" i="1"/>
  <c r="R553" i="1"/>
  <c r="U553" i="1"/>
  <c r="L554" i="1"/>
  <c r="Q554" i="1"/>
  <c r="R554" i="1"/>
  <c r="U554" i="1"/>
  <c r="L555" i="1"/>
  <c r="Q555" i="1"/>
  <c r="R555" i="1"/>
  <c r="U555" i="1"/>
  <c r="L556" i="1"/>
  <c r="Q556" i="1"/>
  <c r="R556" i="1"/>
  <c r="U556" i="1"/>
  <c r="L557" i="1"/>
  <c r="Q557" i="1"/>
  <c r="R557" i="1"/>
  <c r="U557" i="1"/>
  <c r="L558" i="1"/>
  <c r="Q558" i="1"/>
  <c r="R558" i="1"/>
  <c r="U558" i="1"/>
  <c r="L559" i="1"/>
  <c r="Q559" i="1"/>
  <c r="R559" i="1"/>
  <c r="U559" i="1"/>
  <c r="L560" i="1"/>
  <c r="Q560" i="1"/>
  <c r="R560" i="1"/>
  <c r="U560" i="1"/>
  <c r="L561" i="1"/>
  <c r="Q561" i="1"/>
  <c r="R561" i="1"/>
  <c r="U561" i="1"/>
  <c r="L562" i="1"/>
  <c r="Q562" i="1"/>
  <c r="R562" i="1"/>
  <c r="U562" i="1"/>
  <c r="L563" i="1"/>
  <c r="Q563" i="1"/>
  <c r="R563" i="1"/>
  <c r="U563" i="1"/>
  <c r="L564" i="1"/>
  <c r="Q564" i="1"/>
  <c r="R564" i="1"/>
  <c r="U564" i="1"/>
  <c r="L565" i="1"/>
  <c r="Q565" i="1"/>
  <c r="R565" i="1"/>
  <c r="U565" i="1"/>
  <c r="L566" i="1"/>
  <c r="Q566" i="1"/>
  <c r="R566" i="1"/>
  <c r="U566" i="1"/>
  <c r="L567" i="1"/>
  <c r="Q567" i="1"/>
  <c r="R567" i="1"/>
  <c r="U567" i="1"/>
  <c r="L568" i="1"/>
  <c r="Q568" i="1"/>
  <c r="R568" i="1"/>
  <c r="U568" i="1"/>
  <c r="L569" i="1"/>
  <c r="Q569" i="1"/>
  <c r="R569" i="1"/>
  <c r="U569" i="1"/>
  <c r="L570" i="1"/>
  <c r="Q570" i="1"/>
  <c r="R570" i="1"/>
  <c r="U570" i="1"/>
  <c r="L571" i="1"/>
  <c r="Q571" i="1"/>
  <c r="R571" i="1"/>
  <c r="U571" i="1"/>
  <c r="L572" i="1"/>
  <c r="Q572" i="1"/>
  <c r="R572" i="1"/>
  <c r="U572" i="1"/>
  <c r="L573" i="1"/>
  <c r="Q573" i="1"/>
  <c r="R573" i="1"/>
  <c r="U573" i="1"/>
  <c r="L574" i="1"/>
  <c r="Q574" i="1"/>
  <c r="R574" i="1"/>
  <c r="U574" i="1"/>
  <c r="L575" i="1"/>
  <c r="Q575" i="1"/>
  <c r="R575" i="1"/>
  <c r="U575" i="1"/>
  <c r="L576" i="1"/>
  <c r="Q576" i="1"/>
  <c r="R576" i="1"/>
  <c r="U576" i="1"/>
  <c r="L577" i="1"/>
  <c r="Q577" i="1"/>
  <c r="R577" i="1"/>
  <c r="U577" i="1"/>
  <c r="L578" i="1"/>
  <c r="Q578" i="1"/>
  <c r="R578" i="1"/>
  <c r="U578" i="1"/>
  <c r="L579" i="1"/>
  <c r="Q579" i="1"/>
  <c r="R579" i="1"/>
  <c r="U579" i="1"/>
  <c r="L580" i="1"/>
  <c r="Q580" i="1"/>
  <c r="R580" i="1"/>
  <c r="U580" i="1"/>
  <c r="L581" i="1"/>
  <c r="Q581" i="1"/>
  <c r="R581" i="1"/>
  <c r="U581" i="1"/>
  <c r="L582" i="1"/>
  <c r="Q582" i="1"/>
  <c r="R582" i="1"/>
  <c r="U582" i="1"/>
  <c r="L583" i="1"/>
  <c r="Q583" i="1"/>
  <c r="R583" i="1"/>
  <c r="U583" i="1"/>
  <c r="L584" i="1"/>
  <c r="Q584" i="1"/>
  <c r="R584" i="1"/>
  <c r="U584" i="1"/>
  <c r="L585" i="1"/>
  <c r="Q585" i="1"/>
  <c r="R585" i="1"/>
  <c r="U585" i="1"/>
  <c r="L586" i="1"/>
  <c r="Q586" i="1"/>
  <c r="R586" i="1"/>
  <c r="U586" i="1"/>
  <c r="L587" i="1"/>
  <c r="Q587" i="1"/>
  <c r="R587" i="1"/>
  <c r="U587" i="1"/>
  <c r="L588" i="1"/>
  <c r="Q588" i="1"/>
  <c r="R588" i="1"/>
  <c r="U588" i="1"/>
  <c r="L589" i="1"/>
  <c r="Q589" i="1"/>
  <c r="R589" i="1"/>
  <c r="U589" i="1"/>
  <c r="L590" i="1"/>
  <c r="Q590" i="1"/>
  <c r="R590" i="1"/>
  <c r="U590" i="1"/>
  <c r="L591" i="1"/>
  <c r="Q591" i="1"/>
  <c r="R591" i="1"/>
  <c r="U591" i="1"/>
  <c r="L592" i="1"/>
  <c r="Q592" i="1"/>
  <c r="R592" i="1"/>
  <c r="U592" i="1"/>
  <c r="L593" i="1"/>
  <c r="Q593" i="1"/>
  <c r="R593" i="1"/>
  <c r="U593" i="1"/>
  <c r="L594" i="1"/>
  <c r="Q594" i="1"/>
  <c r="R594" i="1"/>
  <c r="U594" i="1"/>
  <c r="L595" i="1"/>
  <c r="Q595" i="1"/>
  <c r="R595" i="1"/>
  <c r="U595" i="1"/>
  <c r="L596" i="1"/>
  <c r="Q596" i="1"/>
  <c r="R596" i="1"/>
  <c r="U596" i="1"/>
  <c r="L597" i="1"/>
  <c r="Q597" i="1"/>
  <c r="R597" i="1"/>
  <c r="U597" i="1"/>
  <c r="L598" i="1"/>
  <c r="Q598" i="1"/>
  <c r="R598" i="1"/>
  <c r="U598" i="1"/>
  <c r="L599" i="1"/>
  <c r="Q599" i="1"/>
  <c r="R599" i="1"/>
  <c r="U599" i="1"/>
  <c r="L600" i="1"/>
  <c r="Q600" i="1"/>
  <c r="R600" i="1"/>
  <c r="U600" i="1"/>
  <c r="L601" i="1"/>
  <c r="Q601" i="1"/>
  <c r="R601" i="1"/>
  <c r="U601" i="1"/>
  <c r="L602" i="1"/>
  <c r="Q602" i="1"/>
  <c r="R602" i="1"/>
  <c r="U602" i="1"/>
  <c r="L603" i="1"/>
  <c r="Q603" i="1"/>
  <c r="R603" i="1"/>
  <c r="U603" i="1"/>
  <c r="L604" i="1"/>
  <c r="Q604" i="1"/>
  <c r="R604" i="1"/>
  <c r="U604" i="1"/>
  <c r="L605" i="1"/>
  <c r="Q605" i="1"/>
  <c r="R605" i="1"/>
  <c r="U605" i="1"/>
  <c r="L606" i="1"/>
  <c r="Q606" i="1"/>
  <c r="R606" i="1"/>
  <c r="U606" i="1"/>
  <c r="L607" i="1"/>
  <c r="Q607" i="1"/>
  <c r="R607" i="1"/>
  <c r="U607" i="1"/>
  <c r="L608" i="1"/>
  <c r="Q608" i="1"/>
  <c r="R608" i="1"/>
  <c r="U608" i="1"/>
  <c r="L609" i="1"/>
  <c r="Q609" i="1"/>
  <c r="R609" i="1"/>
  <c r="U609" i="1"/>
  <c r="L610" i="1"/>
  <c r="Q610" i="1"/>
  <c r="R610" i="1"/>
  <c r="U610" i="1"/>
  <c r="L611" i="1"/>
  <c r="Q611" i="1"/>
  <c r="R611" i="1"/>
  <c r="U611" i="1"/>
  <c r="L612" i="1"/>
  <c r="Q612" i="1"/>
  <c r="R612" i="1"/>
  <c r="U612" i="1"/>
  <c r="L613" i="1"/>
  <c r="Q613" i="1"/>
  <c r="R613" i="1"/>
  <c r="U613" i="1"/>
  <c r="L614" i="1"/>
  <c r="Q614" i="1"/>
  <c r="R614" i="1"/>
  <c r="U614" i="1"/>
  <c r="L615" i="1"/>
  <c r="Q615" i="1"/>
  <c r="R615" i="1"/>
  <c r="U615" i="1"/>
  <c r="L616" i="1"/>
  <c r="Q616" i="1"/>
  <c r="R616" i="1"/>
  <c r="U616" i="1"/>
  <c r="L617" i="1"/>
  <c r="Q617" i="1"/>
  <c r="R617" i="1"/>
  <c r="U617" i="1"/>
  <c r="L618" i="1"/>
  <c r="Q618" i="1"/>
  <c r="R618" i="1"/>
  <c r="U618" i="1"/>
  <c r="L619" i="1"/>
  <c r="Q619" i="1"/>
  <c r="R619" i="1"/>
  <c r="U619" i="1"/>
  <c r="L620" i="1"/>
  <c r="Q620" i="1"/>
  <c r="R620" i="1"/>
  <c r="U620" i="1"/>
  <c r="L621" i="1"/>
  <c r="Q621" i="1"/>
  <c r="R621" i="1"/>
  <c r="U621" i="1"/>
  <c r="L622" i="1"/>
  <c r="Q622" i="1"/>
  <c r="R622" i="1"/>
  <c r="U622" i="1"/>
  <c r="L623" i="1"/>
  <c r="Q623" i="1"/>
  <c r="R623" i="1"/>
  <c r="U623" i="1"/>
  <c r="L624" i="1"/>
  <c r="Q624" i="1"/>
  <c r="R624" i="1"/>
  <c r="U624" i="1"/>
  <c r="L625" i="1"/>
  <c r="Q625" i="1"/>
  <c r="R625" i="1"/>
  <c r="U625" i="1"/>
  <c r="L626" i="1"/>
  <c r="Q626" i="1"/>
  <c r="R626" i="1"/>
  <c r="U626" i="1"/>
  <c r="L627" i="1"/>
  <c r="Q627" i="1"/>
  <c r="R627" i="1"/>
  <c r="U627" i="1"/>
  <c r="L628" i="1"/>
  <c r="Q628" i="1"/>
  <c r="R628" i="1"/>
  <c r="U628" i="1"/>
  <c r="L629" i="1"/>
  <c r="Q629" i="1"/>
  <c r="R629" i="1"/>
  <c r="U629" i="1"/>
  <c r="L630" i="1"/>
  <c r="Q630" i="1"/>
  <c r="R630" i="1"/>
  <c r="U630" i="1"/>
  <c r="L631" i="1"/>
  <c r="Q631" i="1"/>
  <c r="R631" i="1"/>
  <c r="U631" i="1"/>
  <c r="L632" i="1"/>
  <c r="Q632" i="1"/>
  <c r="R632" i="1"/>
  <c r="U632" i="1"/>
  <c r="L633" i="1"/>
  <c r="Q633" i="1"/>
  <c r="R633" i="1"/>
  <c r="U633" i="1"/>
  <c r="L634" i="1"/>
  <c r="Q634" i="1"/>
  <c r="R634" i="1"/>
  <c r="U634" i="1"/>
  <c r="L635" i="1"/>
  <c r="Q635" i="1"/>
  <c r="R635" i="1"/>
  <c r="U635" i="1"/>
  <c r="L636" i="1"/>
  <c r="Q636" i="1"/>
  <c r="R636" i="1"/>
  <c r="U636" i="1"/>
  <c r="L637" i="1"/>
  <c r="Q637" i="1"/>
  <c r="R637" i="1"/>
  <c r="U637" i="1"/>
  <c r="L638" i="1"/>
  <c r="Q638" i="1"/>
  <c r="R638" i="1"/>
  <c r="U638" i="1"/>
  <c r="L639" i="1"/>
  <c r="Q639" i="1"/>
  <c r="R639" i="1"/>
  <c r="U639" i="1"/>
  <c r="L640" i="1"/>
  <c r="Q640" i="1"/>
  <c r="R640" i="1"/>
  <c r="U640" i="1"/>
  <c r="L641" i="1"/>
  <c r="Q641" i="1"/>
  <c r="R641" i="1"/>
  <c r="U641" i="1"/>
  <c r="L642" i="1"/>
  <c r="Q642" i="1"/>
  <c r="R642" i="1"/>
  <c r="U642" i="1"/>
  <c r="L643" i="1"/>
  <c r="Q643" i="1"/>
  <c r="R643" i="1"/>
  <c r="U643" i="1"/>
  <c r="L644" i="1"/>
  <c r="Q644" i="1"/>
  <c r="R644" i="1"/>
  <c r="U644" i="1"/>
  <c r="L645" i="1"/>
  <c r="Q645" i="1"/>
  <c r="R645" i="1"/>
  <c r="U645" i="1"/>
  <c r="L646" i="1"/>
  <c r="Q646" i="1"/>
  <c r="R646" i="1"/>
  <c r="U646" i="1"/>
  <c r="L647" i="1"/>
  <c r="Q647" i="1"/>
  <c r="R647" i="1"/>
  <c r="U647" i="1"/>
  <c r="L648" i="1"/>
  <c r="Q648" i="1"/>
  <c r="R648" i="1"/>
  <c r="U648" i="1"/>
  <c r="L649" i="1"/>
  <c r="Q649" i="1"/>
  <c r="R649" i="1"/>
  <c r="U649" i="1"/>
  <c r="L650" i="1"/>
  <c r="Q650" i="1"/>
  <c r="R650" i="1"/>
  <c r="U650" i="1"/>
  <c r="L651" i="1"/>
  <c r="Q651" i="1"/>
  <c r="R651" i="1"/>
  <c r="U651" i="1"/>
  <c r="L652" i="1"/>
  <c r="Q652" i="1"/>
  <c r="R652" i="1"/>
  <c r="U652" i="1"/>
  <c r="L653" i="1"/>
  <c r="Q653" i="1"/>
  <c r="R653" i="1"/>
  <c r="U653" i="1"/>
  <c r="L654" i="1"/>
  <c r="Q654" i="1"/>
  <c r="R654" i="1"/>
  <c r="U654" i="1"/>
  <c r="L655" i="1"/>
  <c r="Q655" i="1"/>
  <c r="R655" i="1"/>
  <c r="U655" i="1"/>
  <c r="L656" i="1"/>
  <c r="Q656" i="1"/>
  <c r="R656" i="1"/>
  <c r="U656" i="1"/>
  <c r="L657" i="1"/>
  <c r="Q657" i="1"/>
  <c r="R657" i="1"/>
  <c r="U657" i="1"/>
  <c r="L658" i="1"/>
  <c r="Q658" i="1"/>
  <c r="R658" i="1"/>
  <c r="U658" i="1"/>
  <c r="L659" i="1"/>
  <c r="Q659" i="1"/>
  <c r="R659" i="1"/>
  <c r="U659" i="1"/>
  <c r="L660" i="1"/>
  <c r="Q660" i="1"/>
  <c r="R660" i="1"/>
  <c r="U660" i="1"/>
  <c r="L661" i="1"/>
  <c r="Q661" i="1"/>
  <c r="R661" i="1"/>
  <c r="U661" i="1"/>
  <c r="L662" i="1"/>
  <c r="Q662" i="1"/>
  <c r="R662" i="1"/>
  <c r="U662" i="1"/>
  <c r="L663" i="1"/>
  <c r="Q663" i="1"/>
  <c r="R663" i="1"/>
  <c r="U663" i="1"/>
  <c r="L664" i="1"/>
  <c r="Q664" i="1"/>
  <c r="R664" i="1"/>
  <c r="U664" i="1"/>
  <c r="L665" i="1"/>
  <c r="Q665" i="1"/>
  <c r="R665" i="1"/>
  <c r="U665" i="1"/>
  <c r="L666" i="1"/>
  <c r="Q666" i="1"/>
  <c r="R666" i="1"/>
  <c r="U666" i="1"/>
  <c r="L667" i="1"/>
  <c r="Q667" i="1"/>
  <c r="R667" i="1"/>
  <c r="U667" i="1"/>
  <c r="L668" i="1"/>
  <c r="Q668" i="1"/>
  <c r="R668" i="1"/>
  <c r="U668" i="1"/>
  <c r="L669" i="1"/>
  <c r="Q669" i="1"/>
  <c r="R669" i="1"/>
  <c r="U669" i="1"/>
  <c r="L670" i="1"/>
  <c r="Q670" i="1"/>
  <c r="R670" i="1"/>
  <c r="U670" i="1"/>
  <c r="L671" i="1"/>
  <c r="Q671" i="1"/>
  <c r="R671" i="1"/>
  <c r="U671" i="1"/>
  <c r="L672" i="1"/>
  <c r="Q672" i="1"/>
  <c r="R672" i="1"/>
  <c r="U672" i="1"/>
  <c r="L673" i="1"/>
  <c r="Q673" i="1"/>
  <c r="R673" i="1"/>
  <c r="U673" i="1"/>
  <c r="L674" i="1"/>
  <c r="Q674" i="1"/>
  <c r="R674" i="1"/>
  <c r="U674" i="1"/>
  <c r="L675" i="1"/>
  <c r="Q675" i="1"/>
  <c r="R675" i="1"/>
  <c r="U675" i="1"/>
  <c r="L676" i="1"/>
  <c r="Q676" i="1"/>
  <c r="R676" i="1"/>
  <c r="U676" i="1"/>
  <c r="L677" i="1"/>
  <c r="Q677" i="1"/>
  <c r="R677" i="1"/>
  <c r="U677" i="1"/>
  <c r="L678" i="1"/>
  <c r="Q678" i="1"/>
  <c r="R678" i="1"/>
  <c r="U678" i="1"/>
  <c r="L679" i="1"/>
  <c r="Q679" i="1"/>
  <c r="R679" i="1"/>
  <c r="U679" i="1"/>
  <c r="L680" i="1"/>
  <c r="Q680" i="1"/>
  <c r="R680" i="1"/>
  <c r="U680" i="1"/>
  <c r="L681" i="1"/>
  <c r="Q681" i="1"/>
  <c r="R681" i="1"/>
  <c r="U681" i="1"/>
  <c r="L682" i="1"/>
  <c r="Q682" i="1"/>
  <c r="R682" i="1"/>
  <c r="U682" i="1"/>
  <c r="L683" i="1"/>
  <c r="Q683" i="1"/>
  <c r="R683" i="1"/>
  <c r="U683" i="1"/>
  <c r="L684" i="1"/>
  <c r="Q684" i="1"/>
  <c r="R684" i="1"/>
  <c r="U684" i="1"/>
  <c r="L685" i="1"/>
  <c r="Q685" i="1"/>
  <c r="R685" i="1"/>
  <c r="U685" i="1"/>
  <c r="L686" i="1"/>
  <c r="Q686" i="1"/>
  <c r="R686" i="1"/>
  <c r="U686" i="1"/>
  <c r="L687" i="1"/>
  <c r="Q687" i="1"/>
  <c r="R687" i="1"/>
  <c r="U687" i="1"/>
  <c r="L688" i="1"/>
  <c r="Q688" i="1"/>
  <c r="R688" i="1"/>
  <c r="U688" i="1"/>
  <c r="L689" i="1"/>
  <c r="Q689" i="1"/>
  <c r="R689" i="1"/>
  <c r="U689" i="1"/>
  <c r="L690" i="1"/>
  <c r="Q690" i="1"/>
  <c r="R690" i="1"/>
  <c r="U690" i="1"/>
  <c r="L691" i="1"/>
  <c r="Q691" i="1"/>
  <c r="R691" i="1"/>
  <c r="U691" i="1"/>
  <c r="L692" i="1"/>
  <c r="Q692" i="1"/>
  <c r="R692" i="1"/>
  <c r="U692" i="1"/>
  <c r="L693" i="1"/>
  <c r="Q693" i="1"/>
  <c r="R693" i="1"/>
  <c r="U693" i="1"/>
  <c r="L694" i="1"/>
  <c r="Q694" i="1"/>
  <c r="R694" i="1"/>
  <c r="U694" i="1"/>
  <c r="L695" i="1"/>
  <c r="Q695" i="1"/>
  <c r="R695" i="1"/>
  <c r="U695" i="1"/>
  <c r="L696" i="1"/>
  <c r="Q696" i="1"/>
  <c r="R696" i="1"/>
  <c r="U696" i="1"/>
  <c r="L697" i="1"/>
  <c r="Q697" i="1"/>
  <c r="R697" i="1"/>
  <c r="U697" i="1"/>
  <c r="F82" i="5"/>
  <c r="G82" i="5"/>
  <c r="H82" i="5"/>
  <c r="I82" i="5"/>
  <c r="J82" i="5"/>
  <c r="K82" i="5"/>
  <c r="M82" i="5"/>
  <c r="N82" i="5"/>
  <c r="O82" i="5"/>
  <c r="P82" i="5"/>
  <c r="S82" i="5"/>
  <c r="T82" i="5"/>
  <c r="F83" i="5"/>
  <c r="G83" i="5"/>
  <c r="H83" i="5"/>
  <c r="I83" i="5"/>
  <c r="J83" i="5"/>
  <c r="K83" i="5"/>
  <c r="M83" i="5"/>
  <c r="R83" i="5" s="1"/>
  <c r="N83" i="5"/>
  <c r="O83" i="5"/>
  <c r="P83" i="5"/>
  <c r="S83" i="5"/>
  <c r="T83" i="5"/>
  <c r="F84" i="5"/>
  <c r="G84" i="5"/>
  <c r="H84" i="5"/>
  <c r="I84" i="5"/>
  <c r="J84" i="5"/>
  <c r="K84" i="5"/>
  <c r="M84" i="5"/>
  <c r="U84" i="5" s="1"/>
  <c r="N84" i="5"/>
  <c r="O84" i="5"/>
  <c r="P84" i="5"/>
  <c r="S84" i="5"/>
  <c r="T84" i="5"/>
  <c r="F85" i="5"/>
  <c r="G85" i="5"/>
  <c r="H85" i="5"/>
  <c r="I85" i="5"/>
  <c r="J85" i="5"/>
  <c r="K85" i="5"/>
  <c r="M85" i="5"/>
  <c r="N85" i="5"/>
  <c r="O85" i="5"/>
  <c r="P85" i="5"/>
  <c r="S85" i="5"/>
  <c r="T85" i="5"/>
  <c r="F86" i="5"/>
  <c r="G86" i="5"/>
  <c r="H86" i="5"/>
  <c r="I86" i="5"/>
  <c r="J86" i="5"/>
  <c r="K86" i="5"/>
  <c r="M86" i="5"/>
  <c r="N86" i="5"/>
  <c r="O86" i="5"/>
  <c r="P86" i="5"/>
  <c r="S86" i="5"/>
  <c r="T86" i="5"/>
  <c r="F87" i="5"/>
  <c r="G87" i="5"/>
  <c r="H87" i="5"/>
  <c r="I87" i="5"/>
  <c r="J87" i="5"/>
  <c r="K87" i="5"/>
  <c r="M87" i="5"/>
  <c r="N87" i="5"/>
  <c r="O87" i="5"/>
  <c r="P87" i="5"/>
  <c r="S87" i="5"/>
  <c r="T87" i="5"/>
  <c r="F88" i="5"/>
  <c r="G88" i="5"/>
  <c r="H88" i="5"/>
  <c r="I88" i="5"/>
  <c r="J88" i="5"/>
  <c r="K88" i="5"/>
  <c r="M88" i="5"/>
  <c r="N88" i="5"/>
  <c r="O88" i="5"/>
  <c r="P88" i="5"/>
  <c r="S88" i="5"/>
  <c r="T88" i="5"/>
  <c r="F89" i="5"/>
  <c r="G89" i="5"/>
  <c r="H89" i="5"/>
  <c r="I89" i="5"/>
  <c r="J89" i="5"/>
  <c r="K89" i="5"/>
  <c r="M89" i="5"/>
  <c r="N89" i="5"/>
  <c r="R89" i="5" s="1"/>
  <c r="O89" i="5"/>
  <c r="P89" i="5"/>
  <c r="S89" i="5"/>
  <c r="T89" i="5"/>
  <c r="F90" i="5"/>
  <c r="G90" i="5"/>
  <c r="H90" i="5"/>
  <c r="I90" i="5"/>
  <c r="J90" i="5"/>
  <c r="K90" i="5"/>
  <c r="M90" i="5"/>
  <c r="N90" i="5"/>
  <c r="O90" i="5"/>
  <c r="P90" i="5"/>
  <c r="S90" i="5"/>
  <c r="T90" i="5"/>
  <c r="F91" i="5"/>
  <c r="G91" i="5"/>
  <c r="H91" i="5"/>
  <c r="I91" i="5"/>
  <c r="J91" i="5"/>
  <c r="K91" i="5"/>
  <c r="M91" i="5"/>
  <c r="N91" i="5"/>
  <c r="O91" i="5"/>
  <c r="P91" i="5"/>
  <c r="S91" i="5"/>
  <c r="T91" i="5"/>
  <c r="F92" i="5"/>
  <c r="G92" i="5"/>
  <c r="H92" i="5"/>
  <c r="I92" i="5"/>
  <c r="J92" i="5"/>
  <c r="K92" i="5"/>
  <c r="M92" i="5"/>
  <c r="U92" i="5" s="1"/>
  <c r="N92" i="5"/>
  <c r="O92" i="5"/>
  <c r="P92" i="5"/>
  <c r="S92" i="5"/>
  <c r="T92" i="5"/>
  <c r="F93" i="5"/>
  <c r="G93" i="5"/>
  <c r="H93" i="5"/>
  <c r="I93" i="5"/>
  <c r="J93" i="5"/>
  <c r="K93" i="5"/>
  <c r="M93" i="5"/>
  <c r="N93" i="5"/>
  <c r="O93" i="5"/>
  <c r="P93" i="5"/>
  <c r="S93" i="5"/>
  <c r="T93" i="5"/>
  <c r="F94" i="5"/>
  <c r="G94" i="5"/>
  <c r="H94" i="5"/>
  <c r="I94" i="5"/>
  <c r="J94" i="5"/>
  <c r="K94" i="5"/>
  <c r="M94" i="5"/>
  <c r="N94" i="5"/>
  <c r="O94" i="5"/>
  <c r="P94" i="5"/>
  <c r="S94" i="5"/>
  <c r="T94" i="5"/>
  <c r="F95" i="5"/>
  <c r="G95" i="5"/>
  <c r="H95" i="5"/>
  <c r="I95" i="5"/>
  <c r="J95" i="5"/>
  <c r="K95" i="5"/>
  <c r="M95" i="5"/>
  <c r="N95" i="5"/>
  <c r="O95" i="5"/>
  <c r="P95" i="5"/>
  <c r="S95" i="5"/>
  <c r="T95" i="5"/>
  <c r="F96" i="5"/>
  <c r="G96" i="5"/>
  <c r="H96" i="5"/>
  <c r="I96" i="5"/>
  <c r="J96" i="5"/>
  <c r="K96" i="5"/>
  <c r="M96" i="5"/>
  <c r="N96" i="5"/>
  <c r="O96" i="5"/>
  <c r="P96" i="5"/>
  <c r="S96" i="5"/>
  <c r="T96" i="5"/>
  <c r="F97" i="5"/>
  <c r="G97" i="5"/>
  <c r="H97" i="5"/>
  <c r="I97" i="5"/>
  <c r="J97" i="5"/>
  <c r="K97" i="5"/>
  <c r="M97" i="5"/>
  <c r="N97" i="5"/>
  <c r="O97" i="5"/>
  <c r="Q97" i="5" s="1"/>
  <c r="P97" i="5"/>
  <c r="S97" i="5"/>
  <c r="T97" i="5"/>
  <c r="F98" i="5"/>
  <c r="G98" i="5"/>
  <c r="H98" i="5"/>
  <c r="I98" i="5"/>
  <c r="J98" i="5"/>
  <c r="K98" i="5"/>
  <c r="M98" i="5"/>
  <c r="N98" i="5"/>
  <c r="O98" i="5"/>
  <c r="P98" i="5"/>
  <c r="Q98" i="5" s="1"/>
  <c r="S98" i="5"/>
  <c r="T98" i="5"/>
  <c r="F99" i="5"/>
  <c r="G99" i="5"/>
  <c r="H99" i="5"/>
  <c r="I99" i="5"/>
  <c r="J99" i="5"/>
  <c r="K99" i="5"/>
  <c r="M99" i="5"/>
  <c r="U99" i="5" s="1"/>
  <c r="N99" i="5"/>
  <c r="O99" i="5"/>
  <c r="P99" i="5"/>
  <c r="S99" i="5"/>
  <c r="T99" i="5"/>
  <c r="F100" i="5"/>
  <c r="G100" i="5"/>
  <c r="H100" i="5"/>
  <c r="I100" i="5"/>
  <c r="J100" i="5"/>
  <c r="K100" i="5"/>
  <c r="M100" i="5"/>
  <c r="N100" i="5"/>
  <c r="O100" i="5"/>
  <c r="P100" i="5"/>
  <c r="S100" i="5"/>
  <c r="T100" i="5"/>
  <c r="F101" i="5"/>
  <c r="G101" i="5"/>
  <c r="H101" i="5"/>
  <c r="I101" i="5"/>
  <c r="J101" i="5"/>
  <c r="K101" i="5"/>
  <c r="M101" i="5"/>
  <c r="N101" i="5"/>
  <c r="O101" i="5"/>
  <c r="P101" i="5"/>
  <c r="S101" i="5"/>
  <c r="T101" i="5"/>
  <c r="F102" i="5"/>
  <c r="G102" i="5"/>
  <c r="H102" i="5"/>
  <c r="I102" i="5"/>
  <c r="J102" i="5"/>
  <c r="K102" i="5"/>
  <c r="M102" i="5"/>
  <c r="N102" i="5"/>
  <c r="O102" i="5"/>
  <c r="P102" i="5"/>
  <c r="S102" i="5"/>
  <c r="T102" i="5"/>
  <c r="F103" i="5"/>
  <c r="G103" i="5"/>
  <c r="H103" i="5"/>
  <c r="I103" i="5"/>
  <c r="J103" i="5"/>
  <c r="K103" i="5"/>
  <c r="M103" i="5"/>
  <c r="R103" i="5" s="1"/>
  <c r="N103" i="5"/>
  <c r="O103" i="5"/>
  <c r="P103" i="5"/>
  <c r="S103" i="5"/>
  <c r="T103" i="5"/>
  <c r="F104" i="5"/>
  <c r="G104" i="5"/>
  <c r="H104" i="5"/>
  <c r="I104" i="5"/>
  <c r="J104" i="5"/>
  <c r="K104" i="5"/>
  <c r="M104" i="5"/>
  <c r="N104" i="5"/>
  <c r="O104" i="5"/>
  <c r="P104" i="5"/>
  <c r="S104" i="5"/>
  <c r="T104" i="5"/>
  <c r="F105" i="5"/>
  <c r="G105" i="5"/>
  <c r="H105" i="5"/>
  <c r="I105" i="5"/>
  <c r="J105" i="5"/>
  <c r="K105" i="5"/>
  <c r="M105" i="5"/>
  <c r="N105" i="5"/>
  <c r="O105" i="5"/>
  <c r="P105" i="5"/>
  <c r="S105" i="5"/>
  <c r="T105" i="5"/>
  <c r="F106" i="5"/>
  <c r="G106" i="5"/>
  <c r="H106" i="5"/>
  <c r="I106" i="5"/>
  <c r="J106" i="5"/>
  <c r="K106" i="5"/>
  <c r="M106" i="5"/>
  <c r="N106" i="5"/>
  <c r="O106" i="5"/>
  <c r="P106" i="5"/>
  <c r="Q106" i="5" s="1"/>
  <c r="S106" i="5"/>
  <c r="T106" i="5"/>
  <c r="F107" i="5"/>
  <c r="G107" i="5"/>
  <c r="H107" i="5"/>
  <c r="I107" i="5"/>
  <c r="J107" i="5"/>
  <c r="K107" i="5"/>
  <c r="M107" i="5"/>
  <c r="N107" i="5"/>
  <c r="O107" i="5"/>
  <c r="P107" i="5"/>
  <c r="S107" i="5"/>
  <c r="T107" i="5"/>
  <c r="F108" i="5"/>
  <c r="G108" i="5"/>
  <c r="H108" i="5"/>
  <c r="I108" i="5"/>
  <c r="J108" i="5"/>
  <c r="K108" i="5"/>
  <c r="M108" i="5"/>
  <c r="N108" i="5"/>
  <c r="O108" i="5"/>
  <c r="P108" i="5"/>
  <c r="S108" i="5"/>
  <c r="T108" i="5"/>
  <c r="F109" i="5"/>
  <c r="G109" i="5"/>
  <c r="H109" i="5"/>
  <c r="I109" i="5"/>
  <c r="J109" i="5"/>
  <c r="K109" i="5"/>
  <c r="M109" i="5"/>
  <c r="N109" i="5"/>
  <c r="O109" i="5"/>
  <c r="P109" i="5"/>
  <c r="S109" i="5"/>
  <c r="T109" i="5"/>
  <c r="F110" i="5"/>
  <c r="G110" i="5"/>
  <c r="H110" i="5"/>
  <c r="I110" i="5"/>
  <c r="J110" i="5"/>
  <c r="K110" i="5"/>
  <c r="M110" i="5"/>
  <c r="N110" i="5"/>
  <c r="O110" i="5"/>
  <c r="P110" i="5"/>
  <c r="Q110" i="5" s="1"/>
  <c r="S110" i="5"/>
  <c r="T110" i="5"/>
  <c r="F111" i="5"/>
  <c r="G111" i="5"/>
  <c r="H111" i="5"/>
  <c r="I111" i="5"/>
  <c r="J111" i="5"/>
  <c r="K111" i="5"/>
  <c r="M111" i="5"/>
  <c r="R111" i="5" s="1"/>
  <c r="N111" i="5"/>
  <c r="O111" i="5"/>
  <c r="P111" i="5"/>
  <c r="S111" i="5"/>
  <c r="T111" i="5"/>
  <c r="F112" i="5"/>
  <c r="G112" i="5"/>
  <c r="H112" i="5"/>
  <c r="I112" i="5"/>
  <c r="J112" i="5"/>
  <c r="K112" i="5"/>
  <c r="M112" i="5"/>
  <c r="N112" i="5"/>
  <c r="O112" i="5"/>
  <c r="P112" i="5"/>
  <c r="S112" i="5"/>
  <c r="T112" i="5"/>
  <c r="F113" i="5"/>
  <c r="G113" i="5"/>
  <c r="H113" i="5"/>
  <c r="I113" i="5"/>
  <c r="J113" i="5"/>
  <c r="K113" i="5"/>
  <c r="M113" i="5"/>
  <c r="N113" i="5"/>
  <c r="O113" i="5"/>
  <c r="P113" i="5"/>
  <c r="S113" i="5"/>
  <c r="T113" i="5"/>
  <c r="F114" i="5"/>
  <c r="G114" i="5"/>
  <c r="H114" i="5"/>
  <c r="I114" i="5"/>
  <c r="J114" i="5"/>
  <c r="K114" i="5"/>
  <c r="M114" i="5"/>
  <c r="N114" i="5"/>
  <c r="O114" i="5"/>
  <c r="P114" i="5"/>
  <c r="S114" i="5"/>
  <c r="T114" i="5"/>
  <c r="F115" i="5"/>
  <c r="G115" i="5"/>
  <c r="H115" i="5"/>
  <c r="I115" i="5"/>
  <c r="J115" i="5"/>
  <c r="K115" i="5"/>
  <c r="M115" i="5"/>
  <c r="N115" i="5"/>
  <c r="O115" i="5"/>
  <c r="P115" i="5"/>
  <c r="S115" i="5"/>
  <c r="T115" i="5"/>
  <c r="F116" i="5"/>
  <c r="G116" i="5"/>
  <c r="H116" i="5"/>
  <c r="I116" i="5"/>
  <c r="J116" i="5"/>
  <c r="K116" i="5"/>
  <c r="M116" i="5"/>
  <c r="N116" i="5"/>
  <c r="O116" i="5"/>
  <c r="P116" i="5"/>
  <c r="S116" i="5"/>
  <c r="T116" i="5"/>
  <c r="F117" i="5"/>
  <c r="G117" i="5"/>
  <c r="H117" i="5"/>
  <c r="I117" i="5"/>
  <c r="J117" i="5"/>
  <c r="K117" i="5"/>
  <c r="M117" i="5"/>
  <c r="N117" i="5"/>
  <c r="O117" i="5"/>
  <c r="P117" i="5"/>
  <c r="S117" i="5"/>
  <c r="T117" i="5"/>
  <c r="F118" i="5"/>
  <c r="G118" i="5"/>
  <c r="H118" i="5"/>
  <c r="I118" i="5"/>
  <c r="J118" i="5"/>
  <c r="K118" i="5"/>
  <c r="M118" i="5"/>
  <c r="N118" i="5"/>
  <c r="O118" i="5"/>
  <c r="P118" i="5"/>
  <c r="S118" i="5"/>
  <c r="T118" i="5"/>
  <c r="F119" i="5"/>
  <c r="G119" i="5"/>
  <c r="H119" i="5"/>
  <c r="I119" i="5"/>
  <c r="J119" i="5"/>
  <c r="K119" i="5"/>
  <c r="M119" i="5"/>
  <c r="N119" i="5"/>
  <c r="O119" i="5"/>
  <c r="P119" i="5"/>
  <c r="S119" i="5"/>
  <c r="T119" i="5"/>
  <c r="F120" i="5"/>
  <c r="G120" i="5"/>
  <c r="H120" i="5"/>
  <c r="I120" i="5"/>
  <c r="J120" i="5"/>
  <c r="K120" i="5"/>
  <c r="M120" i="5"/>
  <c r="N120" i="5"/>
  <c r="U120" i="5" s="1"/>
  <c r="O120" i="5"/>
  <c r="P120" i="5"/>
  <c r="S120" i="5"/>
  <c r="T120" i="5"/>
  <c r="F121" i="5"/>
  <c r="G121" i="5"/>
  <c r="H121" i="5"/>
  <c r="I121" i="5"/>
  <c r="J121" i="5"/>
  <c r="K121" i="5"/>
  <c r="M121" i="5"/>
  <c r="N121" i="5"/>
  <c r="O121" i="5"/>
  <c r="P121" i="5"/>
  <c r="S121" i="5"/>
  <c r="T121" i="5"/>
  <c r="F122" i="5"/>
  <c r="G122" i="5"/>
  <c r="H122" i="5"/>
  <c r="I122" i="5"/>
  <c r="J122" i="5"/>
  <c r="K122" i="5"/>
  <c r="M122" i="5"/>
  <c r="N122" i="5"/>
  <c r="U122" i="5" s="1"/>
  <c r="O122" i="5"/>
  <c r="P122" i="5"/>
  <c r="S122" i="5"/>
  <c r="T122" i="5"/>
  <c r="F123" i="5"/>
  <c r="G123" i="5"/>
  <c r="H123" i="5"/>
  <c r="I123" i="5"/>
  <c r="J123" i="5"/>
  <c r="K123" i="5"/>
  <c r="M123" i="5"/>
  <c r="N123" i="5"/>
  <c r="O123" i="5"/>
  <c r="P123" i="5"/>
  <c r="S123" i="5"/>
  <c r="T123" i="5"/>
  <c r="F124" i="5"/>
  <c r="G124" i="5"/>
  <c r="H124" i="5"/>
  <c r="I124" i="5"/>
  <c r="J124" i="5"/>
  <c r="K124" i="5"/>
  <c r="M124" i="5"/>
  <c r="N124" i="5"/>
  <c r="O124" i="5"/>
  <c r="P124" i="5"/>
  <c r="S124" i="5"/>
  <c r="T124" i="5"/>
  <c r="F125" i="5"/>
  <c r="G125" i="5"/>
  <c r="H125" i="5"/>
  <c r="I125" i="5"/>
  <c r="J125" i="5"/>
  <c r="K125" i="5"/>
  <c r="M125" i="5"/>
  <c r="N125" i="5"/>
  <c r="O125" i="5"/>
  <c r="P125" i="5"/>
  <c r="S125" i="5"/>
  <c r="T125" i="5"/>
  <c r="F126" i="5"/>
  <c r="G126" i="5"/>
  <c r="H126" i="5"/>
  <c r="I126" i="5"/>
  <c r="J126" i="5"/>
  <c r="K126" i="5"/>
  <c r="M126" i="5"/>
  <c r="N126" i="5"/>
  <c r="O126" i="5"/>
  <c r="P126" i="5"/>
  <c r="S126" i="5"/>
  <c r="T126" i="5"/>
  <c r="F127" i="5"/>
  <c r="G127" i="5"/>
  <c r="H127" i="5"/>
  <c r="I127" i="5"/>
  <c r="J127" i="5"/>
  <c r="K127" i="5"/>
  <c r="M127" i="5"/>
  <c r="N127" i="5"/>
  <c r="O127" i="5"/>
  <c r="P127" i="5"/>
  <c r="S127" i="5"/>
  <c r="T127" i="5"/>
  <c r="F128" i="5"/>
  <c r="G128" i="5"/>
  <c r="H128" i="5"/>
  <c r="I128" i="5"/>
  <c r="J128" i="5"/>
  <c r="K128" i="5"/>
  <c r="M128" i="5"/>
  <c r="N128" i="5"/>
  <c r="O128" i="5"/>
  <c r="P128" i="5"/>
  <c r="S128" i="5"/>
  <c r="T128" i="5"/>
  <c r="F129" i="5"/>
  <c r="G129" i="5"/>
  <c r="H129" i="5"/>
  <c r="I129" i="5"/>
  <c r="J129" i="5"/>
  <c r="K129" i="5"/>
  <c r="M129" i="5"/>
  <c r="N129" i="5"/>
  <c r="O129" i="5"/>
  <c r="P129" i="5"/>
  <c r="S129" i="5"/>
  <c r="T129" i="5"/>
  <c r="F130" i="5"/>
  <c r="G130" i="5"/>
  <c r="H130" i="5"/>
  <c r="I130" i="5"/>
  <c r="J130" i="5"/>
  <c r="K130" i="5"/>
  <c r="M130" i="5"/>
  <c r="N130" i="5"/>
  <c r="O130" i="5"/>
  <c r="P130" i="5"/>
  <c r="S130" i="5"/>
  <c r="T130" i="5"/>
  <c r="F131" i="5"/>
  <c r="G131" i="5"/>
  <c r="H131" i="5"/>
  <c r="I131" i="5"/>
  <c r="J131" i="5"/>
  <c r="K131" i="5"/>
  <c r="M131" i="5"/>
  <c r="N131" i="5"/>
  <c r="O131" i="5"/>
  <c r="P131" i="5"/>
  <c r="S131" i="5"/>
  <c r="T131" i="5"/>
  <c r="F132" i="5"/>
  <c r="G132" i="5"/>
  <c r="H132" i="5"/>
  <c r="I132" i="5"/>
  <c r="J132" i="5"/>
  <c r="K132" i="5"/>
  <c r="M132" i="5"/>
  <c r="N132" i="5"/>
  <c r="O132" i="5"/>
  <c r="P132" i="5"/>
  <c r="S132" i="5"/>
  <c r="T132" i="5"/>
  <c r="F133" i="5"/>
  <c r="G133" i="5"/>
  <c r="H133" i="5"/>
  <c r="I133" i="5"/>
  <c r="J133" i="5"/>
  <c r="K133" i="5"/>
  <c r="M133" i="5"/>
  <c r="N133" i="5"/>
  <c r="O133" i="5"/>
  <c r="P133" i="5"/>
  <c r="S133" i="5"/>
  <c r="T133" i="5"/>
  <c r="F134" i="5"/>
  <c r="G134" i="5"/>
  <c r="H134" i="5"/>
  <c r="I134" i="5"/>
  <c r="J134" i="5"/>
  <c r="K134" i="5"/>
  <c r="M134" i="5"/>
  <c r="N134" i="5"/>
  <c r="O134" i="5"/>
  <c r="P134" i="5"/>
  <c r="S134" i="5"/>
  <c r="T134" i="5"/>
  <c r="F135" i="5"/>
  <c r="G135" i="5"/>
  <c r="H135" i="5"/>
  <c r="I135" i="5"/>
  <c r="J135" i="5"/>
  <c r="K135" i="5"/>
  <c r="M135" i="5"/>
  <c r="N135" i="5"/>
  <c r="O135" i="5"/>
  <c r="P135" i="5"/>
  <c r="S135" i="5"/>
  <c r="T135" i="5"/>
  <c r="F136" i="5"/>
  <c r="G136" i="5"/>
  <c r="H136" i="5"/>
  <c r="I136" i="5"/>
  <c r="J136" i="5"/>
  <c r="K136" i="5"/>
  <c r="M136" i="5"/>
  <c r="N136" i="5"/>
  <c r="O136" i="5"/>
  <c r="P136" i="5"/>
  <c r="S136" i="5"/>
  <c r="T136" i="5"/>
  <c r="F137" i="5"/>
  <c r="G137" i="5"/>
  <c r="H137" i="5"/>
  <c r="I137" i="5"/>
  <c r="J137" i="5"/>
  <c r="K137" i="5"/>
  <c r="M137" i="5"/>
  <c r="N137" i="5"/>
  <c r="O137" i="5"/>
  <c r="Q137" i="5" s="1"/>
  <c r="P137" i="5"/>
  <c r="S137" i="5"/>
  <c r="T137" i="5"/>
  <c r="F138" i="5"/>
  <c r="G138" i="5"/>
  <c r="H138" i="5"/>
  <c r="I138" i="5"/>
  <c r="J138" i="5"/>
  <c r="K138" i="5"/>
  <c r="M138" i="5"/>
  <c r="N138" i="5"/>
  <c r="O138" i="5"/>
  <c r="P138" i="5"/>
  <c r="S138" i="5"/>
  <c r="T138" i="5"/>
  <c r="F139" i="5"/>
  <c r="G139" i="5"/>
  <c r="H139" i="5"/>
  <c r="I139" i="5"/>
  <c r="J139" i="5"/>
  <c r="K139" i="5"/>
  <c r="M139" i="5"/>
  <c r="N139" i="5"/>
  <c r="O139" i="5"/>
  <c r="P139" i="5"/>
  <c r="S139" i="5"/>
  <c r="T139" i="5"/>
  <c r="F140" i="5"/>
  <c r="G140" i="5"/>
  <c r="H140" i="5"/>
  <c r="I140" i="5"/>
  <c r="J140" i="5"/>
  <c r="K140" i="5"/>
  <c r="M140" i="5"/>
  <c r="N140" i="5"/>
  <c r="O140" i="5"/>
  <c r="P140" i="5"/>
  <c r="S140" i="5"/>
  <c r="T140" i="5"/>
  <c r="F141" i="5"/>
  <c r="G141" i="5"/>
  <c r="H141" i="5"/>
  <c r="I141" i="5"/>
  <c r="J141" i="5"/>
  <c r="K141" i="5"/>
  <c r="M141" i="5"/>
  <c r="N141" i="5"/>
  <c r="O141" i="5"/>
  <c r="P141" i="5"/>
  <c r="S141" i="5"/>
  <c r="T141" i="5"/>
  <c r="F142" i="5"/>
  <c r="G142" i="5"/>
  <c r="H142" i="5"/>
  <c r="I142" i="5"/>
  <c r="J142" i="5"/>
  <c r="K142" i="5"/>
  <c r="M142" i="5"/>
  <c r="N142" i="5"/>
  <c r="O142" i="5"/>
  <c r="P142" i="5"/>
  <c r="S142" i="5"/>
  <c r="T142" i="5"/>
  <c r="F143" i="5"/>
  <c r="G143" i="5"/>
  <c r="H143" i="5"/>
  <c r="I143" i="5"/>
  <c r="J143" i="5"/>
  <c r="K143" i="5"/>
  <c r="M143" i="5"/>
  <c r="N143" i="5"/>
  <c r="O143" i="5"/>
  <c r="P143" i="5"/>
  <c r="S143" i="5"/>
  <c r="T143" i="5"/>
  <c r="F144" i="5"/>
  <c r="G144" i="5"/>
  <c r="H144" i="5"/>
  <c r="I144" i="5"/>
  <c r="J144" i="5"/>
  <c r="K144" i="5"/>
  <c r="M144" i="5"/>
  <c r="N144" i="5"/>
  <c r="O144" i="5"/>
  <c r="P144" i="5"/>
  <c r="S144" i="5"/>
  <c r="T144" i="5"/>
  <c r="F145" i="5"/>
  <c r="G145" i="5"/>
  <c r="H145" i="5"/>
  <c r="I145" i="5"/>
  <c r="J145" i="5"/>
  <c r="K145" i="5"/>
  <c r="M145" i="5"/>
  <c r="N145" i="5"/>
  <c r="O145" i="5"/>
  <c r="Q145" i="5" s="1"/>
  <c r="P145" i="5"/>
  <c r="S145" i="5"/>
  <c r="T145" i="5"/>
  <c r="F146" i="5"/>
  <c r="G146" i="5"/>
  <c r="H146" i="5"/>
  <c r="I146" i="5"/>
  <c r="J146" i="5"/>
  <c r="K146" i="5"/>
  <c r="M146" i="5"/>
  <c r="N146" i="5"/>
  <c r="O146" i="5"/>
  <c r="P146" i="5"/>
  <c r="S146" i="5"/>
  <c r="T146" i="5"/>
  <c r="F147" i="5"/>
  <c r="G147" i="5"/>
  <c r="H147" i="5"/>
  <c r="I147" i="5"/>
  <c r="J147" i="5"/>
  <c r="K147" i="5"/>
  <c r="M147" i="5"/>
  <c r="N147" i="5"/>
  <c r="O147" i="5"/>
  <c r="P147" i="5"/>
  <c r="S147" i="5"/>
  <c r="T147" i="5"/>
  <c r="F148" i="5"/>
  <c r="G148" i="5"/>
  <c r="H148" i="5"/>
  <c r="I148" i="5"/>
  <c r="J148" i="5"/>
  <c r="K148" i="5"/>
  <c r="M148" i="5"/>
  <c r="N148" i="5"/>
  <c r="O148" i="5"/>
  <c r="P148" i="5"/>
  <c r="S148" i="5"/>
  <c r="T148" i="5"/>
  <c r="F149" i="5"/>
  <c r="G149" i="5"/>
  <c r="H149" i="5"/>
  <c r="I149" i="5"/>
  <c r="J149" i="5"/>
  <c r="K149" i="5"/>
  <c r="M149" i="5"/>
  <c r="N149" i="5"/>
  <c r="O149" i="5"/>
  <c r="P149" i="5"/>
  <c r="S149" i="5"/>
  <c r="T149" i="5"/>
  <c r="F150" i="5"/>
  <c r="G150" i="5"/>
  <c r="H150" i="5"/>
  <c r="I150" i="5"/>
  <c r="J150" i="5"/>
  <c r="K150" i="5"/>
  <c r="M150" i="5"/>
  <c r="N150" i="5"/>
  <c r="O150" i="5"/>
  <c r="P150" i="5"/>
  <c r="S150" i="5"/>
  <c r="T150" i="5"/>
  <c r="F151" i="5"/>
  <c r="G151" i="5"/>
  <c r="H151" i="5"/>
  <c r="I151" i="5"/>
  <c r="J151" i="5"/>
  <c r="K151" i="5"/>
  <c r="M151" i="5"/>
  <c r="N151" i="5"/>
  <c r="O151" i="5"/>
  <c r="P151" i="5"/>
  <c r="S151" i="5"/>
  <c r="T151" i="5"/>
  <c r="F152" i="5"/>
  <c r="G152" i="5"/>
  <c r="H152" i="5"/>
  <c r="I152" i="5"/>
  <c r="J152" i="5"/>
  <c r="K152" i="5"/>
  <c r="M152" i="5"/>
  <c r="N152" i="5"/>
  <c r="O152" i="5"/>
  <c r="P152" i="5"/>
  <c r="S152" i="5"/>
  <c r="T152" i="5"/>
  <c r="F153" i="5"/>
  <c r="G153" i="5"/>
  <c r="H153" i="5"/>
  <c r="I153" i="5"/>
  <c r="J153" i="5"/>
  <c r="K153" i="5"/>
  <c r="M153" i="5"/>
  <c r="N153" i="5"/>
  <c r="O153" i="5"/>
  <c r="P153" i="5"/>
  <c r="S153" i="5"/>
  <c r="T153" i="5"/>
  <c r="F154" i="5"/>
  <c r="G154" i="5"/>
  <c r="H154" i="5"/>
  <c r="I154" i="5"/>
  <c r="J154" i="5"/>
  <c r="K154" i="5"/>
  <c r="M154" i="5"/>
  <c r="N154" i="5"/>
  <c r="O154" i="5"/>
  <c r="P154" i="5"/>
  <c r="S154" i="5"/>
  <c r="T154" i="5"/>
  <c r="F155" i="5"/>
  <c r="G155" i="5"/>
  <c r="H155" i="5"/>
  <c r="I155" i="5"/>
  <c r="J155" i="5"/>
  <c r="K155" i="5"/>
  <c r="M155" i="5"/>
  <c r="N155" i="5"/>
  <c r="O155" i="5"/>
  <c r="P155" i="5"/>
  <c r="S155" i="5"/>
  <c r="T155" i="5"/>
  <c r="F156" i="5"/>
  <c r="G156" i="5"/>
  <c r="H156" i="5"/>
  <c r="I156" i="5"/>
  <c r="J156" i="5"/>
  <c r="K156" i="5"/>
  <c r="M156" i="5"/>
  <c r="N156" i="5"/>
  <c r="O156" i="5"/>
  <c r="P156" i="5"/>
  <c r="S156" i="5"/>
  <c r="T156" i="5"/>
  <c r="F157" i="5"/>
  <c r="G157" i="5"/>
  <c r="H157" i="5"/>
  <c r="I157" i="5"/>
  <c r="J157" i="5"/>
  <c r="K157" i="5"/>
  <c r="M157" i="5"/>
  <c r="N157" i="5"/>
  <c r="O157" i="5"/>
  <c r="P157" i="5"/>
  <c r="S157" i="5"/>
  <c r="T157" i="5"/>
  <c r="F158" i="5"/>
  <c r="G158" i="5"/>
  <c r="H158" i="5"/>
  <c r="I158" i="5"/>
  <c r="J158" i="5"/>
  <c r="K158" i="5"/>
  <c r="M158" i="5"/>
  <c r="N158" i="5"/>
  <c r="O158" i="5"/>
  <c r="P158" i="5"/>
  <c r="S158" i="5"/>
  <c r="T158" i="5"/>
  <c r="F159" i="5"/>
  <c r="G159" i="5"/>
  <c r="H159" i="5"/>
  <c r="I159" i="5"/>
  <c r="J159" i="5"/>
  <c r="K159" i="5"/>
  <c r="M159" i="5"/>
  <c r="N159" i="5"/>
  <c r="O159" i="5"/>
  <c r="P159" i="5"/>
  <c r="S159" i="5"/>
  <c r="T159" i="5"/>
  <c r="F160" i="5"/>
  <c r="G160" i="5"/>
  <c r="H160" i="5"/>
  <c r="I160" i="5"/>
  <c r="J160" i="5"/>
  <c r="K160" i="5"/>
  <c r="M160" i="5"/>
  <c r="N160" i="5"/>
  <c r="O160" i="5"/>
  <c r="P160" i="5"/>
  <c r="S160" i="5"/>
  <c r="T160" i="5"/>
  <c r="F161" i="5"/>
  <c r="G161" i="5"/>
  <c r="H161" i="5"/>
  <c r="I161" i="5"/>
  <c r="J161" i="5"/>
  <c r="K161" i="5"/>
  <c r="M161" i="5"/>
  <c r="N161" i="5"/>
  <c r="O161" i="5"/>
  <c r="Q161" i="5" s="1"/>
  <c r="P161" i="5"/>
  <c r="S161" i="5"/>
  <c r="T161" i="5"/>
  <c r="F162" i="5"/>
  <c r="G162" i="5"/>
  <c r="H162" i="5"/>
  <c r="I162" i="5"/>
  <c r="J162" i="5"/>
  <c r="K162" i="5"/>
  <c r="M162" i="5"/>
  <c r="N162" i="5"/>
  <c r="O162" i="5"/>
  <c r="P162" i="5"/>
  <c r="S162" i="5"/>
  <c r="T162" i="5"/>
  <c r="F163" i="5"/>
  <c r="G163" i="5"/>
  <c r="H163" i="5"/>
  <c r="I163" i="5"/>
  <c r="J163" i="5"/>
  <c r="K163" i="5"/>
  <c r="M163" i="5"/>
  <c r="N163" i="5"/>
  <c r="O163" i="5"/>
  <c r="P163" i="5"/>
  <c r="S163" i="5"/>
  <c r="T163" i="5"/>
  <c r="F164" i="5"/>
  <c r="G164" i="5"/>
  <c r="H164" i="5"/>
  <c r="I164" i="5"/>
  <c r="J164" i="5"/>
  <c r="K164" i="5"/>
  <c r="M164" i="5"/>
  <c r="N164" i="5"/>
  <c r="O164" i="5"/>
  <c r="P164" i="5"/>
  <c r="S164" i="5"/>
  <c r="T164" i="5"/>
  <c r="F165" i="5"/>
  <c r="G165" i="5"/>
  <c r="H165" i="5"/>
  <c r="I165" i="5"/>
  <c r="J165" i="5"/>
  <c r="K165" i="5"/>
  <c r="M165" i="5"/>
  <c r="N165" i="5"/>
  <c r="O165" i="5"/>
  <c r="P165" i="5"/>
  <c r="S165" i="5"/>
  <c r="T165" i="5"/>
  <c r="F166" i="5"/>
  <c r="G166" i="5"/>
  <c r="H166" i="5"/>
  <c r="I166" i="5"/>
  <c r="J166" i="5"/>
  <c r="K166" i="5"/>
  <c r="M166" i="5"/>
  <c r="N166" i="5"/>
  <c r="O166" i="5"/>
  <c r="P166" i="5"/>
  <c r="S166" i="5"/>
  <c r="T166" i="5"/>
  <c r="F167" i="5"/>
  <c r="G167" i="5"/>
  <c r="H167" i="5"/>
  <c r="I167" i="5"/>
  <c r="J167" i="5"/>
  <c r="K167" i="5"/>
  <c r="M167" i="5"/>
  <c r="N167" i="5"/>
  <c r="O167" i="5"/>
  <c r="P167" i="5"/>
  <c r="S167" i="5"/>
  <c r="T167" i="5"/>
  <c r="F168" i="5"/>
  <c r="G168" i="5"/>
  <c r="H168" i="5"/>
  <c r="I168" i="5"/>
  <c r="J168" i="5"/>
  <c r="K168" i="5"/>
  <c r="M168" i="5"/>
  <c r="N168" i="5"/>
  <c r="O168" i="5"/>
  <c r="P168" i="5"/>
  <c r="S168" i="5"/>
  <c r="T168" i="5"/>
  <c r="F169" i="5"/>
  <c r="G169" i="5"/>
  <c r="H169" i="5"/>
  <c r="I169" i="5"/>
  <c r="J169" i="5"/>
  <c r="K169" i="5"/>
  <c r="M169" i="5"/>
  <c r="N169" i="5"/>
  <c r="O169" i="5"/>
  <c r="P169" i="5"/>
  <c r="S169" i="5"/>
  <c r="T169" i="5"/>
  <c r="F170" i="5"/>
  <c r="G170" i="5"/>
  <c r="H170" i="5"/>
  <c r="I170" i="5"/>
  <c r="J170" i="5"/>
  <c r="K170" i="5"/>
  <c r="M170" i="5"/>
  <c r="N170" i="5"/>
  <c r="O170" i="5"/>
  <c r="P170" i="5"/>
  <c r="S170" i="5"/>
  <c r="T170" i="5"/>
  <c r="F171" i="5"/>
  <c r="G171" i="5"/>
  <c r="H171" i="5"/>
  <c r="I171" i="5"/>
  <c r="J171" i="5"/>
  <c r="K171" i="5"/>
  <c r="M171" i="5"/>
  <c r="N171" i="5"/>
  <c r="O171" i="5"/>
  <c r="P171" i="5"/>
  <c r="S171" i="5"/>
  <c r="T171" i="5"/>
  <c r="F172" i="5"/>
  <c r="G172" i="5"/>
  <c r="H172" i="5"/>
  <c r="I172" i="5"/>
  <c r="J172" i="5"/>
  <c r="K172" i="5"/>
  <c r="M172" i="5"/>
  <c r="N172" i="5"/>
  <c r="O172" i="5"/>
  <c r="P172" i="5"/>
  <c r="S172" i="5"/>
  <c r="T172" i="5"/>
  <c r="F173" i="5"/>
  <c r="G173" i="5"/>
  <c r="H173" i="5"/>
  <c r="I173" i="5"/>
  <c r="J173" i="5"/>
  <c r="K173" i="5"/>
  <c r="M173" i="5"/>
  <c r="N173" i="5"/>
  <c r="O173" i="5"/>
  <c r="P173" i="5"/>
  <c r="S173" i="5"/>
  <c r="T173" i="5"/>
  <c r="F174" i="5"/>
  <c r="G174" i="5"/>
  <c r="H174" i="5"/>
  <c r="I174" i="5"/>
  <c r="J174" i="5"/>
  <c r="K174" i="5"/>
  <c r="M174" i="5"/>
  <c r="N174" i="5"/>
  <c r="O174" i="5"/>
  <c r="P174" i="5"/>
  <c r="S174" i="5"/>
  <c r="T174" i="5"/>
  <c r="F175" i="5"/>
  <c r="G175" i="5"/>
  <c r="H175" i="5"/>
  <c r="I175" i="5"/>
  <c r="J175" i="5"/>
  <c r="K175" i="5"/>
  <c r="M175" i="5"/>
  <c r="N175" i="5"/>
  <c r="O175" i="5"/>
  <c r="P175" i="5"/>
  <c r="S175" i="5"/>
  <c r="T175" i="5"/>
  <c r="F176" i="5"/>
  <c r="G176" i="5"/>
  <c r="H176" i="5"/>
  <c r="I176" i="5"/>
  <c r="J176" i="5"/>
  <c r="K176" i="5"/>
  <c r="M176" i="5"/>
  <c r="R176" i="5" s="1"/>
  <c r="N176" i="5"/>
  <c r="O176" i="5"/>
  <c r="P176" i="5"/>
  <c r="S176" i="5"/>
  <c r="T176" i="5"/>
  <c r="U176" i="5"/>
  <c r="F177" i="5"/>
  <c r="G177" i="5"/>
  <c r="H177" i="5"/>
  <c r="I177" i="5"/>
  <c r="J177" i="5"/>
  <c r="K177" i="5"/>
  <c r="M177" i="5"/>
  <c r="N177" i="5"/>
  <c r="O177" i="5"/>
  <c r="P177" i="5"/>
  <c r="S177" i="5"/>
  <c r="T177" i="5"/>
  <c r="F178" i="5"/>
  <c r="G178" i="5"/>
  <c r="H178" i="5"/>
  <c r="I178" i="5"/>
  <c r="J178" i="5"/>
  <c r="K178" i="5"/>
  <c r="M178" i="5"/>
  <c r="N178" i="5"/>
  <c r="O178" i="5"/>
  <c r="P178" i="5"/>
  <c r="S178" i="5"/>
  <c r="T178" i="5"/>
  <c r="F179" i="5"/>
  <c r="G179" i="5"/>
  <c r="H179" i="5"/>
  <c r="I179" i="5"/>
  <c r="J179" i="5"/>
  <c r="K179" i="5"/>
  <c r="M179" i="5"/>
  <c r="N179" i="5"/>
  <c r="O179" i="5"/>
  <c r="P179" i="5"/>
  <c r="S179" i="5"/>
  <c r="T179" i="5"/>
  <c r="F180" i="5"/>
  <c r="G180" i="5"/>
  <c r="H180" i="5"/>
  <c r="I180" i="5"/>
  <c r="J180" i="5"/>
  <c r="K180" i="5"/>
  <c r="M180" i="5"/>
  <c r="N180" i="5"/>
  <c r="O180" i="5"/>
  <c r="P180" i="5"/>
  <c r="S180" i="5"/>
  <c r="T180" i="5"/>
  <c r="F181" i="5"/>
  <c r="G181" i="5"/>
  <c r="H181" i="5"/>
  <c r="I181" i="5"/>
  <c r="J181" i="5"/>
  <c r="K181" i="5"/>
  <c r="M181" i="5"/>
  <c r="N181" i="5"/>
  <c r="O181" i="5"/>
  <c r="P181" i="5"/>
  <c r="S181" i="5"/>
  <c r="T181" i="5"/>
  <c r="F182" i="5"/>
  <c r="G182" i="5"/>
  <c r="H182" i="5"/>
  <c r="I182" i="5"/>
  <c r="J182" i="5"/>
  <c r="K182" i="5"/>
  <c r="M182" i="5"/>
  <c r="N182" i="5"/>
  <c r="O182" i="5"/>
  <c r="P182" i="5"/>
  <c r="S182" i="5"/>
  <c r="T182" i="5"/>
  <c r="F183" i="5"/>
  <c r="G183" i="5"/>
  <c r="H183" i="5"/>
  <c r="I183" i="5"/>
  <c r="J183" i="5"/>
  <c r="K183" i="5"/>
  <c r="M183" i="5"/>
  <c r="N183" i="5"/>
  <c r="O183" i="5"/>
  <c r="P183" i="5"/>
  <c r="S183" i="5"/>
  <c r="T183" i="5"/>
  <c r="F184" i="5"/>
  <c r="G184" i="5"/>
  <c r="H184" i="5"/>
  <c r="I184" i="5"/>
  <c r="J184" i="5"/>
  <c r="K184" i="5"/>
  <c r="M184" i="5"/>
  <c r="N184" i="5"/>
  <c r="R184" i="5" s="1"/>
  <c r="O184" i="5"/>
  <c r="P184" i="5"/>
  <c r="S184" i="5"/>
  <c r="T184" i="5"/>
  <c r="F185" i="5"/>
  <c r="G185" i="5"/>
  <c r="H185" i="5"/>
  <c r="I185" i="5"/>
  <c r="J185" i="5"/>
  <c r="K185" i="5"/>
  <c r="M185" i="5"/>
  <c r="U185" i="5" s="1"/>
  <c r="N185" i="5"/>
  <c r="R185" i="5" s="1"/>
  <c r="O185" i="5"/>
  <c r="P185" i="5"/>
  <c r="S185" i="5"/>
  <c r="T185" i="5"/>
  <c r="F186" i="5"/>
  <c r="G186" i="5"/>
  <c r="H186" i="5"/>
  <c r="I186" i="5"/>
  <c r="J186" i="5"/>
  <c r="K186" i="5"/>
  <c r="M186" i="5"/>
  <c r="N186" i="5"/>
  <c r="O186" i="5"/>
  <c r="P186" i="5"/>
  <c r="S186" i="5"/>
  <c r="T186" i="5"/>
  <c r="F187" i="5"/>
  <c r="G187" i="5"/>
  <c r="H187" i="5"/>
  <c r="I187" i="5"/>
  <c r="J187" i="5"/>
  <c r="K187" i="5"/>
  <c r="M187" i="5"/>
  <c r="N187" i="5"/>
  <c r="O187" i="5"/>
  <c r="P187" i="5"/>
  <c r="S187" i="5"/>
  <c r="T187" i="5"/>
  <c r="F188" i="5"/>
  <c r="G188" i="5"/>
  <c r="H188" i="5"/>
  <c r="I188" i="5"/>
  <c r="J188" i="5"/>
  <c r="K188" i="5"/>
  <c r="M188" i="5"/>
  <c r="N188" i="5"/>
  <c r="O188" i="5"/>
  <c r="Q188" i="5" s="1"/>
  <c r="P188" i="5"/>
  <c r="S188" i="5"/>
  <c r="T188" i="5"/>
  <c r="F189" i="5"/>
  <c r="G189" i="5"/>
  <c r="H189" i="5"/>
  <c r="I189" i="5"/>
  <c r="J189" i="5"/>
  <c r="K189" i="5"/>
  <c r="M189" i="5"/>
  <c r="N189" i="5"/>
  <c r="O189" i="5"/>
  <c r="P189" i="5"/>
  <c r="S189" i="5"/>
  <c r="T189" i="5"/>
  <c r="F190" i="5"/>
  <c r="G190" i="5"/>
  <c r="H190" i="5"/>
  <c r="I190" i="5"/>
  <c r="J190" i="5"/>
  <c r="K190" i="5"/>
  <c r="M190" i="5"/>
  <c r="N190" i="5"/>
  <c r="O190" i="5"/>
  <c r="P190" i="5"/>
  <c r="S190" i="5"/>
  <c r="T190" i="5"/>
  <c r="F191" i="5"/>
  <c r="G191" i="5"/>
  <c r="H191" i="5"/>
  <c r="I191" i="5"/>
  <c r="J191" i="5"/>
  <c r="K191" i="5"/>
  <c r="M191" i="5"/>
  <c r="N191" i="5"/>
  <c r="O191" i="5"/>
  <c r="P191" i="5"/>
  <c r="S191" i="5"/>
  <c r="T191" i="5"/>
  <c r="F192" i="5"/>
  <c r="G192" i="5"/>
  <c r="H192" i="5"/>
  <c r="I192" i="5"/>
  <c r="J192" i="5"/>
  <c r="K192" i="5"/>
  <c r="M192" i="5"/>
  <c r="N192" i="5"/>
  <c r="O192" i="5"/>
  <c r="P192" i="5"/>
  <c r="S192" i="5"/>
  <c r="T192" i="5"/>
  <c r="F193" i="5"/>
  <c r="G193" i="5"/>
  <c r="H193" i="5"/>
  <c r="I193" i="5"/>
  <c r="J193" i="5"/>
  <c r="K193" i="5"/>
  <c r="M193" i="5"/>
  <c r="R193" i="5" s="1"/>
  <c r="N193" i="5"/>
  <c r="O193" i="5"/>
  <c r="P193" i="5"/>
  <c r="S193" i="5"/>
  <c r="T193" i="5"/>
  <c r="F194" i="5"/>
  <c r="G194" i="5"/>
  <c r="H194" i="5"/>
  <c r="I194" i="5"/>
  <c r="J194" i="5"/>
  <c r="K194" i="5"/>
  <c r="M194" i="5"/>
  <c r="N194" i="5"/>
  <c r="O194" i="5"/>
  <c r="P194" i="5"/>
  <c r="S194" i="5"/>
  <c r="T194" i="5"/>
  <c r="F195" i="5"/>
  <c r="G195" i="5"/>
  <c r="H195" i="5"/>
  <c r="I195" i="5"/>
  <c r="J195" i="5"/>
  <c r="K195" i="5"/>
  <c r="M195" i="5"/>
  <c r="N195" i="5"/>
  <c r="O195" i="5"/>
  <c r="P195" i="5"/>
  <c r="S195" i="5"/>
  <c r="T195" i="5"/>
  <c r="F196" i="5"/>
  <c r="G196" i="5"/>
  <c r="H196" i="5"/>
  <c r="I196" i="5"/>
  <c r="J196" i="5"/>
  <c r="K196" i="5"/>
  <c r="M196" i="5"/>
  <c r="N196" i="5"/>
  <c r="O196" i="5"/>
  <c r="P196" i="5"/>
  <c r="S196" i="5"/>
  <c r="T196" i="5"/>
  <c r="F197" i="5"/>
  <c r="G197" i="5"/>
  <c r="H197" i="5"/>
  <c r="I197" i="5"/>
  <c r="J197" i="5"/>
  <c r="K197" i="5"/>
  <c r="M197" i="5"/>
  <c r="U197" i="5" s="1"/>
  <c r="N197" i="5"/>
  <c r="O197" i="5"/>
  <c r="P197" i="5"/>
  <c r="S197" i="5"/>
  <c r="T197" i="5"/>
  <c r="F198" i="5"/>
  <c r="G198" i="5"/>
  <c r="H198" i="5"/>
  <c r="I198" i="5"/>
  <c r="J198" i="5"/>
  <c r="K198" i="5"/>
  <c r="M198" i="5"/>
  <c r="N198" i="5"/>
  <c r="O198" i="5"/>
  <c r="P198" i="5"/>
  <c r="S198" i="5"/>
  <c r="T198" i="5"/>
  <c r="F199" i="5"/>
  <c r="G199" i="5"/>
  <c r="H199" i="5"/>
  <c r="I199" i="5"/>
  <c r="J199" i="5"/>
  <c r="K199" i="5"/>
  <c r="M199" i="5"/>
  <c r="N199" i="5"/>
  <c r="O199" i="5"/>
  <c r="P199" i="5"/>
  <c r="S199" i="5"/>
  <c r="T199" i="5"/>
  <c r="F200" i="5"/>
  <c r="G200" i="5"/>
  <c r="H200" i="5"/>
  <c r="I200" i="5"/>
  <c r="J200" i="5"/>
  <c r="K200" i="5"/>
  <c r="M200" i="5"/>
  <c r="N200" i="5"/>
  <c r="O200" i="5"/>
  <c r="P200" i="5"/>
  <c r="S200" i="5"/>
  <c r="T200" i="5"/>
  <c r="F201" i="5"/>
  <c r="G201" i="5"/>
  <c r="H201" i="5"/>
  <c r="I201" i="5"/>
  <c r="J201" i="5"/>
  <c r="K201" i="5"/>
  <c r="M201" i="5"/>
  <c r="N201" i="5"/>
  <c r="O201" i="5"/>
  <c r="P201" i="5"/>
  <c r="S201" i="5"/>
  <c r="T201" i="5"/>
  <c r="F202" i="5"/>
  <c r="G202" i="5"/>
  <c r="H202" i="5"/>
  <c r="I202" i="5"/>
  <c r="J202" i="5"/>
  <c r="K202" i="5"/>
  <c r="M202" i="5"/>
  <c r="N202" i="5"/>
  <c r="O202" i="5"/>
  <c r="P202" i="5"/>
  <c r="S202" i="5"/>
  <c r="T202" i="5"/>
  <c r="F203" i="5"/>
  <c r="G203" i="5"/>
  <c r="H203" i="5"/>
  <c r="I203" i="5"/>
  <c r="J203" i="5"/>
  <c r="K203" i="5"/>
  <c r="M203" i="5"/>
  <c r="N203" i="5"/>
  <c r="O203" i="5"/>
  <c r="P203" i="5"/>
  <c r="S203" i="5"/>
  <c r="T203" i="5"/>
  <c r="F204" i="5"/>
  <c r="G204" i="5"/>
  <c r="H204" i="5"/>
  <c r="I204" i="5"/>
  <c r="J204" i="5"/>
  <c r="K204" i="5"/>
  <c r="M204" i="5"/>
  <c r="N204" i="5"/>
  <c r="O204" i="5"/>
  <c r="Q204" i="5" s="1"/>
  <c r="P204" i="5"/>
  <c r="S204" i="5"/>
  <c r="T204" i="5"/>
  <c r="F205" i="5"/>
  <c r="G205" i="5"/>
  <c r="H205" i="5"/>
  <c r="I205" i="5"/>
  <c r="J205" i="5"/>
  <c r="K205" i="5"/>
  <c r="M205" i="5"/>
  <c r="R205" i="5" s="1"/>
  <c r="N205" i="5"/>
  <c r="O205" i="5"/>
  <c r="P205" i="5"/>
  <c r="S205" i="5"/>
  <c r="T205" i="5"/>
  <c r="F206" i="5"/>
  <c r="G206" i="5"/>
  <c r="H206" i="5"/>
  <c r="I206" i="5"/>
  <c r="J206" i="5"/>
  <c r="K206" i="5"/>
  <c r="M206" i="5"/>
  <c r="N206" i="5"/>
  <c r="O206" i="5"/>
  <c r="P206" i="5"/>
  <c r="S206" i="5"/>
  <c r="T206" i="5"/>
  <c r="F207" i="5"/>
  <c r="G207" i="5"/>
  <c r="H207" i="5"/>
  <c r="I207" i="5"/>
  <c r="J207" i="5"/>
  <c r="K207" i="5"/>
  <c r="M207" i="5"/>
  <c r="N207" i="5"/>
  <c r="O207" i="5"/>
  <c r="P207" i="5"/>
  <c r="S207" i="5"/>
  <c r="T207" i="5"/>
  <c r="F208" i="5"/>
  <c r="G208" i="5"/>
  <c r="H208" i="5"/>
  <c r="I208" i="5"/>
  <c r="J208" i="5"/>
  <c r="K208" i="5"/>
  <c r="M208" i="5"/>
  <c r="N208" i="5"/>
  <c r="O208" i="5"/>
  <c r="P208" i="5"/>
  <c r="S208" i="5"/>
  <c r="T208" i="5"/>
  <c r="F209" i="5"/>
  <c r="G209" i="5"/>
  <c r="H209" i="5"/>
  <c r="I209" i="5"/>
  <c r="J209" i="5"/>
  <c r="K209" i="5"/>
  <c r="M209" i="5"/>
  <c r="N209" i="5"/>
  <c r="O209" i="5"/>
  <c r="P209" i="5"/>
  <c r="S209" i="5"/>
  <c r="T209" i="5"/>
  <c r="F210" i="5"/>
  <c r="G210" i="5"/>
  <c r="H210" i="5"/>
  <c r="I210" i="5"/>
  <c r="J210" i="5"/>
  <c r="K210" i="5"/>
  <c r="M210" i="5"/>
  <c r="N210" i="5"/>
  <c r="O210" i="5"/>
  <c r="P210" i="5"/>
  <c r="S210" i="5"/>
  <c r="T210" i="5"/>
  <c r="F211" i="5"/>
  <c r="G211" i="5"/>
  <c r="H211" i="5"/>
  <c r="I211" i="5"/>
  <c r="J211" i="5"/>
  <c r="K211" i="5"/>
  <c r="M211" i="5"/>
  <c r="N211" i="5"/>
  <c r="O211" i="5"/>
  <c r="P211" i="5"/>
  <c r="S211" i="5"/>
  <c r="T211" i="5"/>
  <c r="F212" i="5"/>
  <c r="G212" i="5"/>
  <c r="H212" i="5"/>
  <c r="I212" i="5"/>
  <c r="J212" i="5"/>
  <c r="K212" i="5"/>
  <c r="M212" i="5"/>
  <c r="N212" i="5"/>
  <c r="O212" i="5"/>
  <c r="P212" i="5"/>
  <c r="S212" i="5"/>
  <c r="T212" i="5"/>
  <c r="F213" i="5"/>
  <c r="G213" i="5"/>
  <c r="H213" i="5"/>
  <c r="I213" i="5"/>
  <c r="J213" i="5"/>
  <c r="K213" i="5"/>
  <c r="M213" i="5"/>
  <c r="N213" i="5"/>
  <c r="O213" i="5"/>
  <c r="P213" i="5"/>
  <c r="Q213" i="5" s="1"/>
  <c r="S213" i="5"/>
  <c r="T213" i="5"/>
  <c r="F214" i="5"/>
  <c r="G214" i="5"/>
  <c r="H214" i="5"/>
  <c r="I214" i="5"/>
  <c r="J214" i="5"/>
  <c r="K214" i="5"/>
  <c r="M214" i="5"/>
  <c r="N214" i="5"/>
  <c r="O214" i="5"/>
  <c r="P214" i="5"/>
  <c r="S214" i="5"/>
  <c r="T214" i="5"/>
  <c r="F215" i="5"/>
  <c r="G215" i="5"/>
  <c r="H215" i="5"/>
  <c r="I215" i="5"/>
  <c r="J215" i="5"/>
  <c r="K215" i="5"/>
  <c r="M215" i="5"/>
  <c r="N215" i="5"/>
  <c r="O215" i="5"/>
  <c r="P215" i="5"/>
  <c r="S215" i="5"/>
  <c r="T215" i="5"/>
  <c r="F216" i="5"/>
  <c r="G216" i="5"/>
  <c r="H216" i="5"/>
  <c r="I216" i="5"/>
  <c r="J216" i="5"/>
  <c r="K216" i="5"/>
  <c r="M216" i="5"/>
  <c r="U216" i="5" s="1"/>
  <c r="N216" i="5"/>
  <c r="O216" i="5"/>
  <c r="P216" i="5"/>
  <c r="S216" i="5"/>
  <c r="T216" i="5"/>
  <c r="F217" i="5"/>
  <c r="G217" i="5"/>
  <c r="H217" i="5"/>
  <c r="I217" i="5"/>
  <c r="J217" i="5"/>
  <c r="K217" i="5"/>
  <c r="M217" i="5"/>
  <c r="N217" i="5"/>
  <c r="O217" i="5"/>
  <c r="P217" i="5"/>
  <c r="S217" i="5"/>
  <c r="T217" i="5"/>
  <c r="F218" i="5"/>
  <c r="G218" i="5"/>
  <c r="H218" i="5"/>
  <c r="I218" i="5"/>
  <c r="J218" i="5"/>
  <c r="K218" i="5"/>
  <c r="M218" i="5"/>
  <c r="N218" i="5"/>
  <c r="O218" i="5"/>
  <c r="P218" i="5"/>
  <c r="S218" i="5"/>
  <c r="T218" i="5"/>
  <c r="F219" i="5"/>
  <c r="G219" i="5"/>
  <c r="H219" i="5"/>
  <c r="I219" i="5"/>
  <c r="J219" i="5"/>
  <c r="K219" i="5"/>
  <c r="M219" i="5"/>
  <c r="N219" i="5"/>
  <c r="O219" i="5"/>
  <c r="P219" i="5"/>
  <c r="S219" i="5"/>
  <c r="T219" i="5"/>
  <c r="F220" i="5"/>
  <c r="G220" i="5"/>
  <c r="H220" i="5"/>
  <c r="I220" i="5"/>
  <c r="J220" i="5"/>
  <c r="K220" i="5"/>
  <c r="M220" i="5"/>
  <c r="N220" i="5"/>
  <c r="O220" i="5"/>
  <c r="P220" i="5"/>
  <c r="S220" i="5"/>
  <c r="T220" i="5"/>
  <c r="F221" i="5"/>
  <c r="G221" i="5"/>
  <c r="H221" i="5"/>
  <c r="I221" i="5"/>
  <c r="J221" i="5"/>
  <c r="K221" i="5"/>
  <c r="M221" i="5"/>
  <c r="N221" i="5"/>
  <c r="O221" i="5"/>
  <c r="P221" i="5"/>
  <c r="S221" i="5"/>
  <c r="T221" i="5"/>
  <c r="F222" i="5"/>
  <c r="G222" i="5"/>
  <c r="H222" i="5"/>
  <c r="I222" i="5"/>
  <c r="J222" i="5"/>
  <c r="K222" i="5"/>
  <c r="M222" i="5"/>
  <c r="N222" i="5"/>
  <c r="O222" i="5"/>
  <c r="P222" i="5"/>
  <c r="S222" i="5"/>
  <c r="T222" i="5"/>
  <c r="F223" i="5"/>
  <c r="G223" i="5"/>
  <c r="H223" i="5"/>
  <c r="I223" i="5"/>
  <c r="J223" i="5"/>
  <c r="K223" i="5"/>
  <c r="M223" i="5"/>
  <c r="N223" i="5"/>
  <c r="O223" i="5"/>
  <c r="P223" i="5"/>
  <c r="S223" i="5"/>
  <c r="T223" i="5"/>
  <c r="F224" i="5"/>
  <c r="G224" i="5"/>
  <c r="H224" i="5"/>
  <c r="I224" i="5"/>
  <c r="J224" i="5"/>
  <c r="K224" i="5"/>
  <c r="M224" i="5"/>
  <c r="N224" i="5"/>
  <c r="O224" i="5"/>
  <c r="P224" i="5"/>
  <c r="S224" i="5"/>
  <c r="T224" i="5"/>
  <c r="F225" i="5"/>
  <c r="G225" i="5"/>
  <c r="H225" i="5"/>
  <c r="I225" i="5"/>
  <c r="J225" i="5"/>
  <c r="K225" i="5"/>
  <c r="M225" i="5"/>
  <c r="N225" i="5"/>
  <c r="O225" i="5"/>
  <c r="P225" i="5"/>
  <c r="S225" i="5"/>
  <c r="T225" i="5"/>
  <c r="F226" i="5"/>
  <c r="G226" i="5"/>
  <c r="H226" i="5"/>
  <c r="I226" i="5"/>
  <c r="J226" i="5"/>
  <c r="K226" i="5"/>
  <c r="M226" i="5"/>
  <c r="N226" i="5"/>
  <c r="O226" i="5"/>
  <c r="P226" i="5"/>
  <c r="S226" i="5"/>
  <c r="T226" i="5"/>
  <c r="F227" i="5"/>
  <c r="G227" i="5"/>
  <c r="H227" i="5"/>
  <c r="I227" i="5"/>
  <c r="J227" i="5"/>
  <c r="K227" i="5"/>
  <c r="M227" i="5"/>
  <c r="N227" i="5"/>
  <c r="O227" i="5"/>
  <c r="P227" i="5"/>
  <c r="S227" i="5"/>
  <c r="T227" i="5"/>
  <c r="F228" i="5"/>
  <c r="G228" i="5"/>
  <c r="H228" i="5"/>
  <c r="I228" i="5"/>
  <c r="J228" i="5"/>
  <c r="K228" i="5"/>
  <c r="M228" i="5"/>
  <c r="R228" i="5" s="1"/>
  <c r="N228" i="5"/>
  <c r="O228" i="5"/>
  <c r="P228" i="5"/>
  <c r="S228" i="5"/>
  <c r="T228" i="5"/>
  <c r="F229" i="5"/>
  <c r="G229" i="5"/>
  <c r="H229" i="5"/>
  <c r="I229" i="5"/>
  <c r="J229" i="5"/>
  <c r="K229" i="5"/>
  <c r="M229" i="5"/>
  <c r="U229" i="5" s="1"/>
  <c r="N229" i="5"/>
  <c r="O229" i="5"/>
  <c r="P229" i="5"/>
  <c r="R229" i="5"/>
  <c r="S229" i="5"/>
  <c r="T229" i="5"/>
  <c r="F230" i="5"/>
  <c r="G230" i="5"/>
  <c r="H230" i="5"/>
  <c r="I230" i="5"/>
  <c r="J230" i="5"/>
  <c r="K230" i="5"/>
  <c r="M230" i="5"/>
  <c r="N230" i="5"/>
  <c r="O230" i="5"/>
  <c r="P230" i="5"/>
  <c r="S230" i="5"/>
  <c r="T230" i="5"/>
  <c r="F231" i="5"/>
  <c r="G231" i="5"/>
  <c r="H231" i="5"/>
  <c r="I231" i="5"/>
  <c r="J231" i="5"/>
  <c r="K231" i="5"/>
  <c r="M231" i="5"/>
  <c r="R231" i="5" s="1"/>
  <c r="N231" i="5"/>
  <c r="O231" i="5"/>
  <c r="P231" i="5"/>
  <c r="S231" i="5"/>
  <c r="T231" i="5"/>
  <c r="F232" i="5"/>
  <c r="G232" i="5"/>
  <c r="H232" i="5"/>
  <c r="I232" i="5"/>
  <c r="J232" i="5"/>
  <c r="K232" i="5"/>
  <c r="M232" i="5"/>
  <c r="N232" i="5"/>
  <c r="O232" i="5"/>
  <c r="P232" i="5"/>
  <c r="Q232" i="5" s="1"/>
  <c r="S232" i="5"/>
  <c r="T232" i="5"/>
  <c r="F233" i="5"/>
  <c r="G233" i="5"/>
  <c r="H233" i="5"/>
  <c r="I233" i="5"/>
  <c r="J233" i="5"/>
  <c r="K233" i="5"/>
  <c r="M233" i="5"/>
  <c r="N233" i="5"/>
  <c r="O233" i="5"/>
  <c r="P233" i="5"/>
  <c r="S233" i="5"/>
  <c r="T233" i="5"/>
  <c r="F234" i="5"/>
  <c r="G234" i="5"/>
  <c r="H234" i="5"/>
  <c r="I234" i="5"/>
  <c r="J234" i="5"/>
  <c r="K234" i="5"/>
  <c r="M234" i="5"/>
  <c r="N234" i="5"/>
  <c r="O234" i="5"/>
  <c r="P234" i="5"/>
  <c r="S234" i="5"/>
  <c r="T234" i="5"/>
  <c r="F235" i="5"/>
  <c r="G235" i="5"/>
  <c r="H235" i="5"/>
  <c r="I235" i="5"/>
  <c r="J235" i="5"/>
  <c r="K235" i="5"/>
  <c r="M235" i="5"/>
  <c r="N235" i="5"/>
  <c r="O235" i="5"/>
  <c r="P235" i="5"/>
  <c r="S235" i="5"/>
  <c r="T235" i="5"/>
  <c r="F236" i="5"/>
  <c r="G236" i="5"/>
  <c r="H236" i="5"/>
  <c r="I236" i="5"/>
  <c r="J236" i="5"/>
  <c r="K236" i="5"/>
  <c r="M236" i="5"/>
  <c r="N236" i="5"/>
  <c r="O236" i="5"/>
  <c r="P236" i="5"/>
  <c r="S236" i="5"/>
  <c r="T236" i="5"/>
  <c r="F237" i="5"/>
  <c r="G237" i="5"/>
  <c r="H237" i="5"/>
  <c r="I237" i="5"/>
  <c r="J237" i="5"/>
  <c r="K237" i="5"/>
  <c r="M237" i="5"/>
  <c r="N237" i="5"/>
  <c r="O237" i="5"/>
  <c r="P237" i="5"/>
  <c r="S237" i="5"/>
  <c r="T237" i="5"/>
  <c r="F238" i="5"/>
  <c r="G238" i="5"/>
  <c r="H238" i="5"/>
  <c r="I238" i="5"/>
  <c r="J238" i="5"/>
  <c r="K238" i="5"/>
  <c r="M238" i="5"/>
  <c r="N238" i="5"/>
  <c r="O238" i="5"/>
  <c r="P238" i="5"/>
  <c r="S238" i="5"/>
  <c r="T238" i="5"/>
  <c r="F239" i="5"/>
  <c r="G239" i="5"/>
  <c r="H239" i="5"/>
  <c r="I239" i="5"/>
  <c r="J239" i="5"/>
  <c r="K239" i="5"/>
  <c r="M239" i="5"/>
  <c r="N239" i="5"/>
  <c r="O239" i="5"/>
  <c r="P239" i="5"/>
  <c r="S239" i="5"/>
  <c r="T239" i="5"/>
  <c r="F240" i="5"/>
  <c r="G240" i="5"/>
  <c r="H240" i="5"/>
  <c r="I240" i="5"/>
  <c r="J240" i="5"/>
  <c r="K240" i="5"/>
  <c r="M240" i="5"/>
  <c r="N240" i="5"/>
  <c r="O240" i="5"/>
  <c r="P240" i="5"/>
  <c r="R240" i="5"/>
  <c r="S240" i="5"/>
  <c r="T240" i="5"/>
  <c r="F241" i="5"/>
  <c r="G241" i="5"/>
  <c r="H241" i="5"/>
  <c r="I241" i="5"/>
  <c r="J241" i="5"/>
  <c r="K241" i="5"/>
  <c r="M241" i="5"/>
  <c r="R241" i="5" s="1"/>
  <c r="N241" i="5"/>
  <c r="O241" i="5"/>
  <c r="P241" i="5"/>
  <c r="S241" i="5"/>
  <c r="T241" i="5"/>
  <c r="F242" i="5"/>
  <c r="G242" i="5"/>
  <c r="H242" i="5"/>
  <c r="I242" i="5"/>
  <c r="J242" i="5"/>
  <c r="K242" i="5"/>
  <c r="M242" i="5"/>
  <c r="N242" i="5"/>
  <c r="O242" i="5"/>
  <c r="P242" i="5"/>
  <c r="S242" i="5"/>
  <c r="T242" i="5"/>
  <c r="F243" i="5"/>
  <c r="G243" i="5"/>
  <c r="H243" i="5"/>
  <c r="I243" i="5"/>
  <c r="J243" i="5"/>
  <c r="K243" i="5"/>
  <c r="M243" i="5"/>
  <c r="N243" i="5"/>
  <c r="O243" i="5"/>
  <c r="P243" i="5"/>
  <c r="S243" i="5"/>
  <c r="T243" i="5"/>
  <c r="F244" i="5"/>
  <c r="G244" i="5"/>
  <c r="H244" i="5"/>
  <c r="I244" i="5"/>
  <c r="J244" i="5"/>
  <c r="K244" i="5"/>
  <c r="M244" i="5"/>
  <c r="N244" i="5"/>
  <c r="O244" i="5"/>
  <c r="P244" i="5"/>
  <c r="S244" i="5"/>
  <c r="T244" i="5"/>
  <c r="F245" i="5"/>
  <c r="G245" i="5"/>
  <c r="H245" i="5"/>
  <c r="I245" i="5"/>
  <c r="J245" i="5"/>
  <c r="K245" i="5"/>
  <c r="M245" i="5"/>
  <c r="R245" i="5" s="1"/>
  <c r="N245" i="5"/>
  <c r="O245" i="5"/>
  <c r="P245" i="5"/>
  <c r="S245" i="5"/>
  <c r="T245" i="5"/>
  <c r="F246" i="5"/>
  <c r="G246" i="5"/>
  <c r="H246" i="5"/>
  <c r="I246" i="5"/>
  <c r="J246" i="5"/>
  <c r="K246" i="5"/>
  <c r="M246" i="5"/>
  <c r="N246" i="5"/>
  <c r="O246" i="5"/>
  <c r="P246" i="5"/>
  <c r="S246" i="5"/>
  <c r="T246" i="5"/>
  <c r="F247" i="5"/>
  <c r="G247" i="5"/>
  <c r="H247" i="5"/>
  <c r="I247" i="5"/>
  <c r="J247" i="5"/>
  <c r="K247" i="5"/>
  <c r="M247" i="5"/>
  <c r="N247" i="5"/>
  <c r="O247" i="5"/>
  <c r="P247" i="5"/>
  <c r="S247" i="5"/>
  <c r="T247" i="5"/>
  <c r="F248" i="5"/>
  <c r="G248" i="5"/>
  <c r="H248" i="5"/>
  <c r="I248" i="5"/>
  <c r="J248" i="5"/>
  <c r="K248" i="5"/>
  <c r="M248" i="5"/>
  <c r="N248" i="5"/>
  <c r="R248" i="5" s="1"/>
  <c r="O248" i="5"/>
  <c r="P248" i="5"/>
  <c r="S248" i="5"/>
  <c r="T248" i="5"/>
  <c r="F249" i="5"/>
  <c r="G249" i="5"/>
  <c r="H249" i="5"/>
  <c r="I249" i="5"/>
  <c r="J249" i="5"/>
  <c r="K249" i="5"/>
  <c r="M249" i="5"/>
  <c r="N249" i="5"/>
  <c r="O249" i="5"/>
  <c r="P249" i="5"/>
  <c r="S249" i="5"/>
  <c r="T249" i="5"/>
  <c r="F250" i="5"/>
  <c r="G250" i="5"/>
  <c r="H250" i="5"/>
  <c r="I250" i="5"/>
  <c r="J250" i="5"/>
  <c r="K250" i="5"/>
  <c r="M250" i="5"/>
  <c r="R250" i="5" s="1"/>
  <c r="N250" i="5"/>
  <c r="O250" i="5"/>
  <c r="P250" i="5"/>
  <c r="S250" i="5"/>
  <c r="T250" i="5"/>
  <c r="F251" i="5"/>
  <c r="G251" i="5"/>
  <c r="H251" i="5"/>
  <c r="I251" i="5"/>
  <c r="J251" i="5"/>
  <c r="K251" i="5"/>
  <c r="M251" i="5"/>
  <c r="N251" i="5"/>
  <c r="O251" i="5"/>
  <c r="P251" i="5"/>
  <c r="S251" i="5"/>
  <c r="T251" i="5"/>
  <c r="F252" i="5"/>
  <c r="G252" i="5"/>
  <c r="H252" i="5"/>
  <c r="I252" i="5"/>
  <c r="J252" i="5"/>
  <c r="K252" i="5"/>
  <c r="M252" i="5"/>
  <c r="N252" i="5"/>
  <c r="O252" i="5"/>
  <c r="P252" i="5"/>
  <c r="S252" i="5"/>
  <c r="T252" i="5"/>
  <c r="F253" i="5"/>
  <c r="G253" i="5"/>
  <c r="H253" i="5"/>
  <c r="I253" i="5"/>
  <c r="J253" i="5"/>
  <c r="K253" i="5"/>
  <c r="M253" i="5"/>
  <c r="N253" i="5"/>
  <c r="O253" i="5"/>
  <c r="P253" i="5"/>
  <c r="S253" i="5"/>
  <c r="T253" i="5"/>
  <c r="F254" i="5"/>
  <c r="G254" i="5"/>
  <c r="H254" i="5"/>
  <c r="I254" i="5"/>
  <c r="J254" i="5"/>
  <c r="K254" i="5"/>
  <c r="M254" i="5"/>
  <c r="N254" i="5"/>
  <c r="O254" i="5"/>
  <c r="P254" i="5"/>
  <c r="S254" i="5"/>
  <c r="T254" i="5"/>
  <c r="F255" i="5"/>
  <c r="G255" i="5"/>
  <c r="H255" i="5"/>
  <c r="I255" i="5"/>
  <c r="J255" i="5"/>
  <c r="K255" i="5"/>
  <c r="M255" i="5"/>
  <c r="N255" i="5"/>
  <c r="O255" i="5"/>
  <c r="P255" i="5"/>
  <c r="S255" i="5"/>
  <c r="T255" i="5"/>
  <c r="F256" i="5"/>
  <c r="G256" i="5"/>
  <c r="H256" i="5"/>
  <c r="I256" i="5"/>
  <c r="J256" i="5"/>
  <c r="K256" i="5"/>
  <c r="M256" i="5"/>
  <c r="N256" i="5"/>
  <c r="O256" i="5"/>
  <c r="P256" i="5"/>
  <c r="S256" i="5"/>
  <c r="T256" i="5"/>
  <c r="F257" i="5"/>
  <c r="G257" i="5"/>
  <c r="H257" i="5"/>
  <c r="I257" i="5"/>
  <c r="J257" i="5"/>
  <c r="K257" i="5"/>
  <c r="M257" i="5"/>
  <c r="N257" i="5"/>
  <c r="O257" i="5"/>
  <c r="P257" i="5"/>
  <c r="S257" i="5"/>
  <c r="T257" i="5"/>
  <c r="F258" i="5"/>
  <c r="G258" i="5"/>
  <c r="H258" i="5"/>
  <c r="I258" i="5"/>
  <c r="J258" i="5"/>
  <c r="K258" i="5"/>
  <c r="M258" i="5"/>
  <c r="N258" i="5"/>
  <c r="O258" i="5"/>
  <c r="P258" i="5"/>
  <c r="S258" i="5"/>
  <c r="T258" i="5"/>
  <c r="F259" i="5"/>
  <c r="G259" i="5"/>
  <c r="H259" i="5"/>
  <c r="I259" i="5"/>
  <c r="J259" i="5"/>
  <c r="K259" i="5"/>
  <c r="M259" i="5"/>
  <c r="N259" i="5"/>
  <c r="O259" i="5"/>
  <c r="P259" i="5"/>
  <c r="S259" i="5"/>
  <c r="T259" i="5"/>
  <c r="F260" i="5"/>
  <c r="G260" i="5"/>
  <c r="H260" i="5"/>
  <c r="I260" i="5"/>
  <c r="J260" i="5"/>
  <c r="K260" i="5"/>
  <c r="M260" i="5"/>
  <c r="N260" i="5"/>
  <c r="O260" i="5"/>
  <c r="P260" i="5"/>
  <c r="S260" i="5"/>
  <c r="T260" i="5"/>
  <c r="F261" i="5"/>
  <c r="G261" i="5"/>
  <c r="H261" i="5"/>
  <c r="I261" i="5"/>
  <c r="J261" i="5"/>
  <c r="K261" i="5"/>
  <c r="M261" i="5"/>
  <c r="R261" i="5" s="1"/>
  <c r="N261" i="5"/>
  <c r="O261" i="5"/>
  <c r="P261" i="5"/>
  <c r="S261" i="5"/>
  <c r="T261" i="5"/>
  <c r="F262" i="5"/>
  <c r="G262" i="5"/>
  <c r="H262" i="5"/>
  <c r="I262" i="5"/>
  <c r="J262" i="5"/>
  <c r="K262" i="5"/>
  <c r="M262" i="5"/>
  <c r="N262" i="5"/>
  <c r="O262" i="5"/>
  <c r="P262" i="5"/>
  <c r="S262" i="5"/>
  <c r="T262" i="5"/>
  <c r="F263" i="5"/>
  <c r="G263" i="5"/>
  <c r="H263" i="5"/>
  <c r="I263" i="5"/>
  <c r="J263" i="5"/>
  <c r="K263" i="5"/>
  <c r="M263" i="5"/>
  <c r="N263" i="5"/>
  <c r="O263" i="5"/>
  <c r="P263" i="5"/>
  <c r="S263" i="5"/>
  <c r="T263" i="5"/>
  <c r="F264" i="5"/>
  <c r="G264" i="5"/>
  <c r="H264" i="5"/>
  <c r="I264" i="5"/>
  <c r="J264" i="5"/>
  <c r="K264" i="5"/>
  <c r="M264" i="5"/>
  <c r="N264" i="5"/>
  <c r="O264" i="5"/>
  <c r="P264" i="5"/>
  <c r="S264" i="5"/>
  <c r="T264" i="5"/>
  <c r="F265" i="5"/>
  <c r="G265" i="5"/>
  <c r="H265" i="5"/>
  <c r="I265" i="5"/>
  <c r="J265" i="5"/>
  <c r="K265" i="5"/>
  <c r="M265" i="5"/>
  <c r="N265" i="5"/>
  <c r="O265" i="5"/>
  <c r="P265" i="5"/>
  <c r="S265" i="5"/>
  <c r="T265" i="5"/>
  <c r="F266" i="5"/>
  <c r="G266" i="5"/>
  <c r="H266" i="5"/>
  <c r="I266" i="5"/>
  <c r="J266" i="5"/>
  <c r="K266" i="5"/>
  <c r="M266" i="5"/>
  <c r="N266" i="5"/>
  <c r="O266" i="5"/>
  <c r="P266" i="5"/>
  <c r="S266" i="5"/>
  <c r="T266" i="5"/>
  <c r="F267" i="5"/>
  <c r="G267" i="5"/>
  <c r="H267" i="5"/>
  <c r="I267" i="5"/>
  <c r="J267" i="5"/>
  <c r="K267" i="5"/>
  <c r="M267" i="5"/>
  <c r="N267" i="5"/>
  <c r="O267" i="5"/>
  <c r="Q267" i="5" s="1"/>
  <c r="P267" i="5"/>
  <c r="S267" i="5"/>
  <c r="T267" i="5"/>
  <c r="F268" i="5"/>
  <c r="G268" i="5"/>
  <c r="H268" i="5"/>
  <c r="I268" i="5"/>
  <c r="J268" i="5"/>
  <c r="K268" i="5"/>
  <c r="M268" i="5"/>
  <c r="N268" i="5"/>
  <c r="O268" i="5"/>
  <c r="P268" i="5"/>
  <c r="S268" i="5"/>
  <c r="T268" i="5"/>
  <c r="F269" i="5"/>
  <c r="G269" i="5"/>
  <c r="H269" i="5"/>
  <c r="I269" i="5"/>
  <c r="J269" i="5"/>
  <c r="K269" i="5"/>
  <c r="M269" i="5"/>
  <c r="N269" i="5"/>
  <c r="O269" i="5"/>
  <c r="P269" i="5"/>
  <c r="S269" i="5"/>
  <c r="T269" i="5"/>
  <c r="F270" i="5"/>
  <c r="G270" i="5"/>
  <c r="H270" i="5"/>
  <c r="I270" i="5"/>
  <c r="J270" i="5"/>
  <c r="K270" i="5"/>
  <c r="M270" i="5"/>
  <c r="N270" i="5"/>
  <c r="R270" i="5" s="1"/>
  <c r="O270" i="5"/>
  <c r="P270" i="5"/>
  <c r="S270" i="5"/>
  <c r="T270" i="5"/>
  <c r="F271" i="5"/>
  <c r="G271" i="5"/>
  <c r="H271" i="5"/>
  <c r="I271" i="5"/>
  <c r="J271" i="5"/>
  <c r="K271" i="5"/>
  <c r="M271" i="5"/>
  <c r="N271" i="5"/>
  <c r="O271" i="5"/>
  <c r="P271" i="5"/>
  <c r="S271" i="5"/>
  <c r="T271" i="5"/>
  <c r="F272" i="5"/>
  <c r="G272" i="5"/>
  <c r="H272" i="5"/>
  <c r="I272" i="5"/>
  <c r="J272" i="5"/>
  <c r="K272" i="5"/>
  <c r="M272" i="5"/>
  <c r="N272" i="5"/>
  <c r="O272" i="5"/>
  <c r="P272" i="5"/>
  <c r="S272" i="5"/>
  <c r="T272" i="5"/>
  <c r="F273" i="5"/>
  <c r="G273" i="5"/>
  <c r="H273" i="5"/>
  <c r="I273" i="5"/>
  <c r="J273" i="5"/>
  <c r="K273" i="5"/>
  <c r="M273" i="5"/>
  <c r="N273" i="5"/>
  <c r="O273" i="5"/>
  <c r="P273" i="5"/>
  <c r="S273" i="5"/>
  <c r="T273" i="5"/>
  <c r="F274" i="5"/>
  <c r="G274" i="5"/>
  <c r="H274" i="5"/>
  <c r="I274" i="5"/>
  <c r="J274" i="5"/>
  <c r="K274" i="5"/>
  <c r="M274" i="5"/>
  <c r="U274" i="5" s="1"/>
  <c r="N274" i="5"/>
  <c r="O274" i="5"/>
  <c r="P274" i="5"/>
  <c r="S274" i="5"/>
  <c r="T274" i="5"/>
  <c r="F275" i="5"/>
  <c r="G275" i="5"/>
  <c r="H275" i="5"/>
  <c r="I275" i="5"/>
  <c r="J275" i="5"/>
  <c r="K275" i="5"/>
  <c r="M275" i="5"/>
  <c r="N275" i="5"/>
  <c r="O275" i="5"/>
  <c r="P275" i="5"/>
  <c r="S275" i="5"/>
  <c r="T275" i="5"/>
  <c r="F276" i="5"/>
  <c r="G276" i="5"/>
  <c r="H276" i="5"/>
  <c r="I276" i="5"/>
  <c r="J276" i="5"/>
  <c r="K276" i="5"/>
  <c r="M276" i="5"/>
  <c r="N276" i="5"/>
  <c r="O276" i="5"/>
  <c r="P276" i="5"/>
  <c r="S276" i="5"/>
  <c r="T276" i="5"/>
  <c r="F277" i="5"/>
  <c r="G277" i="5"/>
  <c r="H277" i="5"/>
  <c r="I277" i="5"/>
  <c r="J277" i="5"/>
  <c r="K277" i="5"/>
  <c r="M277" i="5"/>
  <c r="N277" i="5"/>
  <c r="O277" i="5"/>
  <c r="P277" i="5"/>
  <c r="Q277" i="5" s="1"/>
  <c r="S277" i="5"/>
  <c r="T277" i="5"/>
  <c r="F278" i="5"/>
  <c r="G278" i="5"/>
  <c r="H278" i="5"/>
  <c r="I278" i="5"/>
  <c r="J278" i="5"/>
  <c r="K278" i="5"/>
  <c r="M278" i="5"/>
  <c r="N278" i="5"/>
  <c r="O278" i="5"/>
  <c r="P278" i="5"/>
  <c r="S278" i="5"/>
  <c r="T278" i="5"/>
  <c r="F279" i="5"/>
  <c r="G279" i="5"/>
  <c r="H279" i="5"/>
  <c r="I279" i="5"/>
  <c r="J279" i="5"/>
  <c r="K279" i="5"/>
  <c r="M279" i="5"/>
  <c r="N279" i="5"/>
  <c r="O279" i="5"/>
  <c r="P279" i="5"/>
  <c r="S279" i="5"/>
  <c r="T279" i="5"/>
  <c r="F280" i="5"/>
  <c r="G280" i="5"/>
  <c r="H280" i="5"/>
  <c r="I280" i="5"/>
  <c r="J280" i="5"/>
  <c r="K280" i="5"/>
  <c r="M280" i="5"/>
  <c r="N280" i="5"/>
  <c r="O280" i="5"/>
  <c r="P280" i="5"/>
  <c r="S280" i="5"/>
  <c r="T280" i="5"/>
  <c r="F281" i="5"/>
  <c r="G281" i="5"/>
  <c r="H281" i="5"/>
  <c r="I281" i="5"/>
  <c r="J281" i="5"/>
  <c r="K281" i="5"/>
  <c r="M281" i="5"/>
  <c r="N281" i="5"/>
  <c r="O281" i="5"/>
  <c r="P281" i="5"/>
  <c r="S281" i="5"/>
  <c r="T281" i="5"/>
  <c r="F282" i="5"/>
  <c r="G282" i="5"/>
  <c r="H282" i="5"/>
  <c r="I282" i="5"/>
  <c r="J282" i="5"/>
  <c r="K282" i="5"/>
  <c r="M282" i="5"/>
  <c r="N282" i="5"/>
  <c r="O282" i="5"/>
  <c r="P282" i="5"/>
  <c r="S282" i="5"/>
  <c r="T282" i="5"/>
  <c r="F283" i="5"/>
  <c r="G283" i="5"/>
  <c r="H283" i="5"/>
  <c r="I283" i="5"/>
  <c r="J283" i="5"/>
  <c r="K283" i="5"/>
  <c r="M283" i="5"/>
  <c r="N283" i="5"/>
  <c r="O283" i="5"/>
  <c r="Q283" i="5" s="1"/>
  <c r="P283" i="5"/>
  <c r="S283" i="5"/>
  <c r="T283" i="5"/>
  <c r="F284" i="5"/>
  <c r="G284" i="5"/>
  <c r="H284" i="5"/>
  <c r="I284" i="5"/>
  <c r="J284" i="5"/>
  <c r="K284" i="5"/>
  <c r="M284" i="5"/>
  <c r="R284" i="5" s="1"/>
  <c r="N284" i="5"/>
  <c r="O284" i="5"/>
  <c r="P284" i="5"/>
  <c r="S284" i="5"/>
  <c r="T284" i="5"/>
  <c r="F285" i="5"/>
  <c r="G285" i="5"/>
  <c r="H285" i="5"/>
  <c r="I285" i="5"/>
  <c r="J285" i="5"/>
  <c r="K285" i="5"/>
  <c r="M285" i="5"/>
  <c r="N285" i="5"/>
  <c r="O285" i="5"/>
  <c r="P285" i="5"/>
  <c r="S285" i="5"/>
  <c r="T285" i="5"/>
  <c r="F286" i="5"/>
  <c r="G286" i="5"/>
  <c r="H286" i="5"/>
  <c r="I286" i="5"/>
  <c r="J286" i="5"/>
  <c r="K286" i="5"/>
  <c r="M286" i="5"/>
  <c r="N286" i="5"/>
  <c r="O286" i="5"/>
  <c r="P286" i="5"/>
  <c r="S286" i="5"/>
  <c r="T286" i="5"/>
  <c r="F287" i="5"/>
  <c r="G287" i="5"/>
  <c r="H287" i="5"/>
  <c r="I287" i="5"/>
  <c r="J287" i="5"/>
  <c r="K287" i="5"/>
  <c r="M287" i="5"/>
  <c r="N287" i="5"/>
  <c r="O287" i="5"/>
  <c r="P287" i="5"/>
  <c r="S287" i="5"/>
  <c r="T287" i="5"/>
  <c r="F288" i="5"/>
  <c r="G288" i="5"/>
  <c r="H288" i="5"/>
  <c r="I288" i="5"/>
  <c r="J288" i="5"/>
  <c r="K288" i="5"/>
  <c r="M288" i="5"/>
  <c r="N288" i="5"/>
  <c r="O288" i="5"/>
  <c r="P288" i="5"/>
  <c r="S288" i="5"/>
  <c r="T288" i="5"/>
  <c r="F289" i="5"/>
  <c r="G289" i="5"/>
  <c r="H289" i="5"/>
  <c r="I289" i="5"/>
  <c r="J289" i="5"/>
  <c r="K289" i="5"/>
  <c r="M289" i="5"/>
  <c r="N289" i="5"/>
  <c r="O289" i="5"/>
  <c r="P289" i="5"/>
  <c r="S289" i="5"/>
  <c r="T289" i="5"/>
  <c r="F290" i="5"/>
  <c r="G290" i="5"/>
  <c r="H290" i="5"/>
  <c r="I290" i="5"/>
  <c r="J290" i="5"/>
  <c r="K290" i="5"/>
  <c r="M290" i="5"/>
  <c r="N290" i="5"/>
  <c r="O290" i="5"/>
  <c r="P290" i="5"/>
  <c r="S290" i="5"/>
  <c r="T290" i="5"/>
  <c r="F291" i="5"/>
  <c r="G291" i="5"/>
  <c r="H291" i="5"/>
  <c r="I291" i="5"/>
  <c r="J291" i="5"/>
  <c r="K291" i="5"/>
  <c r="M291" i="5"/>
  <c r="N291" i="5"/>
  <c r="O291" i="5"/>
  <c r="P291" i="5"/>
  <c r="S291" i="5"/>
  <c r="T291" i="5"/>
  <c r="F292" i="5"/>
  <c r="G292" i="5"/>
  <c r="H292" i="5"/>
  <c r="I292" i="5"/>
  <c r="J292" i="5"/>
  <c r="K292" i="5"/>
  <c r="M292" i="5"/>
  <c r="N292" i="5"/>
  <c r="O292" i="5"/>
  <c r="P292" i="5"/>
  <c r="S292" i="5"/>
  <c r="T292" i="5"/>
  <c r="F293" i="5"/>
  <c r="G293" i="5"/>
  <c r="H293" i="5"/>
  <c r="I293" i="5"/>
  <c r="J293" i="5"/>
  <c r="K293" i="5"/>
  <c r="M293" i="5"/>
  <c r="N293" i="5"/>
  <c r="O293" i="5"/>
  <c r="P293" i="5"/>
  <c r="Q293" i="5"/>
  <c r="S293" i="5"/>
  <c r="T293" i="5"/>
  <c r="F294" i="5"/>
  <c r="G294" i="5"/>
  <c r="H294" i="5"/>
  <c r="I294" i="5"/>
  <c r="J294" i="5"/>
  <c r="K294" i="5"/>
  <c r="M294" i="5"/>
  <c r="N294" i="5"/>
  <c r="O294" i="5"/>
  <c r="P294" i="5"/>
  <c r="S294" i="5"/>
  <c r="T294" i="5"/>
  <c r="F295" i="5"/>
  <c r="G295" i="5"/>
  <c r="H295" i="5"/>
  <c r="I295" i="5"/>
  <c r="J295" i="5"/>
  <c r="K295" i="5"/>
  <c r="M295" i="5"/>
  <c r="R295" i="5" s="1"/>
  <c r="N295" i="5"/>
  <c r="O295" i="5"/>
  <c r="P295" i="5"/>
  <c r="S295" i="5"/>
  <c r="T295" i="5"/>
  <c r="F296" i="5"/>
  <c r="G296" i="5"/>
  <c r="H296" i="5"/>
  <c r="I296" i="5"/>
  <c r="J296" i="5"/>
  <c r="K296" i="5"/>
  <c r="M296" i="5"/>
  <c r="N296" i="5"/>
  <c r="O296" i="5"/>
  <c r="P296" i="5"/>
  <c r="S296" i="5"/>
  <c r="T296" i="5"/>
  <c r="F297" i="5"/>
  <c r="G297" i="5"/>
  <c r="H297" i="5"/>
  <c r="I297" i="5"/>
  <c r="J297" i="5"/>
  <c r="K297" i="5"/>
  <c r="M297" i="5"/>
  <c r="N297" i="5"/>
  <c r="O297" i="5"/>
  <c r="P297" i="5"/>
  <c r="S297" i="5"/>
  <c r="T297" i="5"/>
  <c r="F298" i="5"/>
  <c r="G298" i="5"/>
  <c r="H298" i="5"/>
  <c r="I298" i="5"/>
  <c r="J298" i="5"/>
  <c r="K298" i="5"/>
  <c r="M298" i="5"/>
  <c r="N298" i="5"/>
  <c r="O298" i="5"/>
  <c r="P298" i="5"/>
  <c r="S298" i="5"/>
  <c r="T298" i="5"/>
  <c r="F299" i="5"/>
  <c r="G299" i="5"/>
  <c r="H299" i="5"/>
  <c r="I299" i="5"/>
  <c r="J299" i="5"/>
  <c r="K299" i="5"/>
  <c r="M299" i="5"/>
  <c r="N299" i="5"/>
  <c r="O299" i="5"/>
  <c r="Q299" i="5" s="1"/>
  <c r="P299" i="5"/>
  <c r="S299" i="5"/>
  <c r="T299" i="5"/>
  <c r="F300" i="5"/>
  <c r="G300" i="5"/>
  <c r="H300" i="5"/>
  <c r="I300" i="5"/>
  <c r="J300" i="5"/>
  <c r="K300" i="5"/>
  <c r="M300" i="5"/>
  <c r="N300" i="5"/>
  <c r="O300" i="5"/>
  <c r="P300" i="5"/>
  <c r="S300" i="5"/>
  <c r="T300" i="5"/>
  <c r="F301" i="5"/>
  <c r="G301" i="5"/>
  <c r="H301" i="5"/>
  <c r="I301" i="5"/>
  <c r="J301" i="5"/>
  <c r="K301" i="5"/>
  <c r="M301" i="5"/>
  <c r="N301" i="5"/>
  <c r="O301" i="5"/>
  <c r="P301" i="5"/>
  <c r="S301" i="5"/>
  <c r="T301" i="5"/>
  <c r="F302" i="5"/>
  <c r="G302" i="5"/>
  <c r="H302" i="5"/>
  <c r="I302" i="5"/>
  <c r="J302" i="5"/>
  <c r="K302" i="5"/>
  <c r="M302" i="5"/>
  <c r="N302" i="5"/>
  <c r="O302" i="5"/>
  <c r="P302" i="5"/>
  <c r="S302" i="5"/>
  <c r="T302" i="5"/>
  <c r="F303" i="5"/>
  <c r="G303" i="5"/>
  <c r="H303" i="5"/>
  <c r="I303" i="5"/>
  <c r="J303" i="5"/>
  <c r="K303" i="5"/>
  <c r="M303" i="5"/>
  <c r="N303" i="5"/>
  <c r="O303" i="5"/>
  <c r="P303" i="5"/>
  <c r="S303" i="5"/>
  <c r="T303" i="5"/>
  <c r="F304" i="5"/>
  <c r="G304" i="5"/>
  <c r="H304" i="5"/>
  <c r="I304" i="5"/>
  <c r="J304" i="5"/>
  <c r="K304" i="5"/>
  <c r="M304" i="5"/>
  <c r="N304" i="5"/>
  <c r="O304" i="5"/>
  <c r="P304" i="5"/>
  <c r="S304" i="5"/>
  <c r="T304" i="5"/>
  <c r="F305" i="5"/>
  <c r="G305" i="5"/>
  <c r="H305" i="5"/>
  <c r="I305" i="5"/>
  <c r="J305" i="5"/>
  <c r="K305" i="5"/>
  <c r="M305" i="5"/>
  <c r="N305" i="5"/>
  <c r="O305" i="5"/>
  <c r="P305" i="5"/>
  <c r="S305" i="5"/>
  <c r="T305" i="5"/>
  <c r="F306" i="5"/>
  <c r="G306" i="5"/>
  <c r="H306" i="5"/>
  <c r="I306" i="5"/>
  <c r="J306" i="5"/>
  <c r="K306" i="5"/>
  <c r="M306" i="5"/>
  <c r="N306" i="5"/>
  <c r="O306" i="5"/>
  <c r="P306" i="5"/>
  <c r="S306" i="5"/>
  <c r="T306" i="5"/>
  <c r="F307" i="5"/>
  <c r="G307" i="5"/>
  <c r="H307" i="5"/>
  <c r="I307" i="5"/>
  <c r="J307" i="5"/>
  <c r="K307" i="5"/>
  <c r="M307" i="5"/>
  <c r="N307" i="5"/>
  <c r="O307" i="5"/>
  <c r="P307" i="5"/>
  <c r="S307" i="5"/>
  <c r="T307" i="5"/>
  <c r="F308" i="5"/>
  <c r="G308" i="5"/>
  <c r="H308" i="5"/>
  <c r="I308" i="5"/>
  <c r="J308" i="5"/>
  <c r="K308" i="5"/>
  <c r="M308" i="5"/>
  <c r="N308" i="5"/>
  <c r="O308" i="5"/>
  <c r="P308" i="5"/>
  <c r="S308" i="5"/>
  <c r="T308" i="5"/>
  <c r="F309" i="5"/>
  <c r="G309" i="5"/>
  <c r="H309" i="5"/>
  <c r="I309" i="5"/>
  <c r="J309" i="5"/>
  <c r="K309" i="5"/>
  <c r="M309" i="5"/>
  <c r="N309" i="5"/>
  <c r="O309" i="5"/>
  <c r="P309" i="5"/>
  <c r="S309" i="5"/>
  <c r="T309" i="5"/>
  <c r="F310" i="5"/>
  <c r="G310" i="5"/>
  <c r="H310" i="5"/>
  <c r="I310" i="5"/>
  <c r="J310" i="5"/>
  <c r="K310" i="5"/>
  <c r="M310" i="5"/>
  <c r="N310" i="5"/>
  <c r="O310" i="5"/>
  <c r="P310" i="5"/>
  <c r="S310" i="5"/>
  <c r="T310" i="5"/>
  <c r="F311" i="5"/>
  <c r="G311" i="5"/>
  <c r="H311" i="5"/>
  <c r="I311" i="5"/>
  <c r="J311" i="5"/>
  <c r="K311" i="5"/>
  <c r="M311" i="5"/>
  <c r="N311" i="5"/>
  <c r="O311" i="5"/>
  <c r="P311" i="5"/>
  <c r="S311" i="5"/>
  <c r="T311" i="5"/>
  <c r="F312" i="5"/>
  <c r="G312" i="5"/>
  <c r="H312" i="5"/>
  <c r="I312" i="5"/>
  <c r="J312" i="5"/>
  <c r="K312" i="5"/>
  <c r="M312" i="5"/>
  <c r="N312" i="5"/>
  <c r="O312" i="5"/>
  <c r="P312" i="5"/>
  <c r="S312" i="5"/>
  <c r="T312" i="5"/>
  <c r="F313" i="5"/>
  <c r="G313" i="5"/>
  <c r="H313" i="5"/>
  <c r="I313" i="5"/>
  <c r="J313" i="5"/>
  <c r="K313" i="5"/>
  <c r="M313" i="5"/>
  <c r="N313" i="5"/>
  <c r="O313" i="5"/>
  <c r="P313" i="5"/>
  <c r="S313" i="5"/>
  <c r="T313" i="5"/>
  <c r="F314" i="5"/>
  <c r="G314" i="5"/>
  <c r="H314" i="5"/>
  <c r="I314" i="5"/>
  <c r="J314" i="5"/>
  <c r="K314" i="5"/>
  <c r="M314" i="5"/>
  <c r="N314" i="5"/>
  <c r="O314" i="5"/>
  <c r="Q314" i="5" s="1"/>
  <c r="P314" i="5"/>
  <c r="S314" i="5"/>
  <c r="T314" i="5"/>
  <c r="F315" i="5"/>
  <c r="G315" i="5"/>
  <c r="H315" i="5"/>
  <c r="I315" i="5"/>
  <c r="J315" i="5"/>
  <c r="K315" i="5"/>
  <c r="M315" i="5"/>
  <c r="N315" i="5"/>
  <c r="O315" i="5"/>
  <c r="P315" i="5"/>
  <c r="S315" i="5"/>
  <c r="T315" i="5"/>
  <c r="F316" i="5"/>
  <c r="G316" i="5"/>
  <c r="H316" i="5"/>
  <c r="I316" i="5"/>
  <c r="J316" i="5"/>
  <c r="K316" i="5"/>
  <c r="M316" i="5"/>
  <c r="N316" i="5"/>
  <c r="O316" i="5"/>
  <c r="P316" i="5"/>
  <c r="S316" i="5"/>
  <c r="T316" i="5"/>
  <c r="F317" i="5"/>
  <c r="G317" i="5"/>
  <c r="H317" i="5"/>
  <c r="I317" i="5"/>
  <c r="J317" i="5"/>
  <c r="K317" i="5"/>
  <c r="M317" i="5"/>
  <c r="N317" i="5"/>
  <c r="O317" i="5"/>
  <c r="P317" i="5"/>
  <c r="S317" i="5"/>
  <c r="T317" i="5"/>
  <c r="F318" i="5"/>
  <c r="G318" i="5"/>
  <c r="H318" i="5"/>
  <c r="I318" i="5"/>
  <c r="J318" i="5"/>
  <c r="K318" i="5"/>
  <c r="M318" i="5"/>
  <c r="N318" i="5"/>
  <c r="O318" i="5"/>
  <c r="P318" i="5"/>
  <c r="S318" i="5"/>
  <c r="T318" i="5"/>
  <c r="F319" i="5"/>
  <c r="G319" i="5"/>
  <c r="H319" i="5"/>
  <c r="I319" i="5"/>
  <c r="J319" i="5"/>
  <c r="K319" i="5"/>
  <c r="M319" i="5"/>
  <c r="N319" i="5"/>
  <c r="O319" i="5"/>
  <c r="P319" i="5"/>
  <c r="S319" i="5"/>
  <c r="T319" i="5"/>
  <c r="F320" i="5"/>
  <c r="G320" i="5"/>
  <c r="H320" i="5"/>
  <c r="I320" i="5"/>
  <c r="J320" i="5"/>
  <c r="K320" i="5"/>
  <c r="M320" i="5"/>
  <c r="N320" i="5"/>
  <c r="O320" i="5"/>
  <c r="P320" i="5"/>
  <c r="S320" i="5"/>
  <c r="T320" i="5"/>
  <c r="F321" i="5"/>
  <c r="G321" i="5"/>
  <c r="H321" i="5"/>
  <c r="I321" i="5"/>
  <c r="J321" i="5"/>
  <c r="K321" i="5"/>
  <c r="M321" i="5"/>
  <c r="N321" i="5"/>
  <c r="O321" i="5"/>
  <c r="P321" i="5"/>
  <c r="S321" i="5"/>
  <c r="T321" i="5"/>
  <c r="F322" i="5"/>
  <c r="G322" i="5"/>
  <c r="H322" i="5"/>
  <c r="I322" i="5"/>
  <c r="J322" i="5"/>
  <c r="K322" i="5"/>
  <c r="M322" i="5"/>
  <c r="N322" i="5"/>
  <c r="O322" i="5"/>
  <c r="P322" i="5"/>
  <c r="S322" i="5"/>
  <c r="T322" i="5"/>
  <c r="F323" i="5"/>
  <c r="G323" i="5"/>
  <c r="H323" i="5"/>
  <c r="I323" i="5"/>
  <c r="J323" i="5"/>
  <c r="K323" i="5"/>
  <c r="M323" i="5"/>
  <c r="N323" i="5"/>
  <c r="O323" i="5"/>
  <c r="P323" i="5"/>
  <c r="S323" i="5"/>
  <c r="T323" i="5"/>
  <c r="F324" i="5"/>
  <c r="G324" i="5"/>
  <c r="H324" i="5"/>
  <c r="I324" i="5"/>
  <c r="J324" i="5"/>
  <c r="K324" i="5"/>
  <c r="M324" i="5"/>
  <c r="N324" i="5"/>
  <c r="O324" i="5"/>
  <c r="P324" i="5"/>
  <c r="S324" i="5"/>
  <c r="T324" i="5"/>
  <c r="F325" i="5"/>
  <c r="G325" i="5"/>
  <c r="H325" i="5"/>
  <c r="I325" i="5"/>
  <c r="J325" i="5"/>
  <c r="K325" i="5"/>
  <c r="M325" i="5"/>
  <c r="N325" i="5"/>
  <c r="O325" i="5"/>
  <c r="P325" i="5"/>
  <c r="S325" i="5"/>
  <c r="T325" i="5"/>
  <c r="F326" i="5"/>
  <c r="G326" i="5"/>
  <c r="H326" i="5"/>
  <c r="I326" i="5"/>
  <c r="J326" i="5"/>
  <c r="K326" i="5"/>
  <c r="M326" i="5"/>
  <c r="N326" i="5"/>
  <c r="O326" i="5"/>
  <c r="P326" i="5"/>
  <c r="S326" i="5"/>
  <c r="T326" i="5"/>
  <c r="F327" i="5"/>
  <c r="G327" i="5"/>
  <c r="H327" i="5"/>
  <c r="I327" i="5"/>
  <c r="J327" i="5"/>
  <c r="K327" i="5"/>
  <c r="M327" i="5"/>
  <c r="R327" i="5" s="1"/>
  <c r="N327" i="5"/>
  <c r="O327" i="5"/>
  <c r="P327" i="5"/>
  <c r="S327" i="5"/>
  <c r="T327" i="5"/>
  <c r="F328" i="5"/>
  <c r="G328" i="5"/>
  <c r="H328" i="5"/>
  <c r="I328" i="5"/>
  <c r="J328" i="5"/>
  <c r="K328" i="5"/>
  <c r="M328" i="5"/>
  <c r="U328" i="5" s="1"/>
  <c r="N328" i="5"/>
  <c r="O328" i="5"/>
  <c r="P328" i="5"/>
  <c r="Q328" i="5" s="1"/>
  <c r="R328" i="5"/>
  <c r="S328" i="5"/>
  <c r="T328" i="5"/>
  <c r="F329" i="5"/>
  <c r="G329" i="5"/>
  <c r="H329" i="5"/>
  <c r="I329" i="5"/>
  <c r="J329" i="5"/>
  <c r="K329" i="5"/>
  <c r="M329" i="5"/>
  <c r="N329" i="5"/>
  <c r="O329" i="5"/>
  <c r="P329" i="5"/>
  <c r="S329" i="5"/>
  <c r="T329" i="5"/>
  <c r="F330" i="5"/>
  <c r="G330" i="5"/>
  <c r="H330" i="5"/>
  <c r="I330" i="5"/>
  <c r="J330" i="5"/>
  <c r="K330" i="5"/>
  <c r="M330" i="5"/>
  <c r="N330" i="5"/>
  <c r="O330" i="5"/>
  <c r="P330" i="5"/>
  <c r="S330" i="5"/>
  <c r="T330" i="5"/>
  <c r="F331" i="5"/>
  <c r="G331" i="5"/>
  <c r="H331" i="5"/>
  <c r="I331" i="5"/>
  <c r="J331" i="5"/>
  <c r="K331" i="5"/>
  <c r="M331" i="5"/>
  <c r="N331" i="5"/>
  <c r="O331" i="5"/>
  <c r="P331" i="5"/>
  <c r="S331" i="5"/>
  <c r="T331" i="5"/>
  <c r="F332" i="5"/>
  <c r="G332" i="5"/>
  <c r="H332" i="5"/>
  <c r="I332" i="5"/>
  <c r="J332" i="5"/>
  <c r="K332" i="5"/>
  <c r="M332" i="5"/>
  <c r="N332" i="5"/>
  <c r="O332" i="5"/>
  <c r="P332" i="5"/>
  <c r="S332" i="5"/>
  <c r="T332" i="5"/>
  <c r="F333" i="5"/>
  <c r="G333" i="5"/>
  <c r="H333" i="5"/>
  <c r="I333" i="5"/>
  <c r="J333" i="5"/>
  <c r="K333" i="5"/>
  <c r="M333" i="5"/>
  <c r="N333" i="5"/>
  <c r="R333" i="5" s="1"/>
  <c r="O333" i="5"/>
  <c r="P333" i="5"/>
  <c r="S333" i="5"/>
  <c r="T333" i="5"/>
  <c r="F334" i="5"/>
  <c r="G334" i="5"/>
  <c r="H334" i="5"/>
  <c r="I334" i="5"/>
  <c r="J334" i="5"/>
  <c r="K334" i="5"/>
  <c r="M334" i="5"/>
  <c r="N334" i="5"/>
  <c r="O334" i="5"/>
  <c r="P334" i="5"/>
  <c r="S334" i="5"/>
  <c r="T334" i="5"/>
  <c r="F335" i="5"/>
  <c r="G335" i="5"/>
  <c r="H335" i="5"/>
  <c r="I335" i="5"/>
  <c r="J335" i="5"/>
  <c r="K335" i="5"/>
  <c r="M335" i="5"/>
  <c r="N335" i="5"/>
  <c r="O335" i="5"/>
  <c r="P335" i="5"/>
  <c r="S335" i="5"/>
  <c r="T335" i="5"/>
  <c r="F336" i="5"/>
  <c r="G336" i="5"/>
  <c r="H336" i="5"/>
  <c r="I336" i="5"/>
  <c r="J336" i="5"/>
  <c r="K336" i="5"/>
  <c r="M336" i="5"/>
  <c r="N336" i="5"/>
  <c r="O336" i="5"/>
  <c r="P336" i="5"/>
  <c r="S336" i="5"/>
  <c r="T336" i="5"/>
  <c r="F337" i="5"/>
  <c r="G337" i="5"/>
  <c r="H337" i="5"/>
  <c r="I337" i="5"/>
  <c r="J337" i="5"/>
  <c r="K337" i="5"/>
  <c r="M337" i="5"/>
  <c r="N337" i="5"/>
  <c r="R337" i="5" s="1"/>
  <c r="O337" i="5"/>
  <c r="P337" i="5"/>
  <c r="S337" i="5"/>
  <c r="T337" i="5"/>
  <c r="F338" i="5"/>
  <c r="G338" i="5"/>
  <c r="H338" i="5"/>
  <c r="I338" i="5"/>
  <c r="J338" i="5"/>
  <c r="K338" i="5"/>
  <c r="M338" i="5"/>
  <c r="N338" i="5"/>
  <c r="O338" i="5"/>
  <c r="P338" i="5"/>
  <c r="S338" i="5"/>
  <c r="T338" i="5"/>
  <c r="F339" i="5"/>
  <c r="G339" i="5"/>
  <c r="H339" i="5"/>
  <c r="I339" i="5"/>
  <c r="J339" i="5"/>
  <c r="K339" i="5"/>
  <c r="M339" i="5"/>
  <c r="R339" i="5" s="1"/>
  <c r="N339" i="5"/>
  <c r="O339" i="5"/>
  <c r="P339" i="5"/>
  <c r="S339" i="5"/>
  <c r="T339" i="5"/>
  <c r="F340" i="5"/>
  <c r="G340" i="5"/>
  <c r="H340" i="5"/>
  <c r="I340" i="5"/>
  <c r="J340" i="5"/>
  <c r="K340" i="5"/>
  <c r="M340" i="5"/>
  <c r="N340" i="5"/>
  <c r="O340" i="5"/>
  <c r="P340" i="5"/>
  <c r="S340" i="5"/>
  <c r="T340" i="5"/>
  <c r="F341" i="5"/>
  <c r="G341" i="5"/>
  <c r="H341" i="5"/>
  <c r="I341" i="5"/>
  <c r="J341" i="5"/>
  <c r="K341" i="5"/>
  <c r="M341" i="5"/>
  <c r="N341" i="5"/>
  <c r="O341" i="5"/>
  <c r="P341" i="5"/>
  <c r="S341" i="5"/>
  <c r="T341" i="5"/>
  <c r="F342" i="5"/>
  <c r="G342" i="5"/>
  <c r="H342" i="5"/>
  <c r="I342" i="5"/>
  <c r="J342" i="5"/>
  <c r="K342" i="5"/>
  <c r="M342" i="5"/>
  <c r="N342" i="5"/>
  <c r="O342" i="5"/>
  <c r="P342" i="5"/>
  <c r="S342" i="5"/>
  <c r="T342" i="5"/>
  <c r="F343" i="5"/>
  <c r="G343" i="5"/>
  <c r="H343" i="5"/>
  <c r="I343" i="5"/>
  <c r="J343" i="5"/>
  <c r="K343" i="5"/>
  <c r="M343" i="5"/>
  <c r="N343" i="5"/>
  <c r="O343" i="5"/>
  <c r="P343" i="5"/>
  <c r="S343" i="5"/>
  <c r="T343" i="5"/>
  <c r="F344" i="5"/>
  <c r="G344" i="5"/>
  <c r="H344" i="5"/>
  <c r="I344" i="5"/>
  <c r="J344" i="5"/>
  <c r="K344" i="5"/>
  <c r="M344" i="5"/>
  <c r="N344" i="5"/>
  <c r="O344" i="5"/>
  <c r="P344" i="5"/>
  <c r="S344" i="5"/>
  <c r="T344" i="5"/>
  <c r="F345" i="5"/>
  <c r="G345" i="5"/>
  <c r="H345" i="5"/>
  <c r="I345" i="5"/>
  <c r="J345" i="5"/>
  <c r="K345" i="5"/>
  <c r="M345" i="5"/>
  <c r="R345" i="5" s="1"/>
  <c r="N345" i="5"/>
  <c r="O345" i="5"/>
  <c r="P345" i="5"/>
  <c r="S345" i="5"/>
  <c r="T345" i="5"/>
  <c r="F346" i="5"/>
  <c r="G346" i="5"/>
  <c r="H346" i="5"/>
  <c r="I346" i="5"/>
  <c r="J346" i="5"/>
  <c r="K346" i="5"/>
  <c r="M346" i="5"/>
  <c r="N346" i="5"/>
  <c r="O346" i="5"/>
  <c r="P346" i="5"/>
  <c r="S346" i="5"/>
  <c r="T346" i="5"/>
  <c r="F347" i="5"/>
  <c r="G347" i="5"/>
  <c r="H347" i="5"/>
  <c r="I347" i="5"/>
  <c r="J347" i="5"/>
  <c r="K347" i="5"/>
  <c r="M347" i="5"/>
  <c r="R347" i="5" s="1"/>
  <c r="N347" i="5"/>
  <c r="O347" i="5"/>
  <c r="P347" i="5"/>
  <c r="S347" i="5"/>
  <c r="T347" i="5"/>
  <c r="F348" i="5"/>
  <c r="G348" i="5"/>
  <c r="H348" i="5"/>
  <c r="I348" i="5"/>
  <c r="J348" i="5"/>
  <c r="K348" i="5"/>
  <c r="M348" i="5"/>
  <c r="N348" i="5"/>
  <c r="O348" i="5"/>
  <c r="P348" i="5"/>
  <c r="S348" i="5"/>
  <c r="T348" i="5"/>
  <c r="F349" i="5"/>
  <c r="G349" i="5"/>
  <c r="H349" i="5"/>
  <c r="I349" i="5"/>
  <c r="J349" i="5"/>
  <c r="K349" i="5"/>
  <c r="M349" i="5"/>
  <c r="N349" i="5"/>
  <c r="O349" i="5"/>
  <c r="P349" i="5"/>
  <c r="R349" i="5"/>
  <c r="S349" i="5"/>
  <c r="T349" i="5"/>
  <c r="F350" i="5"/>
  <c r="G350" i="5"/>
  <c r="H350" i="5"/>
  <c r="I350" i="5"/>
  <c r="J350" i="5"/>
  <c r="K350" i="5"/>
  <c r="M350" i="5"/>
  <c r="N350" i="5"/>
  <c r="O350" i="5"/>
  <c r="P350" i="5"/>
  <c r="R350" i="5"/>
  <c r="S350" i="5"/>
  <c r="T350" i="5"/>
  <c r="F351" i="5"/>
  <c r="G351" i="5"/>
  <c r="H351" i="5"/>
  <c r="I351" i="5"/>
  <c r="J351" i="5"/>
  <c r="K351" i="5"/>
  <c r="M351" i="5"/>
  <c r="N351" i="5"/>
  <c r="O351" i="5"/>
  <c r="P351" i="5"/>
  <c r="S351" i="5"/>
  <c r="T351" i="5"/>
  <c r="F352" i="5"/>
  <c r="G352" i="5"/>
  <c r="H352" i="5"/>
  <c r="I352" i="5"/>
  <c r="J352" i="5"/>
  <c r="K352" i="5"/>
  <c r="M352" i="5"/>
  <c r="N352" i="5"/>
  <c r="O352" i="5"/>
  <c r="P352" i="5"/>
  <c r="S352" i="5"/>
  <c r="T352" i="5"/>
  <c r="F353" i="5"/>
  <c r="G353" i="5"/>
  <c r="H353" i="5"/>
  <c r="I353" i="5"/>
  <c r="J353" i="5"/>
  <c r="K353" i="5"/>
  <c r="M353" i="5"/>
  <c r="N353" i="5"/>
  <c r="O353" i="5"/>
  <c r="P353" i="5"/>
  <c r="S353" i="5"/>
  <c r="T353" i="5"/>
  <c r="F354" i="5"/>
  <c r="G354" i="5"/>
  <c r="H354" i="5"/>
  <c r="I354" i="5"/>
  <c r="J354" i="5"/>
  <c r="K354" i="5"/>
  <c r="M354" i="5"/>
  <c r="N354" i="5"/>
  <c r="O354" i="5"/>
  <c r="P354" i="5"/>
  <c r="S354" i="5"/>
  <c r="T354" i="5"/>
  <c r="F355" i="5"/>
  <c r="G355" i="5"/>
  <c r="H355" i="5"/>
  <c r="I355" i="5"/>
  <c r="J355" i="5"/>
  <c r="K355" i="5"/>
  <c r="M355" i="5"/>
  <c r="U355" i="5" s="1"/>
  <c r="N355" i="5"/>
  <c r="O355" i="5"/>
  <c r="P355" i="5"/>
  <c r="S355" i="5"/>
  <c r="T355" i="5"/>
  <c r="F356" i="5"/>
  <c r="G356" i="5"/>
  <c r="H356" i="5"/>
  <c r="I356" i="5"/>
  <c r="J356" i="5"/>
  <c r="K356" i="5"/>
  <c r="M356" i="5"/>
  <c r="U356" i="5" s="1"/>
  <c r="N356" i="5"/>
  <c r="O356" i="5"/>
  <c r="P356" i="5"/>
  <c r="S356" i="5"/>
  <c r="T356" i="5"/>
  <c r="F357" i="5"/>
  <c r="G357" i="5"/>
  <c r="H357" i="5"/>
  <c r="I357" i="5"/>
  <c r="J357" i="5"/>
  <c r="K357" i="5"/>
  <c r="M357" i="5"/>
  <c r="U357" i="5" s="1"/>
  <c r="N357" i="5"/>
  <c r="O357" i="5"/>
  <c r="P357" i="5"/>
  <c r="S357" i="5"/>
  <c r="T357" i="5"/>
  <c r="F358" i="5"/>
  <c r="G358" i="5"/>
  <c r="H358" i="5"/>
  <c r="I358" i="5"/>
  <c r="J358" i="5"/>
  <c r="K358" i="5"/>
  <c r="M358" i="5"/>
  <c r="N358" i="5"/>
  <c r="O358" i="5"/>
  <c r="P358" i="5"/>
  <c r="S358" i="5"/>
  <c r="T358" i="5"/>
  <c r="F359" i="5"/>
  <c r="G359" i="5"/>
  <c r="H359" i="5"/>
  <c r="I359" i="5"/>
  <c r="J359" i="5"/>
  <c r="K359" i="5"/>
  <c r="M359" i="5"/>
  <c r="N359" i="5"/>
  <c r="O359" i="5"/>
  <c r="P359" i="5"/>
  <c r="S359" i="5"/>
  <c r="T359" i="5"/>
  <c r="F360" i="5"/>
  <c r="G360" i="5"/>
  <c r="H360" i="5"/>
  <c r="I360" i="5"/>
  <c r="J360" i="5"/>
  <c r="K360" i="5"/>
  <c r="M360" i="5"/>
  <c r="N360" i="5"/>
  <c r="O360" i="5"/>
  <c r="P360" i="5"/>
  <c r="S360" i="5"/>
  <c r="T360" i="5"/>
  <c r="F361" i="5"/>
  <c r="G361" i="5"/>
  <c r="H361" i="5"/>
  <c r="I361" i="5"/>
  <c r="J361" i="5"/>
  <c r="K361" i="5"/>
  <c r="M361" i="5"/>
  <c r="U361" i="5" s="1"/>
  <c r="N361" i="5"/>
  <c r="O361" i="5"/>
  <c r="P361" i="5"/>
  <c r="S361" i="5"/>
  <c r="T361" i="5"/>
  <c r="F362" i="5"/>
  <c r="G362" i="5"/>
  <c r="H362" i="5"/>
  <c r="I362" i="5"/>
  <c r="J362" i="5"/>
  <c r="K362" i="5"/>
  <c r="M362" i="5"/>
  <c r="N362" i="5"/>
  <c r="O362" i="5"/>
  <c r="P362" i="5"/>
  <c r="S362" i="5"/>
  <c r="T362" i="5"/>
  <c r="F363" i="5"/>
  <c r="G363" i="5"/>
  <c r="H363" i="5"/>
  <c r="I363" i="5"/>
  <c r="J363" i="5"/>
  <c r="K363" i="5"/>
  <c r="M363" i="5"/>
  <c r="N363" i="5"/>
  <c r="O363" i="5"/>
  <c r="P363" i="5"/>
  <c r="S363" i="5"/>
  <c r="T363" i="5"/>
  <c r="F364" i="5"/>
  <c r="G364" i="5"/>
  <c r="H364" i="5"/>
  <c r="I364" i="5"/>
  <c r="J364" i="5"/>
  <c r="K364" i="5"/>
  <c r="M364" i="5"/>
  <c r="N364" i="5"/>
  <c r="O364" i="5"/>
  <c r="P364" i="5"/>
  <c r="S364" i="5"/>
  <c r="T364" i="5"/>
  <c r="F365" i="5"/>
  <c r="G365" i="5"/>
  <c r="H365" i="5"/>
  <c r="I365" i="5"/>
  <c r="J365" i="5"/>
  <c r="K365" i="5"/>
  <c r="M365" i="5"/>
  <c r="N365" i="5"/>
  <c r="O365" i="5"/>
  <c r="P365" i="5"/>
  <c r="S365" i="5"/>
  <c r="T365" i="5"/>
  <c r="F366" i="5"/>
  <c r="G366" i="5"/>
  <c r="H366" i="5"/>
  <c r="I366" i="5"/>
  <c r="J366" i="5"/>
  <c r="K366" i="5"/>
  <c r="M366" i="5"/>
  <c r="N366" i="5"/>
  <c r="O366" i="5"/>
  <c r="P366" i="5"/>
  <c r="R366" i="5"/>
  <c r="S366" i="5"/>
  <c r="T366" i="5"/>
  <c r="F367" i="5"/>
  <c r="G367" i="5"/>
  <c r="H367" i="5"/>
  <c r="I367" i="5"/>
  <c r="J367" i="5"/>
  <c r="K367" i="5"/>
  <c r="M367" i="5"/>
  <c r="N367" i="5"/>
  <c r="R367" i="5" s="1"/>
  <c r="O367" i="5"/>
  <c r="P367" i="5"/>
  <c r="S367" i="5"/>
  <c r="T367" i="5"/>
  <c r="F368" i="5"/>
  <c r="G368" i="5"/>
  <c r="H368" i="5"/>
  <c r="I368" i="5"/>
  <c r="J368" i="5"/>
  <c r="K368" i="5"/>
  <c r="M368" i="5"/>
  <c r="N368" i="5"/>
  <c r="O368" i="5"/>
  <c r="P368" i="5"/>
  <c r="S368" i="5"/>
  <c r="T368" i="5"/>
  <c r="F369" i="5"/>
  <c r="G369" i="5"/>
  <c r="H369" i="5"/>
  <c r="I369" i="5"/>
  <c r="J369" i="5"/>
  <c r="K369" i="5"/>
  <c r="M369" i="5"/>
  <c r="N369" i="5"/>
  <c r="O369" i="5"/>
  <c r="P369" i="5"/>
  <c r="S369" i="5"/>
  <c r="T369" i="5"/>
  <c r="F370" i="5"/>
  <c r="G370" i="5"/>
  <c r="H370" i="5"/>
  <c r="I370" i="5"/>
  <c r="J370" i="5"/>
  <c r="K370" i="5"/>
  <c r="M370" i="5"/>
  <c r="N370" i="5"/>
  <c r="O370" i="5"/>
  <c r="P370" i="5"/>
  <c r="S370" i="5"/>
  <c r="T370" i="5"/>
  <c r="F371" i="5"/>
  <c r="G371" i="5"/>
  <c r="H371" i="5"/>
  <c r="I371" i="5"/>
  <c r="J371" i="5"/>
  <c r="K371" i="5"/>
  <c r="M371" i="5"/>
  <c r="N371" i="5"/>
  <c r="O371" i="5"/>
  <c r="P371" i="5"/>
  <c r="Q371" i="5" s="1"/>
  <c r="S371" i="5"/>
  <c r="T371" i="5"/>
  <c r="F372" i="5"/>
  <c r="G372" i="5"/>
  <c r="H372" i="5"/>
  <c r="I372" i="5"/>
  <c r="J372" i="5"/>
  <c r="K372" i="5"/>
  <c r="M372" i="5"/>
  <c r="N372" i="5"/>
  <c r="O372" i="5"/>
  <c r="P372" i="5"/>
  <c r="S372" i="5"/>
  <c r="T372" i="5"/>
  <c r="F373" i="5"/>
  <c r="G373" i="5"/>
  <c r="H373" i="5"/>
  <c r="I373" i="5"/>
  <c r="J373" i="5"/>
  <c r="K373" i="5"/>
  <c r="M373" i="5"/>
  <c r="N373" i="5"/>
  <c r="O373" i="5"/>
  <c r="P373" i="5"/>
  <c r="S373" i="5"/>
  <c r="T373" i="5"/>
  <c r="F374" i="5"/>
  <c r="G374" i="5"/>
  <c r="H374" i="5"/>
  <c r="I374" i="5"/>
  <c r="J374" i="5"/>
  <c r="K374" i="5"/>
  <c r="M374" i="5"/>
  <c r="N374" i="5"/>
  <c r="O374" i="5"/>
  <c r="P374" i="5"/>
  <c r="S374" i="5"/>
  <c r="T374" i="5"/>
  <c r="F375" i="5"/>
  <c r="G375" i="5"/>
  <c r="H375" i="5"/>
  <c r="I375" i="5"/>
  <c r="J375" i="5"/>
  <c r="K375" i="5"/>
  <c r="M375" i="5"/>
  <c r="N375" i="5"/>
  <c r="O375" i="5"/>
  <c r="P375" i="5"/>
  <c r="S375" i="5"/>
  <c r="T375" i="5"/>
  <c r="F376" i="5"/>
  <c r="G376" i="5"/>
  <c r="H376" i="5"/>
  <c r="I376" i="5"/>
  <c r="J376" i="5"/>
  <c r="K376" i="5"/>
  <c r="M376" i="5"/>
  <c r="N376" i="5"/>
  <c r="O376" i="5"/>
  <c r="P376" i="5"/>
  <c r="S376" i="5"/>
  <c r="T376" i="5"/>
  <c r="F377" i="5"/>
  <c r="G377" i="5"/>
  <c r="H377" i="5"/>
  <c r="I377" i="5"/>
  <c r="J377" i="5"/>
  <c r="K377" i="5"/>
  <c r="M377" i="5"/>
  <c r="N377" i="5"/>
  <c r="O377" i="5"/>
  <c r="P377" i="5"/>
  <c r="S377" i="5"/>
  <c r="T377" i="5"/>
  <c r="F378" i="5"/>
  <c r="G378" i="5"/>
  <c r="H378" i="5"/>
  <c r="I378" i="5"/>
  <c r="J378" i="5"/>
  <c r="K378" i="5"/>
  <c r="M378" i="5"/>
  <c r="N378" i="5"/>
  <c r="O378" i="5"/>
  <c r="P378" i="5"/>
  <c r="S378" i="5"/>
  <c r="T378" i="5"/>
  <c r="F379" i="5"/>
  <c r="G379" i="5"/>
  <c r="H379" i="5"/>
  <c r="I379" i="5"/>
  <c r="J379" i="5"/>
  <c r="K379" i="5"/>
  <c r="M379" i="5"/>
  <c r="N379" i="5"/>
  <c r="O379" i="5"/>
  <c r="P379" i="5"/>
  <c r="S379" i="5"/>
  <c r="T379" i="5"/>
  <c r="F380" i="5"/>
  <c r="G380" i="5"/>
  <c r="H380" i="5"/>
  <c r="I380" i="5"/>
  <c r="J380" i="5"/>
  <c r="K380" i="5"/>
  <c r="M380" i="5"/>
  <c r="N380" i="5"/>
  <c r="O380" i="5"/>
  <c r="P380" i="5"/>
  <c r="S380" i="5"/>
  <c r="T380" i="5"/>
  <c r="F381" i="5"/>
  <c r="G381" i="5"/>
  <c r="H381" i="5"/>
  <c r="I381" i="5"/>
  <c r="J381" i="5"/>
  <c r="K381" i="5"/>
  <c r="M381" i="5"/>
  <c r="N381" i="5"/>
  <c r="O381" i="5"/>
  <c r="P381" i="5"/>
  <c r="S381" i="5"/>
  <c r="T381" i="5"/>
  <c r="F382" i="5"/>
  <c r="G382" i="5"/>
  <c r="H382" i="5"/>
  <c r="I382" i="5"/>
  <c r="J382" i="5"/>
  <c r="K382" i="5"/>
  <c r="M382" i="5"/>
  <c r="N382" i="5"/>
  <c r="O382" i="5"/>
  <c r="P382" i="5"/>
  <c r="S382" i="5"/>
  <c r="T382" i="5"/>
  <c r="F383" i="5"/>
  <c r="G383" i="5"/>
  <c r="H383" i="5"/>
  <c r="I383" i="5"/>
  <c r="J383" i="5"/>
  <c r="K383" i="5"/>
  <c r="M383" i="5"/>
  <c r="N383" i="5"/>
  <c r="O383" i="5"/>
  <c r="P383" i="5"/>
  <c r="R383" i="5"/>
  <c r="S383" i="5"/>
  <c r="T383" i="5"/>
  <c r="F384" i="5"/>
  <c r="G384" i="5"/>
  <c r="H384" i="5"/>
  <c r="I384" i="5"/>
  <c r="J384" i="5"/>
  <c r="K384" i="5"/>
  <c r="M384" i="5"/>
  <c r="N384" i="5"/>
  <c r="O384" i="5"/>
  <c r="P384" i="5"/>
  <c r="S384" i="5"/>
  <c r="T384" i="5"/>
  <c r="F385" i="5"/>
  <c r="G385" i="5"/>
  <c r="H385" i="5"/>
  <c r="I385" i="5"/>
  <c r="J385" i="5"/>
  <c r="K385" i="5"/>
  <c r="M385" i="5"/>
  <c r="N385" i="5"/>
  <c r="O385" i="5"/>
  <c r="P385" i="5"/>
  <c r="S385" i="5"/>
  <c r="T385" i="5"/>
  <c r="F386" i="5"/>
  <c r="G386" i="5"/>
  <c r="H386" i="5"/>
  <c r="I386" i="5"/>
  <c r="J386" i="5"/>
  <c r="K386" i="5"/>
  <c r="M386" i="5"/>
  <c r="N386" i="5"/>
  <c r="O386" i="5"/>
  <c r="P386" i="5"/>
  <c r="S386" i="5"/>
  <c r="T386" i="5"/>
  <c r="F387" i="5"/>
  <c r="G387" i="5"/>
  <c r="H387" i="5"/>
  <c r="I387" i="5"/>
  <c r="J387" i="5"/>
  <c r="K387" i="5"/>
  <c r="M387" i="5"/>
  <c r="N387" i="5"/>
  <c r="O387" i="5"/>
  <c r="P387" i="5"/>
  <c r="S387" i="5"/>
  <c r="T387" i="5"/>
  <c r="F388" i="5"/>
  <c r="G388" i="5"/>
  <c r="H388" i="5"/>
  <c r="I388" i="5"/>
  <c r="J388" i="5"/>
  <c r="K388" i="5"/>
  <c r="M388" i="5"/>
  <c r="R388" i="5" s="1"/>
  <c r="N388" i="5"/>
  <c r="O388" i="5"/>
  <c r="P388" i="5"/>
  <c r="S388" i="5"/>
  <c r="T388" i="5"/>
  <c r="U388" i="5"/>
  <c r="F389" i="5"/>
  <c r="G389" i="5"/>
  <c r="H389" i="5"/>
  <c r="I389" i="5"/>
  <c r="J389" i="5"/>
  <c r="K389" i="5"/>
  <c r="M389" i="5"/>
  <c r="N389" i="5"/>
  <c r="O389" i="5"/>
  <c r="P389" i="5"/>
  <c r="S389" i="5"/>
  <c r="T389" i="5"/>
  <c r="F390" i="5"/>
  <c r="G390" i="5"/>
  <c r="H390" i="5"/>
  <c r="I390" i="5"/>
  <c r="J390" i="5"/>
  <c r="K390" i="5"/>
  <c r="M390" i="5"/>
  <c r="N390" i="5"/>
  <c r="O390" i="5"/>
  <c r="P390" i="5"/>
  <c r="S390" i="5"/>
  <c r="T390" i="5"/>
  <c r="F391" i="5"/>
  <c r="G391" i="5"/>
  <c r="H391" i="5"/>
  <c r="I391" i="5"/>
  <c r="J391" i="5"/>
  <c r="K391" i="5"/>
  <c r="M391" i="5"/>
  <c r="N391" i="5"/>
  <c r="O391" i="5"/>
  <c r="P391" i="5"/>
  <c r="S391" i="5"/>
  <c r="T391" i="5"/>
  <c r="F392" i="5"/>
  <c r="G392" i="5"/>
  <c r="H392" i="5"/>
  <c r="I392" i="5"/>
  <c r="J392" i="5"/>
  <c r="K392" i="5"/>
  <c r="M392" i="5"/>
  <c r="N392" i="5"/>
  <c r="O392" i="5"/>
  <c r="P392" i="5"/>
  <c r="S392" i="5"/>
  <c r="T392" i="5"/>
  <c r="F393" i="5"/>
  <c r="G393" i="5"/>
  <c r="H393" i="5"/>
  <c r="I393" i="5"/>
  <c r="J393" i="5"/>
  <c r="K393" i="5"/>
  <c r="M393" i="5"/>
  <c r="N393" i="5"/>
  <c r="O393" i="5"/>
  <c r="P393" i="5"/>
  <c r="S393" i="5"/>
  <c r="T393" i="5"/>
  <c r="F394" i="5"/>
  <c r="G394" i="5"/>
  <c r="H394" i="5"/>
  <c r="I394" i="5"/>
  <c r="J394" i="5"/>
  <c r="K394" i="5"/>
  <c r="M394" i="5"/>
  <c r="N394" i="5"/>
  <c r="O394" i="5"/>
  <c r="P394" i="5"/>
  <c r="S394" i="5"/>
  <c r="T394" i="5"/>
  <c r="F395" i="5"/>
  <c r="G395" i="5"/>
  <c r="H395" i="5"/>
  <c r="I395" i="5"/>
  <c r="J395" i="5"/>
  <c r="K395" i="5"/>
  <c r="M395" i="5"/>
  <c r="N395" i="5"/>
  <c r="O395" i="5"/>
  <c r="P395" i="5"/>
  <c r="S395" i="5"/>
  <c r="T395" i="5"/>
  <c r="F396" i="5"/>
  <c r="G396" i="5"/>
  <c r="H396" i="5"/>
  <c r="I396" i="5"/>
  <c r="J396" i="5"/>
  <c r="K396" i="5"/>
  <c r="M396" i="5"/>
  <c r="N396" i="5"/>
  <c r="O396" i="5"/>
  <c r="P396" i="5"/>
  <c r="S396" i="5"/>
  <c r="T396" i="5"/>
  <c r="F397" i="5"/>
  <c r="G397" i="5"/>
  <c r="H397" i="5"/>
  <c r="I397" i="5"/>
  <c r="J397" i="5"/>
  <c r="K397" i="5"/>
  <c r="M397" i="5"/>
  <c r="N397" i="5"/>
  <c r="O397" i="5"/>
  <c r="P397" i="5"/>
  <c r="S397" i="5"/>
  <c r="T397" i="5"/>
  <c r="F398" i="5"/>
  <c r="G398" i="5"/>
  <c r="H398" i="5"/>
  <c r="I398" i="5"/>
  <c r="J398" i="5"/>
  <c r="K398" i="5"/>
  <c r="M398" i="5"/>
  <c r="N398" i="5"/>
  <c r="O398" i="5"/>
  <c r="P398" i="5"/>
  <c r="S398" i="5"/>
  <c r="T398" i="5"/>
  <c r="F399" i="5"/>
  <c r="G399" i="5"/>
  <c r="L399" i="5" s="1"/>
  <c r="H399" i="5"/>
  <c r="I399" i="5"/>
  <c r="J399" i="5"/>
  <c r="K399" i="5"/>
  <c r="M399" i="5"/>
  <c r="N399" i="5"/>
  <c r="O399" i="5"/>
  <c r="P399" i="5"/>
  <c r="S399" i="5"/>
  <c r="T399" i="5"/>
  <c r="F400" i="5"/>
  <c r="G400" i="5"/>
  <c r="H400" i="5"/>
  <c r="I400" i="5"/>
  <c r="J400" i="5"/>
  <c r="K400" i="5"/>
  <c r="M400" i="5"/>
  <c r="N400" i="5"/>
  <c r="O400" i="5"/>
  <c r="P400" i="5"/>
  <c r="S400" i="5"/>
  <c r="T400" i="5"/>
  <c r="F401" i="5"/>
  <c r="G401" i="5"/>
  <c r="H401" i="5"/>
  <c r="I401" i="5"/>
  <c r="J401" i="5"/>
  <c r="K401" i="5"/>
  <c r="M401" i="5"/>
  <c r="N401" i="5"/>
  <c r="O401" i="5"/>
  <c r="P401" i="5"/>
  <c r="S401" i="5"/>
  <c r="T401" i="5"/>
  <c r="F402" i="5"/>
  <c r="G402" i="5"/>
  <c r="H402" i="5"/>
  <c r="I402" i="5"/>
  <c r="J402" i="5"/>
  <c r="K402" i="5"/>
  <c r="M402" i="5"/>
  <c r="N402" i="5"/>
  <c r="O402" i="5"/>
  <c r="P402" i="5"/>
  <c r="S402" i="5"/>
  <c r="T402" i="5"/>
  <c r="F403" i="5"/>
  <c r="G403" i="5"/>
  <c r="H403" i="5"/>
  <c r="I403" i="5"/>
  <c r="J403" i="5"/>
  <c r="K403" i="5"/>
  <c r="M403" i="5"/>
  <c r="N403" i="5"/>
  <c r="O403" i="5"/>
  <c r="P403" i="5"/>
  <c r="S403" i="5"/>
  <c r="T403" i="5"/>
  <c r="F404" i="5"/>
  <c r="G404" i="5"/>
  <c r="H404" i="5"/>
  <c r="I404" i="5"/>
  <c r="J404" i="5"/>
  <c r="K404" i="5"/>
  <c r="M404" i="5"/>
  <c r="N404" i="5"/>
  <c r="O404" i="5"/>
  <c r="P404" i="5"/>
  <c r="S404" i="5"/>
  <c r="T404" i="5"/>
  <c r="F405" i="5"/>
  <c r="G405" i="5"/>
  <c r="H405" i="5"/>
  <c r="I405" i="5"/>
  <c r="J405" i="5"/>
  <c r="K405" i="5"/>
  <c r="M405" i="5"/>
  <c r="N405" i="5"/>
  <c r="O405" i="5"/>
  <c r="P405" i="5"/>
  <c r="S405" i="5"/>
  <c r="T405" i="5"/>
  <c r="F406" i="5"/>
  <c r="G406" i="5"/>
  <c r="H406" i="5"/>
  <c r="I406" i="5"/>
  <c r="J406" i="5"/>
  <c r="K406" i="5"/>
  <c r="M406" i="5"/>
  <c r="N406" i="5"/>
  <c r="R406" i="5" s="1"/>
  <c r="O406" i="5"/>
  <c r="P406" i="5"/>
  <c r="S406" i="5"/>
  <c r="T406" i="5"/>
  <c r="F407" i="5"/>
  <c r="G407" i="5"/>
  <c r="H407" i="5"/>
  <c r="I407" i="5"/>
  <c r="J407" i="5"/>
  <c r="K407" i="5"/>
  <c r="M407" i="5"/>
  <c r="N407" i="5"/>
  <c r="O407" i="5"/>
  <c r="P407" i="5"/>
  <c r="S407" i="5"/>
  <c r="T407" i="5"/>
  <c r="F408" i="5"/>
  <c r="G408" i="5"/>
  <c r="H408" i="5"/>
  <c r="I408" i="5"/>
  <c r="J408" i="5"/>
  <c r="K408" i="5"/>
  <c r="M408" i="5"/>
  <c r="N408" i="5"/>
  <c r="R408" i="5" s="1"/>
  <c r="O408" i="5"/>
  <c r="P408" i="5"/>
  <c r="S408" i="5"/>
  <c r="T408" i="5"/>
  <c r="F409" i="5"/>
  <c r="G409" i="5"/>
  <c r="H409" i="5"/>
  <c r="I409" i="5"/>
  <c r="J409" i="5"/>
  <c r="K409" i="5"/>
  <c r="M409" i="5"/>
  <c r="N409" i="5"/>
  <c r="R409" i="5" s="1"/>
  <c r="O409" i="5"/>
  <c r="P409" i="5"/>
  <c r="S409" i="5"/>
  <c r="T409" i="5"/>
  <c r="F410" i="5"/>
  <c r="G410" i="5"/>
  <c r="H410" i="5"/>
  <c r="I410" i="5"/>
  <c r="J410" i="5"/>
  <c r="K410" i="5"/>
  <c r="M410" i="5"/>
  <c r="N410" i="5"/>
  <c r="O410" i="5"/>
  <c r="P410" i="5"/>
  <c r="S410" i="5"/>
  <c r="T410" i="5"/>
  <c r="F411" i="5"/>
  <c r="G411" i="5"/>
  <c r="H411" i="5"/>
  <c r="I411" i="5"/>
  <c r="J411" i="5"/>
  <c r="K411" i="5"/>
  <c r="M411" i="5"/>
  <c r="N411" i="5"/>
  <c r="O411" i="5"/>
  <c r="P411" i="5"/>
  <c r="S411" i="5"/>
  <c r="T411" i="5"/>
  <c r="F412" i="5"/>
  <c r="G412" i="5"/>
  <c r="H412" i="5"/>
  <c r="I412" i="5"/>
  <c r="J412" i="5"/>
  <c r="K412" i="5"/>
  <c r="M412" i="5"/>
  <c r="N412" i="5"/>
  <c r="O412" i="5"/>
  <c r="P412" i="5"/>
  <c r="S412" i="5"/>
  <c r="T412" i="5"/>
  <c r="F413" i="5"/>
  <c r="G413" i="5"/>
  <c r="H413" i="5"/>
  <c r="I413" i="5"/>
  <c r="J413" i="5"/>
  <c r="K413" i="5"/>
  <c r="M413" i="5"/>
  <c r="N413" i="5"/>
  <c r="O413" i="5"/>
  <c r="P413" i="5"/>
  <c r="S413" i="5"/>
  <c r="T413" i="5"/>
  <c r="F414" i="5"/>
  <c r="G414" i="5"/>
  <c r="H414" i="5"/>
  <c r="I414" i="5"/>
  <c r="J414" i="5"/>
  <c r="K414" i="5"/>
  <c r="M414" i="5"/>
  <c r="N414" i="5"/>
  <c r="O414" i="5"/>
  <c r="P414" i="5"/>
  <c r="S414" i="5"/>
  <c r="T414" i="5"/>
  <c r="F415" i="5"/>
  <c r="G415" i="5"/>
  <c r="H415" i="5"/>
  <c r="I415" i="5"/>
  <c r="J415" i="5"/>
  <c r="K415" i="5"/>
  <c r="M415" i="5"/>
  <c r="N415" i="5"/>
  <c r="O415" i="5"/>
  <c r="P415" i="5"/>
  <c r="R415" i="5"/>
  <c r="S415" i="5"/>
  <c r="T415" i="5"/>
  <c r="F416" i="5"/>
  <c r="G416" i="5"/>
  <c r="H416" i="5"/>
  <c r="I416" i="5"/>
  <c r="J416" i="5"/>
  <c r="K416" i="5"/>
  <c r="M416" i="5"/>
  <c r="N416" i="5"/>
  <c r="O416" i="5"/>
  <c r="P416" i="5"/>
  <c r="S416" i="5"/>
  <c r="T416" i="5"/>
  <c r="F417" i="5"/>
  <c r="G417" i="5"/>
  <c r="H417" i="5"/>
  <c r="I417" i="5"/>
  <c r="J417" i="5"/>
  <c r="K417" i="5"/>
  <c r="M417" i="5"/>
  <c r="N417" i="5"/>
  <c r="O417" i="5"/>
  <c r="P417" i="5"/>
  <c r="S417" i="5"/>
  <c r="T417" i="5"/>
  <c r="F418" i="5"/>
  <c r="G418" i="5"/>
  <c r="H418" i="5"/>
  <c r="I418" i="5"/>
  <c r="J418" i="5"/>
  <c r="K418" i="5"/>
  <c r="M418" i="5"/>
  <c r="U418" i="5" s="1"/>
  <c r="N418" i="5"/>
  <c r="O418" i="5"/>
  <c r="P418" i="5"/>
  <c r="S418" i="5"/>
  <c r="T418" i="5"/>
  <c r="F419" i="5"/>
  <c r="G419" i="5"/>
  <c r="H419" i="5"/>
  <c r="I419" i="5"/>
  <c r="J419" i="5"/>
  <c r="K419" i="5"/>
  <c r="M419" i="5"/>
  <c r="R419" i="5" s="1"/>
  <c r="N419" i="5"/>
  <c r="O419" i="5"/>
  <c r="P419" i="5"/>
  <c r="S419" i="5"/>
  <c r="T419" i="5"/>
  <c r="F420" i="5"/>
  <c r="G420" i="5"/>
  <c r="H420" i="5"/>
  <c r="I420" i="5"/>
  <c r="J420" i="5"/>
  <c r="K420" i="5"/>
  <c r="M420" i="5"/>
  <c r="N420" i="5"/>
  <c r="O420" i="5"/>
  <c r="P420" i="5"/>
  <c r="R420" i="5"/>
  <c r="S420" i="5"/>
  <c r="T420" i="5"/>
  <c r="F421" i="5"/>
  <c r="G421" i="5"/>
  <c r="H421" i="5"/>
  <c r="I421" i="5"/>
  <c r="J421" i="5"/>
  <c r="K421" i="5"/>
  <c r="M421" i="5"/>
  <c r="N421" i="5"/>
  <c r="O421" i="5"/>
  <c r="P421" i="5"/>
  <c r="S421" i="5"/>
  <c r="T421" i="5"/>
  <c r="F422" i="5"/>
  <c r="G422" i="5"/>
  <c r="H422" i="5"/>
  <c r="I422" i="5"/>
  <c r="J422" i="5"/>
  <c r="K422" i="5"/>
  <c r="M422" i="5"/>
  <c r="N422" i="5"/>
  <c r="O422" i="5"/>
  <c r="P422" i="5"/>
  <c r="S422" i="5"/>
  <c r="T422" i="5"/>
  <c r="F423" i="5"/>
  <c r="G423" i="5"/>
  <c r="H423" i="5"/>
  <c r="I423" i="5"/>
  <c r="J423" i="5"/>
  <c r="K423" i="5"/>
  <c r="M423" i="5"/>
  <c r="N423" i="5"/>
  <c r="O423" i="5"/>
  <c r="P423" i="5"/>
  <c r="S423" i="5"/>
  <c r="T423" i="5"/>
  <c r="F424" i="5"/>
  <c r="G424" i="5"/>
  <c r="H424" i="5"/>
  <c r="I424" i="5"/>
  <c r="J424" i="5"/>
  <c r="K424" i="5"/>
  <c r="M424" i="5"/>
  <c r="N424" i="5"/>
  <c r="O424" i="5"/>
  <c r="P424" i="5"/>
  <c r="S424" i="5"/>
  <c r="T424" i="5"/>
  <c r="F425" i="5"/>
  <c r="G425" i="5"/>
  <c r="H425" i="5"/>
  <c r="I425" i="5"/>
  <c r="J425" i="5"/>
  <c r="K425" i="5"/>
  <c r="M425" i="5"/>
  <c r="N425" i="5"/>
  <c r="O425" i="5"/>
  <c r="P425" i="5"/>
  <c r="S425" i="5"/>
  <c r="T425" i="5"/>
  <c r="F426" i="5"/>
  <c r="G426" i="5"/>
  <c r="H426" i="5"/>
  <c r="I426" i="5"/>
  <c r="J426" i="5"/>
  <c r="K426" i="5"/>
  <c r="M426" i="5"/>
  <c r="N426" i="5"/>
  <c r="O426" i="5"/>
  <c r="P426" i="5"/>
  <c r="S426" i="5"/>
  <c r="T426" i="5"/>
  <c r="F427" i="5"/>
  <c r="G427" i="5"/>
  <c r="H427" i="5"/>
  <c r="I427" i="5"/>
  <c r="J427" i="5"/>
  <c r="K427" i="5"/>
  <c r="M427" i="5"/>
  <c r="N427" i="5"/>
  <c r="O427" i="5"/>
  <c r="P427" i="5"/>
  <c r="S427" i="5"/>
  <c r="T427" i="5"/>
  <c r="F428" i="5"/>
  <c r="G428" i="5"/>
  <c r="H428" i="5"/>
  <c r="I428" i="5"/>
  <c r="J428" i="5"/>
  <c r="K428" i="5"/>
  <c r="M428" i="5"/>
  <c r="N428" i="5"/>
  <c r="O428" i="5"/>
  <c r="P428" i="5"/>
  <c r="S428" i="5"/>
  <c r="T428" i="5"/>
  <c r="F429" i="5"/>
  <c r="G429" i="5"/>
  <c r="H429" i="5"/>
  <c r="I429" i="5"/>
  <c r="J429" i="5"/>
  <c r="K429" i="5"/>
  <c r="M429" i="5"/>
  <c r="N429" i="5"/>
  <c r="R429" i="5" s="1"/>
  <c r="O429" i="5"/>
  <c r="P429" i="5"/>
  <c r="S429" i="5"/>
  <c r="T429" i="5"/>
  <c r="F430" i="5"/>
  <c r="G430" i="5"/>
  <c r="H430" i="5"/>
  <c r="I430" i="5"/>
  <c r="J430" i="5"/>
  <c r="K430" i="5"/>
  <c r="M430" i="5"/>
  <c r="N430" i="5"/>
  <c r="O430" i="5"/>
  <c r="P430" i="5"/>
  <c r="S430" i="5"/>
  <c r="T430" i="5"/>
  <c r="F431" i="5"/>
  <c r="G431" i="5"/>
  <c r="H431" i="5"/>
  <c r="I431" i="5"/>
  <c r="J431" i="5"/>
  <c r="K431" i="5"/>
  <c r="M431" i="5"/>
  <c r="N431" i="5"/>
  <c r="O431" i="5"/>
  <c r="P431" i="5"/>
  <c r="S431" i="5"/>
  <c r="T431" i="5"/>
  <c r="F432" i="5"/>
  <c r="G432" i="5"/>
  <c r="H432" i="5"/>
  <c r="I432" i="5"/>
  <c r="J432" i="5"/>
  <c r="K432" i="5"/>
  <c r="M432" i="5"/>
  <c r="N432" i="5"/>
  <c r="O432" i="5"/>
  <c r="P432" i="5"/>
  <c r="R432" i="5"/>
  <c r="S432" i="5"/>
  <c r="T432" i="5"/>
  <c r="F433" i="5"/>
  <c r="G433" i="5"/>
  <c r="H433" i="5"/>
  <c r="I433" i="5"/>
  <c r="J433" i="5"/>
  <c r="K433" i="5"/>
  <c r="M433" i="5"/>
  <c r="N433" i="5"/>
  <c r="O433" i="5"/>
  <c r="P433" i="5"/>
  <c r="S433" i="5"/>
  <c r="T433" i="5"/>
  <c r="F434" i="5"/>
  <c r="G434" i="5"/>
  <c r="H434" i="5"/>
  <c r="I434" i="5"/>
  <c r="J434" i="5"/>
  <c r="K434" i="5"/>
  <c r="M434" i="5"/>
  <c r="N434" i="5"/>
  <c r="O434" i="5"/>
  <c r="P434" i="5"/>
  <c r="S434" i="5"/>
  <c r="T434" i="5"/>
  <c r="F435" i="5"/>
  <c r="G435" i="5"/>
  <c r="H435" i="5"/>
  <c r="I435" i="5"/>
  <c r="J435" i="5"/>
  <c r="K435" i="5"/>
  <c r="M435" i="5"/>
  <c r="N435" i="5"/>
  <c r="O435" i="5"/>
  <c r="P435" i="5"/>
  <c r="S435" i="5"/>
  <c r="T435" i="5"/>
  <c r="F436" i="5"/>
  <c r="G436" i="5"/>
  <c r="H436" i="5"/>
  <c r="I436" i="5"/>
  <c r="J436" i="5"/>
  <c r="K436" i="5"/>
  <c r="M436" i="5"/>
  <c r="N436" i="5"/>
  <c r="O436" i="5"/>
  <c r="P436" i="5"/>
  <c r="S436" i="5"/>
  <c r="T436" i="5"/>
  <c r="F437" i="5"/>
  <c r="G437" i="5"/>
  <c r="H437" i="5"/>
  <c r="I437" i="5"/>
  <c r="J437" i="5"/>
  <c r="K437" i="5"/>
  <c r="M437" i="5"/>
  <c r="N437" i="5"/>
  <c r="R437" i="5" s="1"/>
  <c r="O437" i="5"/>
  <c r="P437" i="5"/>
  <c r="S437" i="5"/>
  <c r="T437" i="5"/>
  <c r="F438" i="5"/>
  <c r="G438" i="5"/>
  <c r="H438" i="5"/>
  <c r="I438" i="5"/>
  <c r="J438" i="5"/>
  <c r="K438" i="5"/>
  <c r="M438" i="5"/>
  <c r="N438" i="5"/>
  <c r="O438" i="5"/>
  <c r="P438" i="5"/>
  <c r="S438" i="5"/>
  <c r="T438" i="5"/>
  <c r="F439" i="5"/>
  <c r="G439" i="5"/>
  <c r="H439" i="5"/>
  <c r="I439" i="5"/>
  <c r="J439" i="5"/>
  <c r="K439" i="5"/>
  <c r="M439" i="5"/>
  <c r="N439" i="5"/>
  <c r="O439" i="5"/>
  <c r="P439" i="5"/>
  <c r="S439" i="5"/>
  <c r="T439" i="5"/>
  <c r="F440" i="5"/>
  <c r="G440" i="5"/>
  <c r="H440" i="5"/>
  <c r="I440" i="5"/>
  <c r="J440" i="5"/>
  <c r="K440" i="5"/>
  <c r="M440" i="5"/>
  <c r="N440" i="5"/>
  <c r="O440" i="5"/>
  <c r="P440" i="5"/>
  <c r="S440" i="5"/>
  <c r="T440" i="5"/>
  <c r="F441" i="5"/>
  <c r="G441" i="5"/>
  <c r="H441" i="5"/>
  <c r="I441" i="5"/>
  <c r="J441" i="5"/>
  <c r="K441" i="5"/>
  <c r="M441" i="5"/>
  <c r="N441" i="5"/>
  <c r="O441" i="5"/>
  <c r="P441" i="5"/>
  <c r="S441" i="5"/>
  <c r="T441" i="5"/>
  <c r="F442" i="5"/>
  <c r="G442" i="5"/>
  <c r="H442" i="5"/>
  <c r="I442" i="5"/>
  <c r="J442" i="5"/>
  <c r="K442" i="5"/>
  <c r="M442" i="5"/>
  <c r="N442" i="5"/>
  <c r="O442" i="5"/>
  <c r="P442" i="5"/>
  <c r="S442" i="5"/>
  <c r="T442" i="5"/>
  <c r="F443" i="5"/>
  <c r="G443" i="5"/>
  <c r="H443" i="5"/>
  <c r="I443" i="5"/>
  <c r="J443" i="5"/>
  <c r="K443" i="5"/>
  <c r="M443" i="5"/>
  <c r="N443" i="5"/>
  <c r="O443" i="5"/>
  <c r="P443" i="5"/>
  <c r="S443" i="5"/>
  <c r="T443" i="5"/>
  <c r="F444" i="5"/>
  <c r="G444" i="5"/>
  <c r="H444" i="5"/>
  <c r="I444" i="5"/>
  <c r="J444" i="5"/>
  <c r="K444" i="5"/>
  <c r="M444" i="5"/>
  <c r="N444" i="5"/>
  <c r="O444" i="5"/>
  <c r="P444" i="5"/>
  <c r="S444" i="5"/>
  <c r="T444" i="5"/>
  <c r="F445" i="5"/>
  <c r="G445" i="5"/>
  <c r="H445" i="5"/>
  <c r="I445" i="5"/>
  <c r="J445" i="5"/>
  <c r="K445" i="5"/>
  <c r="M445" i="5"/>
  <c r="N445" i="5"/>
  <c r="O445" i="5"/>
  <c r="P445" i="5"/>
  <c r="S445" i="5"/>
  <c r="T445" i="5"/>
  <c r="F446" i="5"/>
  <c r="G446" i="5"/>
  <c r="H446" i="5"/>
  <c r="I446" i="5"/>
  <c r="J446" i="5"/>
  <c r="K446" i="5"/>
  <c r="M446" i="5"/>
  <c r="N446" i="5"/>
  <c r="O446" i="5"/>
  <c r="P446" i="5"/>
  <c r="S446" i="5"/>
  <c r="T446" i="5"/>
  <c r="F447" i="5"/>
  <c r="G447" i="5"/>
  <c r="H447" i="5"/>
  <c r="I447" i="5"/>
  <c r="J447" i="5"/>
  <c r="K447" i="5"/>
  <c r="M447" i="5"/>
  <c r="N447" i="5"/>
  <c r="O447" i="5"/>
  <c r="P447" i="5"/>
  <c r="S447" i="5"/>
  <c r="T447" i="5"/>
  <c r="F448" i="5"/>
  <c r="G448" i="5"/>
  <c r="H448" i="5"/>
  <c r="I448" i="5"/>
  <c r="J448" i="5"/>
  <c r="K448" i="5"/>
  <c r="M448" i="5"/>
  <c r="N448" i="5"/>
  <c r="O448" i="5"/>
  <c r="P448" i="5"/>
  <c r="S448" i="5"/>
  <c r="T448" i="5"/>
  <c r="F449" i="5"/>
  <c r="G449" i="5"/>
  <c r="H449" i="5"/>
  <c r="I449" i="5"/>
  <c r="J449" i="5"/>
  <c r="K449" i="5"/>
  <c r="M449" i="5"/>
  <c r="N449" i="5"/>
  <c r="O449" i="5"/>
  <c r="P449" i="5"/>
  <c r="S449" i="5"/>
  <c r="T449" i="5"/>
  <c r="F450" i="5"/>
  <c r="G450" i="5"/>
  <c r="H450" i="5"/>
  <c r="I450" i="5"/>
  <c r="J450" i="5"/>
  <c r="K450" i="5"/>
  <c r="M450" i="5"/>
  <c r="N450" i="5"/>
  <c r="O450" i="5"/>
  <c r="P450" i="5"/>
  <c r="S450" i="5"/>
  <c r="T450" i="5"/>
  <c r="F451" i="5"/>
  <c r="G451" i="5"/>
  <c r="H451" i="5"/>
  <c r="I451" i="5"/>
  <c r="J451" i="5"/>
  <c r="K451" i="5"/>
  <c r="M451" i="5"/>
  <c r="N451" i="5"/>
  <c r="O451" i="5"/>
  <c r="P451" i="5"/>
  <c r="S451" i="5"/>
  <c r="T451" i="5"/>
  <c r="F452" i="5"/>
  <c r="G452" i="5"/>
  <c r="H452" i="5"/>
  <c r="I452" i="5"/>
  <c r="J452" i="5"/>
  <c r="K452" i="5"/>
  <c r="M452" i="5"/>
  <c r="N452" i="5"/>
  <c r="U452" i="5" s="1"/>
  <c r="O452" i="5"/>
  <c r="P452" i="5"/>
  <c r="S452" i="5"/>
  <c r="T452" i="5"/>
  <c r="F453" i="5"/>
  <c r="G453" i="5"/>
  <c r="H453" i="5"/>
  <c r="I453" i="5"/>
  <c r="J453" i="5"/>
  <c r="K453" i="5"/>
  <c r="M453" i="5"/>
  <c r="N453" i="5"/>
  <c r="U453" i="5" s="1"/>
  <c r="O453" i="5"/>
  <c r="P453" i="5"/>
  <c r="S453" i="5"/>
  <c r="T453" i="5"/>
  <c r="F454" i="5"/>
  <c r="G454" i="5"/>
  <c r="H454" i="5"/>
  <c r="I454" i="5"/>
  <c r="J454" i="5"/>
  <c r="K454" i="5"/>
  <c r="M454" i="5"/>
  <c r="N454" i="5"/>
  <c r="O454" i="5"/>
  <c r="P454" i="5"/>
  <c r="S454" i="5"/>
  <c r="T454" i="5"/>
  <c r="F455" i="5"/>
  <c r="G455" i="5"/>
  <c r="H455" i="5"/>
  <c r="I455" i="5"/>
  <c r="J455" i="5"/>
  <c r="K455" i="5"/>
  <c r="M455" i="5"/>
  <c r="R455" i="5" s="1"/>
  <c r="N455" i="5"/>
  <c r="O455" i="5"/>
  <c r="P455" i="5"/>
  <c r="S455" i="5"/>
  <c r="T455" i="5"/>
  <c r="F456" i="5"/>
  <c r="G456" i="5"/>
  <c r="H456" i="5"/>
  <c r="I456" i="5"/>
  <c r="J456" i="5"/>
  <c r="K456" i="5"/>
  <c r="M456" i="5"/>
  <c r="N456" i="5"/>
  <c r="O456" i="5"/>
  <c r="P456" i="5"/>
  <c r="S456" i="5"/>
  <c r="T456" i="5"/>
  <c r="F457" i="5"/>
  <c r="G457" i="5"/>
  <c r="H457" i="5"/>
  <c r="I457" i="5"/>
  <c r="J457" i="5"/>
  <c r="K457" i="5"/>
  <c r="M457" i="5"/>
  <c r="N457" i="5"/>
  <c r="O457" i="5"/>
  <c r="P457" i="5"/>
  <c r="S457" i="5"/>
  <c r="T457" i="5"/>
  <c r="F458" i="5"/>
  <c r="G458" i="5"/>
  <c r="H458" i="5"/>
  <c r="I458" i="5"/>
  <c r="J458" i="5"/>
  <c r="K458" i="5"/>
  <c r="M458" i="5"/>
  <c r="N458" i="5"/>
  <c r="O458" i="5"/>
  <c r="P458" i="5"/>
  <c r="S458" i="5"/>
  <c r="T458" i="5"/>
  <c r="F459" i="5"/>
  <c r="G459" i="5"/>
  <c r="H459" i="5"/>
  <c r="I459" i="5"/>
  <c r="J459" i="5"/>
  <c r="K459" i="5"/>
  <c r="M459" i="5"/>
  <c r="N459" i="5"/>
  <c r="O459" i="5"/>
  <c r="P459" i="5"/>
  <c r="S459" i="5"/>
  <c r="T459" i="5"/>
  <c r="F460" i="5"/>
  <c r="G460" i="5"/>
  <c r="H460" i="5"/>
  <c r="I460" i="5"/>
  <c r="J460" i="5"/>
  <c r="K460" i="5"/>
  <c r="M460" i="5"/>
  <c r="N460" i="5"/>
  <c r="O460" i="5"/>
  <c r="P460" i="5"/>
  <c r="S460" i="5"/>
  <c r="T460" i="5"/>
  <c r="F461" i="5"/>
  <c r="G461" i="5"/>
  <c r="H461" i="5"/>
  <c r="I461" i="5"/>
  <c r="J461" i="5"/>
  <c r="K461" i="5"/>
  <c r="M461" i="5"/>
  <c r="N461" i="5"/>
  <c r="U461" i="5" s="1"/>
  <c r="O461" i="5"/>
  <c r="P461" i="5"/>
  <c r="S461" i="5"/>
  <c r="T461" i="5"/>
  <c r="F462" i="5"/>
  <c r="G462" i="5"/>
  <c r="H462" i="5"/>
  <c r="I462" i="5"/>
  <c r="J462" i="5"/>
  <c r="K462" i="5"/>
  <c r="M462" i="5"/>
  <c r="N462" i="5"/>
  <c r="O462" i="5"/>
  <c r="P462" i="5"/>
  <c r="S462" i="5"/>
  <c r="T462" i="5"/>
  <c r="F463" i="5"/>
  <c r="G463" i="5"/>
  <c r="H463" i="5"/>
  <c r="I463" i="5"/>
  <c r="J463" i="5"/>
  <c r="K463" i="5"/>
  <c r="M463" i="5"/>
  <c r="N463" i="5"/>
  <c r="O463" i="5"/>
  <c r="P463" i="5"/>
  <c r="S463" i="5"/>
  <c r="T463" i="5"/>
  <c r="F464" i="5"/>
  <c r="G464" i="5"/>
  <c r="H464" i="5"/>
  <c r="I464" i="5"/>
  <c r="J464" i="5"/>
  <c r="K464" i="5"/>
  <c r="M464" i="5"/>
  <c r="N464" i="5"/>
  <c r="O464" i="5"/>
  <c r="P464" i="5"/>
  <c r="S464" i="5"/>
  <c r="T464" i="5"/>
  <c r="F465" i="5"/>
  <c r="G465" i="5"/>
  <c r="H465" i="5"/>
  <c r="I465" i="5"/>
  <c r="J465" i="5"/>
  <c r="K465" i="5"/>
  <c r="M465" i="5"/>
  <c r="N465" i="5"/>
  <c r="O465" i="5"/>
  <c r="P465" i="5"/>
  <c r="S465" i="5"/>
  <c r="T465" i="5"/>
  <c r="F466" i="5"/>
  <c r="G466" i="5"/>
  <c r="H466" i="5"/>
  <c r="I466" i="5"/>
  <c r="J466" i="5"/>
  <c r="K466" i="5"/>
  <c r="M466" i="5"/>
  <c r="N466" i="5"/>
  <c r="R466" i="5" s="1"/>
  <c r="O466" i="5"/>
  <c r="P466" i="5"/>
  <c r="S466" i="5"/>
  <c r="T466" i="5"/>
  <c r="F467" i="5"/>
  <c r="G467" i="5"/>
  <c r="H467" i="5"/>
  <c r="I467" i="5"/>
  <c r="J467" i="5"/>
  <c r="K467" i="5"/>
  <c r="M467" i="5"/>
  <c r="N467" i="5"/>
  <c r="U467" i="5" s="1"/>
  <c r="O467" i="5"/>
  <c r="P467" i="5"/>
  <c r="S467" i="5"/>
  <c r="T467" i="5"/>
  <c r="F468" i="5"/>
  <c r="G468" i="5"/>
  <c r="H468" i="5"/>
  <c r="I468" i="5"/>
  <c r="J468" i="5"/>
  <c r="K468" i="5"/>
  <c r="M468" i="5"/>
  <c r="N468" i="5"/>
  <c r="O468" i="5"/>
  <c r="P468" i="5"/>
  <c r="Q468" i="5" s="1"/>
  <c r="S468" i="5"/>
  <c r="T468" i="5"/>
  <c r="F469" i="5"/>
  <c r="G469" i="5"/>
  <c r="H469" i="5"/>
  <c r="I469" i="5"/>
  <c r="J469" i="5"/>
  <c r="K469" i="5"/>
  <c r="M469" i="5"/>
  <c r="N469" i="5"/>
  <c r="O469" i="5"/>
  <c r="P469" i="5"/>
  <c r="S469" i="5"/>
  <c r="T469" i="5"/>
  <c r="F470" i="5"/>
  <c r="G470" i="5"/>
  <c r="H470" i="5"/>
  <c r="I470" i="5"/>
  <c r="J470" i="5"/>
  <c r="K470" i="5"/>
  <c r="M470" i="5"/>
  <c r="N470" i="5"/>
  <c r="O470" i="5"/>
  <c r="P470" i="5"/>
  <c r="S470" i="5"/>
  <c r="T470" i="5"/>
  <c r="F471" i="5"/>
  <c r="G471" i="5"/>
  <c r="H471" i="5"/>
  <c r="I471" i="5"/>
  <c r="J471" i="5"/>
  <c r="K471" i="5"/>
  <c r="M471" i="5"/>
  <c r="N471" i="5"/>
  <c r="O471" i="5"/>
  <c r="P471" i="5"/>
  <c r="S471" i="5"/>
  <c r="T471" i="5"/>
  <c r="F472" i="5"/>
  <c r="G472" i="5"/>
  <c r="H472" i="5"/>
  <c r="I472" i="5"/>
  <c r="J472" i="5"/>
  <c r="K472" i="5"/>
  <c r="M472" i="5"/>
  <c r="N472" i="5"/>
  <c r="O472" i="5"/>
  <c r="P472" i="5"/>
  <c r="S472" i="5"/>
  <c r="T472" i="5"/>
  <c r="F473" i="5"/>
  <c r="G473" i="5"/>
  <c r="H473" i="5"/>
  <c r="I473" i="5"/>
  <c r="J473" i="5"/>
  <c r="K473" i="5"/>
  <c r="M473" i="5"/>
  <c r="N473" i="5"/>
  <c r="O473" i="5"/>
  <c r="P473" i="5"/>
  <c r="S473" i="5"/>
  <c r="T473" i="5"/>
  <c r="F474" i="5"/>
  <c r="G474" i="5"/>
  <c r="H474" i="5"/>
  <c r="I474" i="5"/>
  <c r="J474" i="5"/>
  <c r="K474" i="5"/>
  <c r="M474" i="5"/>
  <c r="R474" i="5" s="1"/>
  <c r="N474" i="5"/>
  <c r="O474" i="5"/>
  <c r="P474" i="5"/>
  <c r="S474" i="5"/>
  <c r="T474" i="5"/>
  <c r="F475" i="5"/>
  <c r="G475" i="5"/>
  <c r="H475" i="5"/>
  <c r="I475" i="5"/>
  <c r="J475" i="5"/>
  <c r="K475" i="5"/>
  <c r="M475" i="5"/>
  <c r="N475" i="5"/>
  <c r="O475" i="5"/>
  <c r="P475" i="5"/>
  <c r="S475" i="5"/>
  <c r="T475" i="5"/>
  <c r="F476" i="5"/>
  <c r="G476" i="5"/>
  <c r="H476" i="5"/>
  <c r="I476" i="5"/>
  <c r="J476" i="5"/>
  <c r="K476" i="5"/>
  <c r="M476" i="5"/>
  <c r="N476" i="5"/>
  <c r="O476" i="5"/>
  <c r="Q476" i="5" s="1"/>
  <c r="P476" i="5"/>
  <c r="S476" i="5"/>
  <c r="T476" i="5"/>
  <c r="F477" i="5"/>
  <c r="G477" i="5"/>
  <c r="H477" i="5"/>
  <c r="I477" i="5"/>
  <c r="J477" i="5"/>
  <c r="K477" i="5"/>
  <c r="M477" i="5"/>
  <c r="N477" i="5"/>
  <c r="O477" i="5"/>
  <c r="P477" i="5"/>
  <c r="S477" i="5"/>
  <c r="T477" i="5"/>
  <c r="F478" i="5"/>
  <c r="G478" i="5"/>
  <c r="H478" i="5"/>
  <c r="I478" i="5"/>
  <c r="J478" i="5"/>
  <c r="K478" i="5"/>
  <c r="M478" i="5"/>
  <c r="N478" i="5"/>
  <c r="O478" i="5"/>
  <c r="P478" i="5"/>
  <c r="S478" i="5"/>
  <c r="T478" i="5"/>
  <c r="F479" i="5"/>
  <c r="G479" i="5"/>
  <c r="H479" i="5"/>
  <c r="I479" i="5"/>
  <c r="J479" i="5"/>
  <c r="K479" i="5"/>
  <c r="M479" i="5"/>
  <c r="N479" i="5"/>
  <c r="O479" i="5"/>
  <c r="P479" i="5"/>
  <c r="R479" i="5"/>
  <c r="S479" i="5"/>
  <c r="T479" i="5"/>
  <c r="F480" i="5"/>
  <c r="G480" i="5"/>
  <c r="H480" i="5"/>
  <c r="I480" i="5"/>
  <c r="J480" i="5"/>
  <c r="K480" i="5"/>
  <c r="M480" i="5"/>
  <c r="N480" i="5"/>
  <c r="O480" i="5"/>
  <c r="P480" i="5"/>
  <c r="S480" i="5"/>
  <c r="T480" i="5"/>
  <c r="F481" i="5"/>
  <c r="G481" i="5"/>
  <c r="H481" i="5"/>
  <c r="I481" i="5"/>
  <c r="J481" i="5"/>
  <c r="K481" i="5"/>
  <c r="M481" i="5"/>
  <c r="N481" i="5"/>
  <c r="O481" i="5"/>
  <c r="Q481" i="5" s="1"/>
  <c r="P481" i="5"/>
  <c r="S481" i="5"/>
  <c r="T481" i="5"/>
  <c r="F482" i="5"/>
  <c r="G482" i="5"/>
  <c r="H482" i="5"/>
  <c r="I482" i="5"/>
  <c r="J482" i="5"/>
  <c r="K482" i="5"/>
  <c r="M482" i="5"/>
  <c r="N482" i="5"/>
  <c r="O482" i="5"/>
  <c r="P482" i="5"/>
  <c r="S482" i="5"/>
  <c r="T482" i="5"/>
  <c r="F483" i="5"/>
  <c r="G483" i="5"/>
  <c r="H483" i="5"/>
  <c r="I483" i="5"/>
  <c r="J483" i="5"/>
  <c r="K483" i="5"/>
  <c r="M483" i="5"/>
  <c r="N483" i="5"/>
  <c r="O483" i="5"/>
  <c r="P483" i="5"/>
  <c r="S483" i="5"/>
  <c r="T483" i="5"/>
  <c r="F484" i="5"/>
  <c r="G484" i="5"/>
  <c r="H484" i="5"/>
  <c r="I484" i="5"/>
  <c r="J484" i="5"/>
  <c r="K484" i="5"/>
  <c r="M484" i="5"/>
  <c r="N484" i="5"/>
  <c r="O484" i="5"/>
  <c r="P484" i="5"/>
  <c r="S484" i="5"/>
  <c r="T484" i="5"/>
  <c r="F485" i="5"/>
  <c r="G485" i="5"/>
  <c r="H485" i="5"/>
  <c r="I485" i="5"/>
  <c r="J485" i="5"/>
  <c r="K485" i="5"/>
  <c r="M485" i="5"/>
  <c r="N485" i="5"/>
  <c r="U485" i="5" s="1"/>
  <c r="O485" i="5"/>
  <c r="P485" i="5"/>
  <c r="S485" i="5"/>
  <c r="T485" i="5"/>
  <c r="F486" i="5"/>
  <c r="G486" i="5"/>
  <c r="H486" i="5"/>
  <c r="I486" i="5"/>
  <c r="J486" i="5"/>
  <c r="K486" i="5"/>
  <c r="M486" i="5"/>
  <c r="N486" i="5"/>
  <c r="O486" i="5"/>
  <c r="P486" i="5"/>
  <c r="S486" i="5"/>
  <c r="T486" i="5"/>
  <c r="F487" i="5"/>
  <c r="G487" i="5"/>
  <c r="H487" i="5"/>
  <c r="I487" i="5"/>
  <c r="J487" i="5"/>
  <c r="K487" i="5"/>
  <c r="M487" i="5"/>
  <c r="N487" i="5"/>
  <c r="O487" i="5"/>
  <c r="P487" i="5"/>
  <c r="S487" i="5"/>
  <c r="T487" i="5"/>
  <c r="F488" i="5"/>
  <c r="G488" i="5"/>
  <c r="H488" i="5"/>
  <c r="I488" i="5"/>
  <c r="J488" i="5"/>
  <c r="K488" i="5"/>
  <c r="M488" i="5"/>
  <c r="N488" i="5"/>
  <c r="O488" i="5"/>
  <c r="P488" i="5"/>
  <c r="S488" i="5"/>
  <c r="T488" i="5"/>
  <c r="F489" i="5"/>
  <c r="G489" i="5"/>
  <c r="H489" i="5"/>
  <c r="I489" i="5"/>
  <c r="J489" i="5"/>
  <c r="K489" i="5"/>
  <c r="M489" i="5"/>
  <c r="N489" i="5"/>
  <c r="O489" i="5"/>
  <c r="P489" i="5"/>
  <c r="S489" i="5"/>
  <c r="T489" i="5"/>
  <c r="F490" i="5"/>
  <c r="G490" i="5"/>
  <c r="H490" i="5"/>
  <c r="I490" i="5"/>
  <c r="J490" i="5"/>
  <c r="K490" i="5"/>
  <c r="M490" i="5"/>
  <c r="N490" i="5"/>
  <c r="O490" i="5"/>
  <c r="P490" i="5"/>
  <c r="S490" i="5"/>
  <c r="T490" i="5"/>
  <c r="F491" i="5"/>
  <c r="G491" i="5"/>
  <c r="H491" i="5"/>
  <c r="I491" i="5"/>
  <c r="J491" i="5"/>
  <c r="K491" i="5"/>
  <c r="M491" i="5"/>
  <c r="N491" i="5"/>
  <c r="O491" i="5"/>
  <c r="P491" i="5"/>
  <c r="S491" i="5"/>
  <c r="T491" i="5"/>
  <c r="F492" i="5"/>
  <c r="G492" i="5"/>
  <c r="H492" i="5"/>
  <c r="I492" i="5"/>
  <c r="J492" i="5"/>
  <c r="K492" i="5"/>
  <c r="M492" i="5"/>
  <c r="N492" i="5"/>
  <c r="O492" i="5"/>
  <c r="P492" i="5"/>
  <c r="S492" i="5"/>
  <c r="T492" i="5"/>
  <c r="F493" i="5"/>
  <c r="G493" i="5"/>
  <c r="H493" i="5"/>
  <c r="I493" i="5"/>
  <c r="J493" i="5"/>
  <c r="K493" i="5"/>
  <c r="M493" i="5"/>
  <c r="N493" i="5"/>
  <c r="O493" i="5"/>
  <c r="P493" i="5"/>
  <c r="S493" i="5"/>
  <c r="T493" i="5"/>
  <c r="F494" i="5"/>
  <c r="G494" i="5"/>
  <c r="H494" i="5"/>
  <c r="I494" i="5"/>
  <c r="J494" i="5"/>
  <c r="K494" i="5"/>
  <c r="M494" i="5"/>
  <c r="N494" i="5"/>
  <c r="O494" i="5"/>
  <c r="P494" i="5"/>
  <c r="S494" i="5"/>
  <c r="T494" i="5"/>
  <c r="F495" i="5"/>
  <c r="G495" i="5"/>
  <c r="H495" i="5"/>
  <c r="I495" i="5"/>
  <c r="J495" i="5"/>
  <c r="K495" i="5"/>
  <c r="M495" i="5"/>
  <c r="N495" i="5"/>
  <c r="O495" i="5"/>
  <c r="P495" i="5"/>
  <c r="S495" i="5"/>
  <c r="T495" i="5"/>
  <c r="F496" i="5"/>
  <c r="G496" i="5"/>
  <c r="H496" i="5"/>
  <c r="I496" i="5"/>
  <c r="J496" i="5"/>
  <c r="K496" i="5"/>
  <c r="M496" i="5"/>
  <c r="N496" i="5"/>
  <c r="O496" i="5"/>
  <c r="P496" i="5"/>
  <c r="S496" i="5"/>
  <c r="T496" i="5"/>
  <c r="F497" i="5"/>
  <c r="G497" i="5"/>
  <c r="H497" i="5"/>
  <c r="I497" i="5"/>
  <c r="J497" i="5"/>
  <c r="K497" i="5"/>
  <c r="M497" i="5"/>
  <c r="N497" i="5"/>
  <c r="U497" i="5" s="1"/>
  <c r="O497" i="5"/>
  <c r="P497" i="5"/>
  <c r="S497" i="5"/>
  <c r="T497" i="5"/>
  <c r="F498" i="5"/>
  <c r="G498" i="5"/>
  <c r="H498" i="5"/>
  <c r="I498" i="5"/>
  <c r="J498" i="5"/>
  <c r="K498" i="5"/>
  <c r="M498" i="5"/>
  <c r="N498" i="5"/>
  <c r="O498" i="5"/>
  <c r="P498" i="5"/>
  <c r="S498" i="5"/>
  <c r="T498" i="5"/>
  <c r="F499" i="5"/>
  <c r="G499" i="5"/>
  <c r="H499" i="5"/>
  <c r="I499" i="5"/>
  <c r="J499" i="5"/>
  <c r="K499" i="5"/>
  <c r="M499" i="5"/>
  <c r="N499" i="5"/>
  <c r="O499" i="5"/>
  <c r="P499" i="5"/>
  <c r="S499" i="5"/>
  <c r="T499" i="5"/>
  <c r="F500" i="5"/>
  <c r="G500" i="5"/>
  <c r="H500" i="5"/>
  <c r="I500" i="5"/>
  <c r="J500" i="5"/>
  <c r="K500" i="5"/>
  <c r="M500" i="5"/>
  <c r="N500" i="5"/>
  <c r="O500" i="5"/>
  <c r="Q500" i="5" s="1"/>
  <c r="P500" i="5"/>
  <c r="S500" i="5"/>
  <c r="T500" i="5"/>
  <c r="F501" i="5"/>
  <c r="G501" i="5"/>
  <c r="H501" i="5"/>
  <c r="I501" i="5"/>
  <c r="J501" i="5"/>
  <c r="K501" i="5"/>
  <c r="M501" i="5"/>
  <c r="N501" i="5"/>
  <c r="O501" i="5"/>
  <c r="P501" i="5"/>
  <c r="S501" i="5"/>
  <c r="T501" i="5"/>
  <c r="F502" i="5"/>
  <c r="G502" i="5"/>
  <c r="H502" i="5"/>
  <c r="I502" i="5"/>
  <c r="J502" i="5"/>
  <c r="K502" i="5"/>
  <c r="M502" i="5"/>
  <c r="N502" i="5"/>
  <c r="O502" i="5"/>
  <c r="P502" i="5"/>
  <c r="S502" i="5"/>
  <c r="T502" i="5"/>
  <c r="F503" i="5"/>
  <c r="G503" i="5"/>
  <c r="H503" i="5"/>
  <c r="I503" i="5"/>
  <c r="J503" i="5"/>
  <c r="K503" i="5"/>
  <c r="M503" i="5"/>
  <c r="N503" i="5"/>
  <c r="O503" i="5"/>
  <c r="P503" i="5"/>
  <c r="S503" i="5"/>
  <c r="T503" i="5"/>
  <c r="F504" i="5"/>
  <c r="G504" i="5"/>
  <c r="H504" i="5"/>
  <c r="I504" i="5"/>
  <c r="J504" i="5"/>
  <c r="K504" i="5"/>
  <c r="M504" i="5"/>
  <c r="N504" i="5"/>
  <c r="O504" i="5"/>
  <c r="P504" i="5"/>
  <c r="S504" i="5"/>
  <c r="T504" i="5"/>
  <c r="F505" i="5"/>
  <c r="G505" i="5"/>
  <c r="H505" i="5"/>
  <c r="I505" i="5"/>
  <c r="J505" i="5"/>
  <c r="K505" i="5"/>
  <c r="M505" i="5"/>
  <c r="N505" i="5"/>
  <c r="O505" i="5"/>
  <c r="P505" i="5"/>
  <c r="S505" i="5"/>
  <c r="T505" i="5"/>
  <c r="F506" i="5"/>
  <c r="G506" i="5"/>
  <c r="H506" i="5"/>
  <c r="I506" i="5"/>
  <c r="J506" i="5"/>
  <c r="K506" i="5"/>
  <c r="M506" i="5"/>
  <c r="N506" i="5"/>
  <c r="O506" i="5"/>
  <c r="P506" i="5"/>
  <c r="S506" i="5"/>
  <c r="T506" i="5"/>
  <c r="F507" i="5"/>
  <c r="G507" i="5"/>
  <c r="H507" i="5"/>
  <c r="I507" i="5"/>
  <c r="J507" i="5"/>
  <c r="K507" i="5"/>
  <c r="M507" i="5"/>
  <c r="N507" i="5"/>
  <c r="O507" i="5"/>
  <c r="P507" i="5"/>
  <c r="S507" i="5"/>
  <c r="T507" i="5"/>
  <c r="F508" i="5"/>
  <c r="G508" i="5"/>
  <c r="H508" i="5"/>
  <c r="I508" i="5"/>
  <c r="J508" i="5"/>
  <c r="K508" i="5"/>
  <c r="M508" i="5"/>
  <c r="N508" i="5"/>
  <c r="O508" i="5"/>
  <c r="P508" i="5"/>
  <c r="S508" i="5"/>
  <c r="T508" i="5"/>
  <c r="F509" i="5"/>
  <c r="G509" i="5"/>
  <c r="H509" i="5"/>
  <c r="I509" i="5"/>
  <c r="J509" i="5"/>
  <c r="K509" i="5"/>
  <c r="M509" i="5"/>
  <c r="N509" i="5"/>
  <c r="U509" i="5" s="1"/>
  <c r="O509" i="5"/>
  <c r="P509" i="5"/>
  <c r="Q509" i="5"/>
  <c r="S509" i="5"/>
  <c r="T509" i="5"/>
  <c r="F510" i="5"/>
  <c r="G510" i="5"/>
  <c r="H510" i="5"/>
  <c r="I510" i="5"/>
  <c r="J510" i="5"/>
  <c r="K510" i="5"/>
  <c r="M510" i="5"/>
  <c r="N510" i="5"/>
  <c r="O510" i="5"/>
  <c r="P510" i="5"/>
  <c r="S510" i="5"/>
  <c r="T510" i="5"/>
  <c r="F511" i="5"/>
  <c r="G511" i="5"/>
  <c r="H511" i="5"/>
  <c r="I511" i="5"/>
  <c r="J511" i="5"/>
  <c r="K511" i="5"/>
  <c r="M511" i="5"/>
  <c r="N511" i="5"/>
  <c r="O511" i="5"/>
  <c r="P511" i="5"/>
  <c r="S511" i="5"/>
  <c r="T511" i="5"/>
  <c r="F512" i="5"/>
  <c r="G512" i="5"/>
  <c r="H512" i="5"/>
  <c r="I512" i="5"/>
  <c r="J512" i="5"/>
  <c r="K512" i="5"/>
  <c r="M512" i="5"/>
  <c r="N512" i="5"/>
  <c r="O512" i="5"/>
  <c r="P512" i="5"/>
  <c r="S512" i="5"/>
  <c r="T512" i="5"/>
  <c r="F513" i="5"/>
  <c r="G513" i="5"/>
  <c r="H513" i="5"/>
  <c r="I513" i="5"/>
  <c r="J513" i="5"/>
  <c r="K513" i="5"/>
  <c r="M513" i="5"/>
  <c r="N513" i="5"/>
  <c r="U513" i="5" s="1"/>
  <c r="O513" i="5"/>
  <c r="P513" i="5"/>
  <c r="S513" i="5"/>
  <c r="T513" i="5"/>
  <c r="F514" i="5"/>
  <c r="G514" i="5"/>
  <c r="H514" i="5"/>
  <c r="I514" i="5"/>
  <c r="J514" i="5"/>
  <c r="K514" i="5"/>
  <c r="M514" i="5"/>
  <c r="N514" i="5"/>
  <c r="O514" i="5"/>
  <c r="P514" i="5"/>
  <c r="S514" i="5"/>
  <c r="T514" i="5"/>
  <c r="U514" i="5"/>
  <c r="F515" i="5"/>
  <c r="G515" i="5"/>
  <c r="H515" i="5"/>
  <c r="I515" i="5"/>
  <c r="J515" i="5"/>
  <c r="K515" i="5"/>
  <c r="M515" i="5"/>
  <c r="N515" i="5"/>
  <c r="O515" i="5"/>
  <c r="P515" i="5"/>
  <c r="S515" i="5"/>
  <c r="T515" i="5"/>
  <c r="F516" i="5"/>
  <c r="G516" i="5"/>
  <c r="H516" i="5"/>
  <c r="I516" i="5"/>
  <c r="J516" i="5"/>
  <c r="K516" i="5"/>
  <c r="M516" i="5"/>
  <c r="N516" i="5"/>
  <c r="O516" i="5"/>
  <c r="P516" i="5"/>
  <c r="S516" i="5"/>
  <c r="T516" i="5"/>
  <c r="F517" i="5"/>
  <c r="G517" i="5"/>
  <c r="H517" i="5"/>
  <c r="I517" i="5"/>
  <c r="J517" i="5"/>
  <c r="K517" i="5"/>
  <c r="M517" i="5"/>
  <c r="N517" i="5"/>
  <c r="O517" i="5"/>
  <c r="P517" i="5"/>
  <c r="S517" i="5"/>
  <c r="T517" i="5"/>
  <c r="F518" i="5"/>
  <c r="G518" i="5"/>
  <c r="H518" i="5"/>
  <c r="I518" i="5"/>
  <c r="J518" i="5"/>
  <c r="K518" i="5"/>
  <c r="M518" i="5"/>
  <c r="N518" i="5"/>
  <c r="O518" i="5"/>
  <c r="P518" i="5"/>
  <c r="S518" i="5"/>
  <c r="T518" i="5"/>
  <c r="F519" i="5"/>
  <c r="G519" i="5"/>
  <c r="H519" i="5"/>
  <c r="I519" i="5"/>
  <c r="J519" i="5"/>
  <c r="K519" i="5"/>
  <c r="M519" i="5"/>
  <c r="N519" i="5"/>
  <c r="O519" i="5"/>
  <c r="P519" i="5"/>
  <c r="S519" i="5"/>
  <c r="T519" i="5"/>
  <c r="F520" i="5"/>
  <c r="G520" i="5"/>
  <c r="H520" i="5"/>
  <c r="I520" i="5"/>
  <c r="J520" i="5"/>
  <c r="K520" i="5"/>
  <c r="M520" i="5"/>
  <c r="N520" i="5"/>
  <c r="O520" i="5"/>
  <c r="P520" i="5"/>
  <c r="S520" i="5"/>
  <c r="T520" i="5"/>
  <c r="F521" i="5"/>
  <c r="G521" i="5"/>
  <c r="H521" i="5"/>
  <c r="I521" i="5"/>
  <c r="J521" i="5"/>
  <c r="K521" i="5"/>
  <c r="M521" i="5"/>
  <c r="N521" i="5"/>
  <c r="O521" i="5"/>
  <c r="P521" i="5"/>
  <c r="S521" i="5"/>
  <c r="T521" i="5"/>
  <c r="F522" i="5"/>
  <c r="G522" i="5"/>
  <c r="H522" i="5"/>
  <c r="I522" i="5"/>
  <c r="J522" i="5"/>
  <c r="K522" i="5"/>
  <c r="M522" i="5"/>
  <c r="N522" i="5"/>
  <c r="O522" i="5"/>
  <c r="P522" i="5"/>
  <c r="R522" i="5"/>
  <c r="S522" i="5"/>
  <c r="T522" i="5"/>
  <c r="F523" i="5"/>
  <c r="G523" i="5"/>
  <c r="H523" i="5"/>
  <c r="I523" i="5"/>
  <c r="J523" i="5"/>
  <c r="K523" i="5"/>
  <c r="M523" i="5"/>
  <c r="N523" i="5"/>
  <c r="O523" i="5"/>
  <c r="P523" i="5"/>
  <c r="S523" i="5"/>
  <c r="T523" i="5"/>
  <c r="F524" i="5"/>
  <c r="G524" i="5"/>
  <c r="H524" i="5"/>
  <c r="I524" i="5"/>
  <c r="J524" i="5"/>
  <c r="K524" i="5"/>
  <c r="M524" i="5"/>
  <c r="N524" i="5"/>
  <c r="O524" i="5"/>
  <c r="P524" i="5"/>
  <c r="S524" i="5"/>
  <c r="T524" i="5"/>
  <c r="F525" i="5"/>
  <c r="G525" i="5"/>
  <c r="H525" i="5"/>
  <c r="I525" i="5"/>
  <c r="J525" i="5"/>
  <c r="K525" i="5"/>
  <c r="M525" i="5"/>
  <c r="N525" i="5"/>
  <c r="O525" i="5"/>
  <c r="P525" i="5"/>
  <c r="S525" i="5"/>
  <c r="T525" i="5"/>
  <c r="F526" i="5"/>
  <c r="G526" i="5"/>
  <c r="H526" i="5"/>
  <c r="I526" i="5"/>
  <c r="J526" i="5"/>
  <c r="K526" i="5"/>
  <c r="M526" i="5"/>
  <c r="N526" i="5"/>
  <c r="R526" i="5" s="1"/>
  <c r="O526" i="5"/>
  <c r="P526" i="5"/>
  <c r="S526" i="5"/>
  <c r="T526" i="5"/>
  <c r="F527" i="5"/>
  <c r="G527" i="5"/>
  <c r="H527" i="5"/>
  <c r="I527" i="5"/>
  <c r="J527" i="5"/>
  <c r="K527" i="5"/>
  <c r="M527" i="5"/>
  <c r="N527" i="5"/>
  <c r="O527" i="5"/>
  <c r="P527" i="5"/>
  <c r="S527" i="5"/>
  <c r="T527" i="5"/>
  <c r="F528" i="5"/>
  <c r="G528" i="5"/>
  <c r="H528" i="5"/>
  <c r="I528" i="5"/>
  <c r="J528" i="5"/>
  <c r="K528" i="5"/>
  <c r="M528" i="5"/>
  <c r="N528" i="5"/>
  <c r="O528" i="5"/>
  <c r="P528" i="5"/>
  <c r="S528" i="5"/>
  <c r="T528" i="5"/>
  <c r="F529" i="5"/>
  <c r="G529" i="5"/>
  <c r="H529" i="5"/>
  <c r="I529" i="5"/>
  <c r="J529" i="5"/>
  <c r="K529" i="5"/>
  <c r="M529" i="5"/>
  <c r="N529" i="5"/>
  <c r="O529" i="5"/>
  <c r="P529" i="5"/>
  <c r="S529" i="5"/>
  <c r="T529" i="5"/>
  <c r="F530" i="5"/>
  <c r="G530" i="5"/>
  <c r="H530" i="5"/>
  <c r="I530" i="5"/>
  <c r="J530" i="5"/>
  <c r="K530" i="5"/>
  <c r="M530" i="5"/>
  <c r="N530" i="5"/>
  <c r="O530" i="5"/>
  <c r="P530" i="5"/>
  <c r="S530" i="5"/>
  <c r="T530" i="5"/>
  <c r="F531" i="5"/>
  <c r="G531" i="5"/>
  <c r="H531" i="5"/>
  <c r="I531" i="5"/>
  <c r="J531" i="5"/>
  <c r="K531" i="5"/>
  <c r="M531" i="5"/>
  <c r="N531" i="5"/>
  <c r="O531" i="5"/>
  <c r="P531" i="5"/>
  <c r="S531" i="5"/>
  <c r="T531" i="5"/>
  <c r="F532" i="5"/>
  <c r="G532" i="5"/>
  <c r="H532" i="5"/>
  <c r="I532" i="5"/>
  <c r="J532" i="5"/>
  <c r="K532" i="5"/>
  <c r="M532" i="5"/>
  <c r="N532" i="5"/>
  <c r="O532" i="5"/>
  <c r="P532" i="5"/>
  <c r="S532" i="5"/>
  <c r="T532" i="5"/>
  <c r="F533" i="5"/>
  <c r="G533" i="5"/>
  <c r="H533" i="5"/>
  <c r="I533" i="5"/>
  <c r="J533" i="5"/>
  <c r="K533" i="5"/>
  <c r="M533" i="5"/>
  <c r="N533" i="5"/>
  <c r="O533" i="5"/>
  <c r="P533" i="5"/>
  <c r="S533" i="5"/>
  <c r="T533" i="5"/>
  <c r="F534" i="5"/>
  <c r="G534" i="5"/>
  <c r="H534" i="5"/>
  <c r="I534" i="5"/>
  <c r="J534" i="5"/>
  <c r="K534" i="5"/>
  <c r="M534" i="5"/>
  <c r="N534" i="5"/>
  <c r="O534" i="5"/>
  <c r="P534" i="5"/>
  <c r="S534" i="5"/>
  <c r="T534" i="5"/>
  <c r="F535" i="5"/>
  <c r="G535" i="5"/>
  <c r="H535" i="5"/>
  <c r="I535" i="5"/>
  <c r="J535" i="5"/>
  <c r="K535" i="5"/>
  <c r="M535" i="5"/>
  <c r="N535" i="5"/>
  <c r="O535" i="5"/>
  <c r="P535" i="5"/>
  <c r="S535" i="5"/>
  <c r="T535" i="5"/>
  <c r="U535" i="5"/>
  <c r="F536" i="5"/>
  <c r="G536" i="5"/>
  <c r="H536" i="5"/>
  <c r="I536" i="5"/>
  <c r="J536" i="5"/>
  <c r="K536" i="5"/>
  <c r="M536" i="5"/>
  <c r="N536" i="5"/>
  <c r="R536" i="5" s="1"/>
  <c r="O536" i="5"/>
  <c r="P536" i="5"/>
  <c r="S536" i="5"/>
  <c r="T536" i="5"/>
  <c r="F537" i="5"/>
  <c r="G537" i="5"/>
  <c r="H537" i="5"/>
  <c r="I537" i="5"/>
  <c r="J537" i="5"/>
  <c r="K537" i="5"/>
  <c r="M537" i="5"/>
  <c r="N537" i="5"/>
  <c r="O537" i="5"/>
  <c r="Q537" i="5" s="1"/>
  <c r="P537" i="5"/>
  <c r="S537" i="5"/>
  <c r="T537" i="5"/>
  <c r="F538" i="5"/>
  <c r="G538" i="5"/>
  <c r="H538" i="5"/>
  <c r="I538" i="5"/>
  <c r="J538" i="5"/>
  <c r="K538" i="5"/>
  <c r="M538" i="5"/>
  <c r="N538" i="5"/>
  <c r="O538" i="5"/>
  <c r="P538" i="5"/>
  <c r="S538" i="5"/>
  <c r="T538" i="5"/>
  <c r="F539" i="5"/>
  <c r="G539" i="5"/>
  <c r="H539" i="5"/>
  <c r="I539" i="5"/>
  <c r="J539" i="5"/>
  <c r="K539" i="5"/>
  <c r="M539" i="5"/>
  <c r="N539" i="5"/>
  <c r="O539" i="5"/>
  <c r="P539" i="5"/>
  <c r="S539" i="5"/>
  <c r="T539" i="5"/>
  <c r="F540" i="5"/>
  <c r="G540" i="5"/>
  <c r="H540" i="5"/>
  <c r="I540" i="5"/>
  <c r="J540" i="5"/>
  <c r="K540" i="5"/>
  <c r="M540" i="5"/>
  <c r="N540" i="5"/>
  <c r="O540" i="5"/>
  <c r="P540" i="5"/>
  <c r="S540" i="5"/>
  <c r="T540" i="5"/>
  <c r="F541" i="5"/>
  <c r="G541" i="5"/>
  <c r="H541" i="5"/>
  <c r="I541" i="5"/>
  <c r="J541" i="5"/>
  <c r="K541" i="5"/>
  <c r="M541" i="5"/>
  <c r="N541" i="5"/>
  <c r="O541" i="5"/>
  <c r="P541" i="5"/>
  <c r="S541" i="5"/>
  <c r="T541" i="5"/>
  <c r="F542" i="5"/>
  <c r="G542" i="5"/>
  <c r="H542" i="5"/>
  <c r="I542" i="5"/>
  <c r="J542" i="5"/>
  <c r="K542" i="5"/>
  <c r="M542" i="5"/>
  <c r="N542" i="5"/>
  <c r="O542" i="5"/>
  <c r="P542" i="5"/>
  <c r="S542" i="5"/>
  <c r="T542" i="5"/>
  <c r="F543" i="5"/>
  <c r="G543" i="5"/>
  <c r="H543" i="5"/>
  <c r="I543" i="5"/>
  <c r="J543" i="5"/>
  <c r="K543" i="5"/>
  <c r="M543" i="5"/>
  <c r="N543" i="5"/>
  <c r="O543" i="5"/>
  <c r="P543" i="5"/>
  <c r="S543" i="5"/>
  <c r="T543" i="5"/>
  <c r="F544" i="5"/>
  <c r="G544" i="5"/>
  <c r="H544" i="5"/>
  <c r="I544" i="5"/>
  <c r="J544" i="5"/>
  <c r="K544" i="5"/>
  <c r="M544" i="5"/>
  <c r="N544" i="5"/>
  <c r="O544" i="5"/>
  <c r="P544" i="5"/>
  <c r="S544" i="5"/>
  <c r="T544" i="5"/>
  <c r="F545" i="5"/>
  <c r="G545" i="5"/>
  <c r="H545" i="5"/>
  <c r="I545" i="5"/>
  <c r="J545" i="5"/>
  <c r="K545" i="5"/>
  <c r="M545" i="5"/>
  <c r="N545" i="5"/>
  <c r="O545" i="5"/>
  <c r="P545" i="5"/>
  <c r="S545" i="5"/>
  <c r="T545" i="5"/>
  <c r="F546" i="5"/>
  <c r="G546" i="5"/>
  <c r="H546" i="5"/>
  <c r="I546" i="5"/>
  <c r="J546" i="5"/>
  <c r="K546" i="5"/>
  <c r="M546" i="5"/>
  <c r="N546" i="5"/>
  <c r="O546" i="5"/>
  <c r="P546" i="5"/>
  <c r="R546" i="5"/>
  <c r="S546" i="5"/>
  <c r="T546" i="5"/>
  <c r="F547" i="5"/>
  <c r="G547" i="5"/>
  <c r="H547" i="5"/>
  <c r="I547" i="5"/>
  <c r="J547" i="5"/>
  <c r="K547" i="5"/>
  <c r="M547" i="5"/>
  <c r="N547" i="5"/>
  <c r="O547" i="5"/>
  <c r="P547" i="5"/>
  <c r="S547" i="5"/>
  <c r="T547" i="5"/>
  <c r="F548" i="5"/>
  <c r="G548" i="5"/>
  <c r="H548" i="5"/>
  <c r="I548" i="5"/>
  <c r="J548" i="5"/>
  <c r="K548" i="5"/>
  <c r="M548" i="5"/>
  <c r="N548" i="5"/>
  <c r="O548" i="5"/>
  <c r="P548" i="5"/>
  <c r="S548" i="5"/>
  <c r="T548" i="5"/>
  <c r="F549" i="5"/>
  <c r="G549" i="5"/>
  <c r="H549" i="5"/>
  <c r="I549" i="5"/>
  <c r="J549" i="5"/>
  <c r="K549" i="5"/>
  <c r="M549" i="5"/>
  <c r="N549" i="5"/>
  <c r="O549" i="5"/>
  <c r="P549" i="5"/>
  <c r="S549" i="5"/>
  <c r="T549" i="5"/>
  <c r="F550" i="5"/>
  <c r="G550" i="5"/>
  <c r="H550" i="5"/>
  <c r="I550" i="5"/>
  <c r="J550" i="5"/>
  <c r="K550" i="5"/>
  <c r="M550" i="5"/>
  <c r="N550" i="5"/>
  <c r="O550" i="5"/>
  <c r="P550" i="5"/>
  <c r="S550" i="5"/>
  <c r="T550" i="5"/>
  <c r="F551" i="5"/>
  <c r="G551" i="5"/>
  <c r="H551" i="5"/>
  <c r="I551" i="5"/>
  <c r="J551" i="5"/>
  <c r="K551" i="5"/>
  <c r="M551" i="5"/>
  <c r="N551" i="5"/>
  <c r="O551" i="5"/>
  <c r="P551" i="5"/>
  <c r="S551" i="5"/>
  <c r="T551" i="5"/>
  <c r="F552" i="5"/>
  <c r="G552" i="5"/>
  <c r="H552" i="5"/>
  <c r="I552" i="5"/>
  <c r="J552" i="5"/>
  <c r="K552" i="5"/>
  <c r="M552" i="5"/>
  <c r="N552" i="5"/>
  <c r="O552" i="5"/>
  <c r="P552" i="5"/>
  <c r="S552" i="5"/>
  <c r="T552" i="5"/>
  <c r="F553" i="5"/>
  <c r="G553" i="5"/>
  <c r="H553" i="5"/>
  <c r="I553" i="5"/>
  <c r="J553" i="5"/>
  <c r="K553" i="5"/>
  <c r="M553" i="5"/>
  <c r="N553" i="5"/>
  <c r="O553" i="5"/>
  <c r="P553" i="5"/>
  <c r="S553" i="5"/>
  <c r="T553" i="5"/>
  <c r="F554" i="5"/>
  <c r="G554" i="5"/>
  <c r="H554" i="5"/>
  <c r="I554" i="5"/>
  <c r="J554" i="5"/>
  <c r="K554" i="5"/>
  <c r="M554" i="5"/>
  <c r="N554" i="5"/>
  <c r="O554" i="5"/>
  <c r="P554" i="5"/>
  <c r="S554" i="5"/>
  <c r="T554" i="5"/>
  <c r="F555" i="5"/>
  <c r="G555" i="5"/>
  <c r="H555" i="5"/>
  <c r="I555" i="5"/>
  <c r="J555" i="5"/>
  <c r="K555" i="5"/>
  <c r="M555" i="5"/>
  <c r="N555" i="5"/>
  <c r="O555" i="5"/>
  <c r="P555" i="5"/>
  <c r="Q555" i="5"/>
  <c r="S555" i="5"/>
  <c r="T555" i="5"/>
  <c r="F556" i="5"/>
  <c r="G556" i="5"/>
  <c r="H556" i="5"/>
  <c r="I556" i="5"/>
  <c r="J556" i="5"/>
  <c r="K556" i="5"/>
  <c r="M556" i="5"/>
  <c r="N556" i="5"/>
  <c r="R556" i="5" s="1"/>
  <c r="O556" i="5"/>
  <c r="P556" i="5"/>
  <c r="S556" i="5"/>
  <c r="T556" i="5"/>
  <c r="F557" i="5"/>
  <c r="G557" i="5"/>
  <c r="H557" i="5"/>
  <c r="I557" i="5"/>
  <c r="J557" i="5"/>
  <c r="K557" i="5"/>
  <c r="M557" i="5"/>
  <c r="N557" i="5"/>
  <c r="O557" i="5"/>
  <c r="P557" i="5"/>
  <c r="S557" i="5"/>
  <c r="T557" i="5"/>
  <c r="F558" i="5"/>
  <c r="G558" i="5"/>
  <c r="H558" i="5"/>
  <c r="I558" i="5"/>
  <c r="J558" i="5"/>
  <c r="K558" i="5"/>
  <c r="M558" i="5"/>
  <c r="N558" i="5"/>
  <c r="O558" i="5"/>
  <c r="P558" i="5"/>
  <c r="S558" i="5"/>
  <c r="T558" i="5"/>
  <c r="F559" i="5"/>
  <c r="G559" i="5"/>
  <c r="H559" i="5"/>
  <c r="I559" i="5"/>
  <c r="J559" i="5"/>
  <c r="K559" i="5"/>
  <c r="M559" i="5"/>
  <c r="N559" i="5"/>
  <c r="O559" i="5"/>
  <c r="P559" i="5"/>
  <c r="R559" i="5"/>
  <c r="S559" i="5"/>
  <c r="T559" i="5"/>
  <c r="F560" i="5"/>
  <c r="G560" i="5"/>
  <c r="H560" i="5"/>
  <c r="I560" i="5"/>
  <c r="J560" i="5"/>
  <c r="K560" i="5"/>
  <c r="M560" i="5"/>
  <c r="N560" i="5"/>
  <c r="O560" i="5"/>
  <c r="P560" i="5"/>
  <c r="S560" i="5"/>
  <c r="T560" i="5"/>
  <c r="F561" i="5"/>
  <c r="G561" i="5"/>
  <c r="H561" i="5"/>
  <c r="I561" i="5"/>
  <c r="J561" i="5"/>
  <c r="K561" i="5"/>
  <c r="M561" i="5"/>
  <c r="N561" i="5"/>
  <c r="O561" i="5"/>
  <c r="P561" i="5"/>
  <c r="S561" i="5"/>
  <c r="T561" i="5"/>
  <c r="F562" i="5"/>
  <c r="G562" i="5"/>
  <c r="H562" i="5"/>
  <c r="I562" i="5"/>
  <c r="J562" i="5"/>
  <c r="K562" i="5"/>
  <c r="M562" i="5"/>
  <c r="N562" i="5"/>
  <c r="O562" i="5"/>
  <c r="P562" i="5"/>
  <c r="S562" i="5"/>
  <c r="T562" i="5"/>
  <c r="F563" i="5"/>
  <c r="G563" i="5"/>
  <c r="H563" i="5"/>
  <c r="I563" i="5"/>
  <c r="J563" i="5"/>
  <c r="K563" i="5"/>
  <c r="M563" i="5"/>
  <c r="N563" i="5"/>
  <c r="O563" i="5"/>
  <c r="P563" i="5"/>
  <c r="S563" i="5"/>
  <c r="T563" i="5"/>
  <c r="F564" i="5"/>
  <c r="G564" i="5"/>
  <c r="H564" i="5"/>
  <c r="I564" i="5"/>
  <c r="J564" i="5"/>
  <c r="K564" i="5"/>
  <c r="M564" i="5"/>
  <c r="N564" i="5"/>
  <c r="O564" i="5"/>
  <c r="P564" i="5"/>
  <c r="S564" i="5"/>
  <c r="T564" i="5"/>
  <c r="F565" i="5"/>
  <c r="G565" i="5"/>
  <c r="H565" i="5"/>
  <c r="I565" i="5"/>
  <c r="J565" i="5"/>
  <c r="K565" i="5"/>
  <c r="M565" i="5"/>
  <c r="N565" i="5"/>
  <c r="O565" i="5"/>
  <c r="P565" i="5"/>
  <c r="S565" i="5"/>
  <c r="T565" i="5"/>
  <c r="F566" i="5"/>
  <c r="G566" i="5"/>
  <c r="H566" i="5"/>
  <c r="I566" i="5"/>
  <c r="J566" i="5"/>
  <c r="K566" i="5"/>
  <c r="M566" i="5"/>
  <c r="N566" i="5"/>
  <c r="O566" i="5"/>
  <c r="P566" i="5"/>
  <c r="S566" i="5"/>
  <c r="T566" i="5"/>
  <c r="F567" i="5"/>
  <c r="G567" i="5"/>
  <c r="H567" i="5"/>
  <c r="I567" i="5"/>
  <c r="J567" i="5"/>
  <c r="K567" i="5"/>
  <c r="M567" i="5"/>
  <c r="N567" i="5"/>
  <c r="O567" i="5"/>
  <c r="P567" i="5"/>
  <c r="S567" i="5"/>
  <c r="T567" i="5"/>
  <c r="F568" i="5"/>
  <c r="G568" i="5"/>
  <c r="H568" i="5"/>
  <c r="I568" i="5"/>
  <c r="J568" i="5"/>
  <c r="K568" i="5"/>
  <c r="M568" i="5"/>
  <c r="N568" i="5"/>
  <c r="O568" i="5"/>
  <c r="P568" i="5"/>
  <c r="S568" i="5"/>
  <c r="T568" i="5"/>
  <c r="F569" i="5"/>
  <c r="G569" i="5"/>
  <c r="H569" i="5"/>
  <c r="I569" i="5"/>
  <c r="J569" i="5"/>
  <c r="K569" i="5"/>
  <c r="M569" i="5"/>
  <c r="N569" i="5"/>
  <c r="O569" i="5"/>
  <c r="P569" i="5"/>
  <c r="S569" i="5"/>
  <c r="T569" i="5"/>
  <c r="F570" i="5"/>
  <c r="G570" i="5"/>
  <c r="H570" i="5"/>
  <c r="I570" i="5"/>
  <c r="J570" i="5"/>
  <c r="K570" i="5"/>
  <c r="M570" i="5"/>
  <c r="N570" i="5"/>
  <c r="O570" i="5"/>
  <c r="P570" i="5"/>
  <c r="S570" i="5"/>
  <c r="T570" i="5"/>
  <c r="F571" i="5"/>
  <c r="G571" i="5"/>
  <c r="H571" i="5"/>
  <c r="I571" i="5"/>
  <c r="J571" i="5"/>
  <c r="K571" i="5"/>
  <c r="M571" i="5"/>
  <c r="N571" i="5"/>
  <c r="O571" i="5"/>
  <c r="P571" i="5"/>
  <c r="S571" i="5"/>
  <c r="T571" i="5"/>
  <c r="F572" i="5"/>
  <c r="G572" i="5"/>
  <c r="H572" i="5"/>
  <c r="I572" i="5"/>
  <c r="J572" i="5"/>
  <c r="K572" i="5"/>
  <c r="M572" i="5"/>
  <c r="N572" i="5"/>
  <c r="O572" i="5"/>
  <c r="P572" i="5"/>
  <c r="S572" i="5"/>
  <c r="T572" i="5"/>
  <c r="F573" i="5"/>
  <c r="G573" i="5"/>
  <c r="H573" i="5"/>
  <c r="I573" i="5"/>
  <c r="J573" i="5"/>
  <c r="K573" i="5"/>
  <c r="M573" i="5"/>
  <c r="N573" i="5"/>
  <c r="O573" i="5"/>
  <c r="P573" i="5"/>
  <c r="S573" i="5"/>
  <c r="T573" i="5"/>
  <c r="F574" i="5"/>
  <c r="G574" i="5"/>
  <c r="H574" i="5"/>
  <c r="I574" i="5"/>
  <c r="J574" i="5"/>
  <c r="K574" i="5"/>
  <c r="M574" i="5"/>
  <c r="N574" i="5"/>
  <c r="O574" i="5"/>
  <c r="P574" i="5"/>
  <c r="S574" i="5"/>
  <c r="T574" i="5"/>
  <c r="F575" i="5"/>
  <c r="G575" i="5"/>
  <c r="H575" i="5"/>
  <c r="I575" i="5"/>
  <c r="J575" i="5"/>
  <c r="K575" i="5"/>
  <c r="M575" i="5"/>
  <c r="N575" i="5"/>
  <c r="O575" i="5"/>
  <c r="P575" i="5"/>
  <c r="Q575" i="5" s="1"/>
  <c r="S575" i="5"/>
  <c r="T575" i="5"/>
  <c r="F576" i="5"/>
  <c r="G576" i="5"/>
  <c r="H576" i="5"/>
  <c r="I576" i="5"/>
  <c r="J576" i="5"/>
  <c r="K576" i="5"/>
  <c r="M576" i="5"/>
  <c r="N576" i="5"/>
  <c r="O576" i="5"/>
  <c r="P576" i="5"/>
  <c r="S576" i="5"/>
  <c r="T576" i="5"/>
  <c r="F577" i="5"/>
  <c r="G577" i="5"/>
  <c r="H577" i="5"/>
  <c r="I577" i="5"/>
  <c r="J577" i="5"/>
  <c r="K577" i="5"/>
  <c r="M577" i="5"/>
  <c r="N577" i="5"/>
  <c r="O577" i="5"/>
  <c r="P577" i="5"/>
  <c r="Q577" i="5" s="1"/>
  <c r="S577" i="5"/>
  <c r="T577" i="5"/>
  <c r="F578" i="5"/>
  <c r="G578" i="5"/>
  <c r="H578" i="5"/>
  <c r="I578" i="5"/>
  <c r="J578" i="5"/>
  <c r="K578" i="5"/>
  <c r="M578" i="5"/>
  <c r="N578" i="5"/>
  <c r="O578" i="5"/>
  <c r="P578" i="5"/>
  <c r="S578" i="5"/>
  <c r="T578" i="5"/>
  <c r="F579" i="5"/>
  <c r="G579" i="5"/>
  <c r="H579" i="5"/>
  <c r="I579" i="5"/>
  <c r="J579" i="5"/>
  <c r="K579" i="5"/>
  <c r="M579" i="5"/>
  <c r="N579" i="5"/>
  <c r="O579" i="5"/>
  <c r="P579" i="5"/>
  <c r="Q579" i="5" s="1"/>
  <c r="S579" i="5"/>
  <c r="T579" i="5"/>
  <c r="F580" i="5"/>
  <c r="G580" i="5"/>
  <c r="H580" i="5"/>
  <c r="I580" i="5"/>
  <c r="J580" i="5"/>
  <c r="K580" i="5"/>
  <c r="M580" i="5"/>
  <c r="N580" i="5"/>
  <c r="O580" i="5"/>
  <c r="P580" i="5"/>
  <c r="S580" i="5"/>
  <c r="T580" i="5"/>
  <c r="F581" i="5"/>
  <c r="G581" i="5"/>
  <c r="H581" i="5"/>
  <c r="I581" i="5"/>
  <c r="J581" i="5"/>
  <c r="K581" i="5"/>
  <c r="M581" i="5"/>
  <c r="N581" i="5"/>
  <c r="O581" i="5"/>
  <c r="P581" i="5"/>
  <c r="S581" i="5"/>
  <c r="T581" i="5"/>
  <c r="F582" i="5"/>
  <c r="G582" i="5"/>
  <c r="H582" i="5"/>
  <c r="I582" i="5"/>
  <c r="J582" i="5"/>
  <c r="K582" i="5"/>
  <c r="M582" i="5"/>
  <c r="N582" i="5"/>
  <c r="O582" i="5"/>
  <c r="P582" i="5"/>
  <c r="S582" i="5"/>
  <c r="T582" i="5"/>
  <c r="F583" i="5"/>
  <c r="G583" i="5"/>
  <c r="H583" i="5"/>
  <c r="I583" i="5"/>
  <c r="J583" i="5"/>
  <c r="K583" i="5"/>
  <c r="M583" i="5"/>
  <c r="N583" i="5"/>
  <c r="O583" i="5"/>
  <c r="P583" i="5"/>
  <c r="S583" i="5"/>
  <c r="T583" i="5"/>
  <c r="F584" i="5"/>
  <c r="G584" i="5"/>
  <c r="H584" i="5"/>
  <c r="I584" i="5"/>
  <c r="J584" i="5"/>
  <c r="K584" i="5"/>
  <c r="M584" i="5"/>
  <c r="N584" i="5"/>
  <c r="O584" i="5"/>
  <c r="P584" i="5"/>
  <c r="S584" i="5"/>
  <c r="T584" i="5"/>
  <c r="F585" i="5"/>
  <c r="G585" i="5"/>
  <c r="H585" i="5"/>
  <c r="I585" i="5"/>
  <c r="J585" i="5"/>
  <c r="K585" i="5"/>
  <c r="M585" i="5"/>
  <c r="N585" i="5"/>
  <c r="O585" i="5"/>
  <c r="P585" i="5"/>
  <c r="S585" i="5"/>
  <c r="T585" i="5"/>
  <c r="F586" i="5"/>
  <c r="G586" i="5"/>
  <c r="H586" i="5"/>
  <c r="I586" i="5"/>
  <c r="J586" i="5"/>
  <c r="K586" i="5"/>
  <c r="M586" i="5"/>
  <c r="N586" i="5"/>
  <c r="O586" i="5"/>
  <c r="Q586" i="5" s="1"/>
  <c r="P586" i="5"/>
  <c r="S586" i="5"/>
  <c r="T586" i="5"/>
  <c r="F587" i="5"/>
  <c r="G587" i="5"/>
  <c r="H587" i="5"/>
  <c r="I587" i="5"/>
  <c r="J587" i="5"/>
  <c r="K587" i="5"/>
  <c r="M587" i="5"/>
  <c r="N587" i="5"/>
  <c r="O587" i="5"/>
  <c r="Q587" i="5" s="1"/>
  <c r="P587" i="5"/>
  <c r="S587" i="5"/>
  <c r="T587" i="5"/>
  <c r="F588" i="5"/>
  <c r="G588" i="5"/>
  <c r="H588" i="5"/>
  <c r="I588" i="5"/>
  <c r="J588" i="5"/>
  <c r="K588" i="5"/>
  <c r="M588" i="5"/>
  <c r="N588" i="5"/>
  <c r="O588" i="5"/>
  <c r="P588" i="5"/>
  <c r="S588" i="5"/>
  <c r="T588" i="5"/>
  <c r="F589" i="5"/>
  <c r="G589" i="5"/>
  <c r="H589" i="5"/>
  <c r="I589" i="5"/>
  <c r="J589" i="5"/>
  <c r="K589" i="5"/>
  <c r="M589" i="5"/>
  <c r="N589" i="5"/>
  <c r="O589" i="5"/>
  <c r="P589" i="5"/>
  <c r="S589" i="5"/>
  <c r="T589" i="5"/>
  <c r="F590" i="5"/>
  <c r="G590" i="5"/>
  <c r="H590" i="5"/>
  <c r="I590" i="5"/>
  <c r="J590" i="5"/>
  <c r="K590" i="5"/>
  <c r="M590" i="5"/>
  <c r="N590" i="5"/>
  <c r="O590" i="5"/>
  <c r="P590" i="5"/>
  <c r="S590" i="5"/>
  <c r="T590" i="5"/>
  <c r="F591" i="5"/>
  <c r="G591" i="5"/>
  <c r="H591" i="5"/>
  <c r="I591" i="5"/>
  <c r="J591" i="5"/>
  <c r="K591" i="5"/>
  <c r="M591" i="5"/>
  <c r="N591" i="5"/>
  <c r="O591" i="5"/>
  <c r="P591" i="5"/>
  <c r="S591" i="5"/>
  <c r="T591" i="5"/>
  <c r="F592" i="5"/>
  <c r="G592" i="5"/>
  <c r="H592" i="5"/>
  <c r="I592" i="5"/>
  <c r="J592" i="5"/>
  <c r="K592" i="5"/>
  <c r="M592" i="5"/>
  <c r="N592" i="5"/>
  <c r="O592" i="5"/>
  <c r="P592" i="5"/>
  <c r="S592" i="5"/>
  <c r="T592" i="5"/>
  <c r="F593" i="5"/>
  <c r="G593" i="5"/>
  <c r="H593" i="5"/>
  <c r="I593" i="5"/>
  <c r="J593" i="5"/>
  <c r="K593" i="5"/>
  <c r="M593" i="5"/>
  <c r="N593" i="5"/>
  <c r="O593" i="5"/>
  <c r="P593" i="5"/>
  <c r="S593" i="5"/>
  <c r="T593" i="5"/>
  <c r="F594" i="5"/>
  <c r="G594" i="5"/>
  <c r="H594" i="5"/>
  <c r="I594" i="5"/>
  <c r="J594" i="5"/>
  <c r="K594" i="5"/>
  <c r="M594" i="5"/>
  <c r="N594" i="5"/>
  <c r="O594" i="5"/>
  <c r="P594" i="5"/>
  <c r="S594" i="5"/>
  <c r="T594" i="5"/>
  <c r="F595" i="5"/>
  <c r="G595" i="5"/>
  <c r="H595" i="5"/>
  <c r="I595" i="5"/>
  <c r="J595" i="5"/>
  <c r="K595" i="5"/>
  <c r="M595" i="5"/>
  <c r="N595" i="5"/>
  <c r="O595" i="5"/>
  <c r="P595" i="5"/>
  <c r="S595" i="5"/>
  <c r="T595" i="5"/>
  <c r="F596" i="5"/>
  <c r="G596" i="5"/>
  <c r="H596" i="5"/>
  <c r="I596" i="5"/>
  <c r="J596" i="5"/>
  <c r="K596" i="5"/>
  <c r="M596" i="5"/>
  <c r="N596" i="5"/>
  <c r="O596" i="5"/>
  <c r="P596" i="5"/>
  <c r="S596" i="5"/>
  <c r="T596" i="5"/>
  <c r="F597" i="5"/>
  <c r="G597" i="5"/>
  <c r="H597" i="5"/>
  <c r="I597" i="5"/>
  <c r="J597" i="5"/>
  <c r="K597" i="5"/>
  <c r="M597" i="5"/>
  <c r="N597" i="5"/>
  <c r="O597" i="5"/>
  <c r="Q597" i="5" s="1"/>
  <c r="P597" i="5"/>
  <c r="S597" i="5"/>
  <c r="T597" i="5"/>
  <c r="F598" i="5"/>
  <c r="G598" i="5"/>
  <c r="H598" i="5"/>
  <c r="I598" i="5"/>
  <c r="J598" i="5"/>
  <c r="K598" i="5"/>
  <c r="M598" i="5"/>
  <c r="N598" i="5"/>
  <c r="O598" i="5"/>
  <c r="P598" i="5"/>
  <c r="S598" i="5"/>
  <c r="T598" i="5"/>
  <c r="F599" i="5"/>
  <c r="G599" i="5"/>
  <c r="H599" i="5"/>
  <c r="I599" i="5"/>
  <c r="J599" i="5"/>
  <c r="K599" i="5"/>
  <c r="M599" i="5"/>
  <c r="N599" i="5"/>
  <c r="O599" i="5"/>
  <c r="P599" i="5"/>
  <c r="S599" i="5"/>
  <c r="T599" i="5"/>
  <c r="F600" i="5"/>
  <c r="G600" i="5"/>
  <c r="H600" i="5"/>
  <c r="I600" i="5"/>
  <c r="J600" i="5"/>
  <c r="K600" i="5"/>
  <c r="M600" i="5"/>
  <c r="N600" i="5"/>
  <c r="O600" i="5"/>
  <c r="P600" i="5"/>
  <c r="S600" i="5"/>
  <c r="T600" i="5"/>
  <c r="F601" i="5"/>
  <c r="G601" i="5"/>
  <c r="H601" i="5"/>
  <c r="I601" i="5"/>
  <c r="J601" i="5"/>
  <c r="K601" i="5"/>
  <c r="M601" i="5"/>
  <c r="N601" i="5"/>
  <c r="O601" i="5"/>
  <c r="P601" i="5"/>
  <c r="S601" i="5"/>
  <c r="T601" i="5"/>
  <c r="F602" i="5"/>
  <c r="G602" i="5"/>
  <c r="H602" i="5"/>
  <c r="I602" i="5"/>
  <c r="J602" i="5"/>
  <c r="K602" i="5"/>
  <c r="M602" i="5"/>
  <c r="N602" i="5"/>
  <c r="O602" i="5"/>
  <c r="P602" i="5"/>
  <c r="S602" i="5"/>
  <c r="T602" i="5"/>
  <c r="F603" i="5"/>
  <c r="G603" i="5"/>
  <c r="H603" i="5"/>
  <c r="I603" i="5"/>
  <c r="J603" i="5"/>
  <c r="K603" i="5"/>
  <c r="M603" i="5"/>
  <c r="N603" i="5"/>
  <c r="O603" i="5"/>
  <c r="P603" i="5"/>
  <c r="S603" i="5"/>
  <c r="T603" i="5"/>
  <c r="F604" i="5"/>
  <c r="G604" i="5"/>
  <c r="H604" i="5"/>
  <c r="I604" i="5"/>
  <c r="J604" i="5"/>
  <c r="K604" i="5"/>
  <c r="M604" i="5"/>
  <c r="N604" i="5"/>
  <c r="O604" i="5"/>
  <c r="P604" i="5"/>
  <c r="S604" i="5"/>
  <c r="T604" i="5"/>
  <c r="F605" i="5"/>
  <c r="G605" i="5"/>
  <c r="H605" i="5"/>
  <c r="I605" i="5"/>
  <c r="J605" i="5"/>
  <c r="K605" i="5"/>
  <c r="M605" i="5"/>
  <c r="N605" i="5"/>
  <c r="O605" i="5"/>
  <c r="P605" i="5"/>
  <c r="S605" i="5"/>
  <c r="T605" i="5"/>
  <c r="F606" i="5"/>
  <c r="G606" i="5"/>
  <c r="H606" i="5"/>
  <c r="I606" i="5"/>
  <c r="J606" i="5"/>
  <c r="K606" i="5"/>
  <c r="M606" i="5"/>
  <c r="N606" i="5"/>
  <c r="O606" i="5"/>
  <c r="P606" i="5"/>
  <c r="S606" i="5"/>
  <c r="T606" i="5"/>
  <c r="F607" i="5"/>
  <c r="G607" i="5"/>
  <c r="H607" i="5"/>
  <c r="I607" i="5"/>
  <c r="J607" i="5"/>
  <c r="K607" i="5"/>
  <c r="M607" i="5"/>
  <c r="N607" i="5"/>
  <c r="O607" i="5"/>
  <c r="P607" i="5"/>
  <c r="S607" i="5"/>
  <c r="T607" i="5"/>
  <c r="F608" i="5"/>
  <c r="G608" i="5"/>
  <c r="H608" i="5"/>
  <c r="I608" i="5"/>
  <c r="J608" i="5"/>
  <c r="K608" i="5"/>
  <c r="M608" i="5"/>
  <c r="N608" i="5"/>
  <c r="O608" i="5"/>
  <c r="P608" i="5"/>
  <c r="S608" i="5"/>
  <c r="T608" i="5"/>
  <c r="F609" i="5"/>
  <c r="G609" i="5"/>
  <c r="H609" i="5"/>
  <c r="I609" i="5"/>
  <c r="J609" i="5"/>
  <c r="K609" i="5"/>
  <c r="M609" i="5"/>
  <c r="N609" i="5"/>
  <c r="O609" i="5"/>
  <c r="P609" i="5"/>
  <c r="S609" i="5"/>
  <c r="T609" i="5"/>
  <c r="F610" i="5"/>
  <c r="G610" i="5"/>
  <c r="H610" i="5"/>
  <c r="I610" i="5"/>
  <c r="J610" i="5"/>
  <c r="K610" i="5"/>
  <c r="M610" i="5"/>
  <c r="N610" i="5"/>
  <c r="O610" i="5"/>
  <c r="P610" i="5"/>
  <c r="S610" i="5"/>
  <c r="T610" i="5"/>
  <c r="F611" i="5"/>
  <c r="G611" i="5"/>
  <c r="H611" i="5"/>
  <c r="I611" i="5"/>
  <c r="J611" i="5"/>
  <c r="K611" i="5"/>
  <c r="M611" i="5"/>
  <c r="N611" i="5"/>
  <c r="O611" i="5"/>
  <c r="P611" i="5"/>
  <c r="S611" i="5"/>
  <c r="T611" i="5"/>
  <c r="F612" i="5"/>
  <c r="G612" i="5"/>
  <c r="H612" i="5"/>
  <c r="I612" i="5"/>
  <c r="J612" i="5"/>
  <c r="K612" i="5"/>
  <c r="M612" i="5"/>
  <c r="N612" i="5"/>
  <c r="O612" i="5"/>
  <c r="P612" i="5"/>
  <c r="S612" i="5"/>
  <c r="T612" i="5"/>
  <c r="F613" i="5"/>
  <c r="G613" i="5"/>
  <c r="H613" i="5"/>
  <c r="I613" i="5"/>
  <c r="J613" i="5"/>
  <c r="K613" i="5"/>
  <c r="M613" i="5"/>
  <c r="N613" i="5"/>
  <c r="O613" i="5"/>
  <c r="P613" i="5"/>
  <c r="S613" i="5"/>
  <c r="T613" i="5"/>
  <c r="F614" i="5"/>
  <c r="G614" i="5"/>
  <c r="H614" i="5"/>
  <c r="I614" i="5"/>
  <c r="J614" i="5"/>
  <c r="K614" i="5"/>
  <c r="M614" i="5"/>
  <c r="N614" i="5"/>
  <c r="O614" i="5"/>
  <c r="P614" i="5"/>
  <c r="S614" i="5"/>
  <c r="T614" i="5"/>
  <c r="F615" i="5"/>
  <c r="G615" i="5"/>
  <c r="H615" i="5"/>
  <c r="I615" i="5"/>
  <c r="J615" i="5"/>
  <c r="K615" i="5"/>
  <c r="M615" i="5"/>
  <c r="N615" i="5"/>
  <c r="O615" i="5"/>
  <c r="P615" i="5"/>
  <c r="S615" i="5"/>
  <c r="T615" i="5"/>
  <c r="F616" i="5"/>
  <c r="G616" i="5"/>
  <c r="H616" i="5"/>
  <c r="I616" i="5"/>
  <c r="J616" i="5"/>
  <c r="K616" i="5"/>
  <c r="M616" i="5"/>
  <c r="N616" i="5"/>
  <c r="O616" i="5"/>
  <c r="P616" i="5"/>
  <c r="S616" i="5"/>
  <c r="T616" i="5"/>
  <c r="F617" i="5"/>
  <c r="G617" i="5"/>
  <c r="H617" i="5"/>
  <c r="I617" i="5"/>
  <c r="J617" i="5"/>
  <c r="K617" i="5"/>
  <c r="M617" i="5"/>
  <c r="N617" i="5"/>
  <c r="O617" i="5"/>
  <c r="P617" i="5"/>
  <c r="S617" i="5"/>
  <c r="T617" i="5"/>
  <c r="F618" i="5"/>
  <c r="G618" i="5"/>
  <c r="H618" i="5"/>
  <c r="I618" i="5"/>
  <c r="J618" i="5"/>
  <c r="K618" i="5"/>
  <c r="M618" i="5"/>
  <c r="N618" i="5"/>
  <c r="O618" i="5"/>
  <c r="P618" i="5"/>
  <c r="S618" i="5"/>
  <c r="T618" i="5"/>
  <c r="F619" i="5"/>
  <c r="G619" i="5"/>
  <c r="H619" i="5"/>
  <c r="I619" i="5"/>
  <c r="J619" i="5"/>
  <c r="K619" i="5"/>
  <c r="M619" i="5"/>
  <c r="N619" i="5"/>
  <c r="O619" i="5"/>
  <c r="P619" i="5"/>
  <c r="S619" i="5"/>
  <c r="T619" i="5"/>
  <c r="F620" i="5"/>
  <c r="G620" i="5"/>
  <c r="H620" i="5"/>
  <c r="I620" i="5"/>
  <c r="J620" i="5"/>
  <c r="K620" i="5"/>
  <c r="M620" i="5"/>
  <c r="N620" i="5"/>
  <c r="O620" i="5"/>
  <c r="P620" i="5"/>
  <c r="S620" i="5"/>
  <c r="T620" i="5"/>
  <c r="F621" i="5"/>
  <c r="G621" i="5"/>
  <c r="H621" i="5"/>
  <c r="I621" i="5"/>
  <c r="J621" i="5"/>
  <c r="K621" i="5"/>
  <c r="M621" i="5"/>
  <c r="N621" i="5"/>
  <c r="O621" i="5"/>
  <c r="Q621" i="5" s="1"/>
  <c r="P621" i="5"/>
  <c r="S621" i="5"/>
  <c r="T621" i="5"/>
  <c r="F622" i="5"/>
  <c r="G622" i="5"/>
  <c r="H622" i="5"/>
  <c r="I622" i="5"/>
  <c r="J622" i="5"/>
  <c r="K622" i="5"/>
  <c r="M622" i="5"/>
  <c r="N622" i="5"/>
  <c r="O622" i="5"/>
  <c r="P622" i="5"/>
  <c r="S622" i="5"/>
  <c r="T622" i="5"/>
  <c r="F623" i="5"/>
  <c r="G623" i="5"/>
  <c r="H623" i="5"/>
  <c r="I623" i="5"/>
  <c r="J623" i="5"/>
  <c r="K623" i="5"/>
  <c r="M623" i="5"/>
  <c r="N623" i="5"/>
  <c r="O623" i="5"/>
  <c r="P623" i="5"/>
  <c r="S623" i="5"/>
  <c r="T623" i="5"/>
  <c r="F624" i="5"/>
  <c r="G624" i="5"/>
  <c r="H624" i="5"/>
  <c r="I624" i="5"/>
  <c r="J624" i="5"/>
  <c r="K624" i="5"/>
  <c r="M624" i="5"/>
  <c r="N624" i="5"/>
  <c r="O624" i="5"/>
  <c r="P624" i="5"/>
  <c r="S624" i="5"/>
  <c r="T624" i="5"/>
  <c r="F625" i="5"/>
  <c r="G625" i="5"/>
  <c r="H625" i="5"/>
  <c r="I625" i="5"/>
  <c r="J625" i="5"/>
  <c r="K625" i="5"/>
  <c r="M625" i="5"/>
  <c r="N625" i="5"/>
  <c r="O625" i="5"/>
  <c r="P625" i="5"/>
  <c r="S625" i="5"/>
  <c r="T625" i="5"/>
  <c r="F626" i="5"/>
  <c r="G626" i="5"/>
  <c r="H626" i="5"/>
  <c r="I626" i="5"/>
  <c r="J626" i="5"/>
  <c r="K626" i="5"/>
  <c r="M626" i="5"/>
  <c r="N626" i="5"/>
  <c r="O626" i="5"/>
  <c r="P626" i="5"/>
  <c r="S626" i="5"/>
  <c r="T626" i="5"/>
  <c r="F627" i="5"/>
  <c r="G627" i="5"/>
  <c r="H627" i="5"/>
  <c r="I627" i="5"/>
  <c r="J627" i="5"/>
  <c r="K627" i="5"/>
  <c r="M627" i="5"/>
  <c r="N627" i="5"/>
  <c r="O627" i="5"/>
  <c r="P627" i="5"/>
  <c r="Q627" i="5" s="1"/>
  <c r="S627" i="5"/>
  <c r="T627" i="5"/>
  <c r="F628" i="5"/>
  <c r="G628" i="5"/>
  <c r="H628" i="5"/>
  <c r="I628" i="5"/>
  <c r="J628" i="5"/>
  <c r="K628" i="5"/>
  <c r="M628" i="5"/>
  <c r="N628" i="5"/>
  <c r="O628" i="5"/>
  <c r="P628" i="5"/>
  <c r="S628" i="5"/>
  <c r="T628" i="5"/>
  <c r="F629" i="5"/>
  <c r="G629" i="5"/>
  <c r="H629" i="5"/>
  <c r="I629" i="5"/>
  <c r="J629" i="5"/>
  <c r="K629" i="5"/>
  <c r="M629" i="5"/>
  <c r="N629" i="5"/>
  <c r="O629" i="5"/>
  <c r="P629" i="5"/>
  <c r="S629" i="5"/>
  <c r="T629" i="5"/>
  <c r="F630" i="5"/>
  <c r="G630" i="5"/>
  <c r="H630" i="5"/>
  <c r="I630" i="5"/>
  <c r="J630" i="5"/>
  <c r="K630" i="5"/>
  <c r="M630" i="5"/>
  <c r="N630" i="5"/>
  <c r="O630" i="5"/>
  <c r="P630" i="5"/>
  <c r="S630" i="5"/>
  <c r="T630" i="5"/>
  <c r="F631" i="5"/>
  <c r="G631" i="5"/>
  <c r="H631" i="5"/>
  <c r="I631" i="5"/>
  <c r="J631" i="5"/>
  <c r="K631" i="5"/>
  <c r="M631" i="5"/>
  <c r="N631" i="5"/>
  <c r="O631" i="5"/>
  <c r="P631" i="5"/>
  <c r="S631" i="5"/>
  <c r="T631" i="5"/>
  <c r="F632" i="5"/>
  <c r="G632" i="5"/>
  <c r="H632" i="5"/>
  <c r="I632" i="5"/>
  <c r="J632" i="5"/>
  <c r="K632" i="5"/>
  <c r="M632" i="5"/>
  <c r="N632" i="5"/>
  <c r="O632" i="5"/>
  <c r="P632" i="5"/>
  <c r="S632" i="5"/>
  <c r="T632" i="5"/>
  <c r="F633" i="5"/>
  <c r="G633" i="5"/>
  <c r="H633" i="5"/>
  <c r="I633" i="5"/>
  <c r="J633" i="5"/>
  <c r="K633" i="5"/>
  <c r="M633" i="5"/>
  <c r="N633" i="5"/>
  <c r="O633" i="5"/>
  <c r="P633" i="5"/>
  <c r="S633" i="5"/>
  <c r="T633" i="5"/>
  <c r="F634" i="5"/>
  <c r="G634" i="5"/>
  <c r="H634" i="5"/>
  <c r="I634" i="5"/>
  <c r="J634" i="5"/>
  <c r="K634" i="5"/>
  <c r="M634" i="5"/>
  <c r="N634" i="5"/>
  <c r="O634" i="5"/>
  <c r="P634" i="5"/>
  <c r="S634" i="5"/>
  <c r="T634" i="5"/>
  <c r="F635" i="5"/>
  <c r="G635" i="5"/>
  <c r="H635" i="5"/>
  <c r="I635" i="5"/>
  <c r="J635" i="5"/>
  <c r="K635" i="5"/>
  <c r="M635" i="5"/>
  <c r="N635" i="5"/>
  <c r="O635" i="5"/>
  <c r="P635" i="5"/>
  <c r="S635" i="5"/>
  <c r="T635" i="5"/>
  <c r="F636" i="5"/>
  <c r="G636" i="5"/>
  <c r="H636" i="5"/>
  <c r="I636" i="5"/>
  <c r="J636" i="5"/>
  <c r="K636" i="5"/>
  <c r="M636" i="5"/>
  <c r="N636" i="5"/>
  <c r="O636" i="5"/>
  <c r="P636" i="5"/>
  <c r="S636" i="5"/>
  <c r="T636" i="5"/>
  <c r="F637" i="5"/>
  <c r="G637" i="5"/>
  <c r="H637" i="5"/>
  <c r="I637" i="5"/>
  <c r="J637" i="5"/>
  <c r="K637" i="5"/>
  <c r="M637" i="5"/>
  <c r="N637" i="5"/>
  <c r="O637" i="5"/>
  <c r="P637" i="5"/>
  <c r="S637" i="5"/>
  <c r="T637" i="5"/>
  <c r="F638" i="5"/>
  <c r="G638" i="5"/>
  <c r="H638" i="5"/>
  <c r="I638" i="5"/>
  <c r="J638" i="5"/>
  <c r="K638" i="5"/>
  <c r="M638" i="5"/>
  <c r="N638" i="5"/>
  <c r="O638" i="5"/>
  <c r="P638" i="5"/>
  <c r="S638" i="5"/>
  <c r="T638" i="5"/>
  <c r="F639" i="5"/>
  <c r="G639" i="5"/>
  <c r="H639" i="5"/>
  <c r="I639" i="5"/>
  <c r="J639" i="5"/>
  <c r="K639" i="5"/>
  <c r="M639" i="5"/>
  <c r="N639" i="5"/>
  <c r="O639" i="5"/>
  <c r="P639" i="5"/>
  <c r="S639" i="5"/>
  <c r="T639" i="5"/>
  <c r="F640" i="5"/>
  <c r="G640" i="5"/>
  <c r="H640" i="5"/>
  <c r="I640" i="5"/>
  <c r="J640" i="5"/>
  <c r="K640" i="5"/>
  <c r="M640" i="5"/>
  <c r="N640" i="5"/>
  <c r="O640" i="5"/>
  <c r="P640" i="5"/>
  <c r="S640" i="5"/>
  <c r="T640" i="5"/>
  <c r="F641" i="5"/>
  <c r="G641" i="5"/>
  <c r="H641" i="5"/>
  <c r="I641" i="5"/>
  <c r="J641" i="5"/>
  <c r="K641" i="5"/>
  <c r="M641" i="5"/>
  <c r="N641" i="5"/>
  <c r="O641" i="5"/>
  <c r="P641" i="5"/>
  <c r="S641" i="5"/>
  <c r="T641" i="5"/>
  <c r="F642" i="5"/>
  <c r="G642" i="5"/>
  <c r="H642" i="5"/>
  <c r="I642" i="5"/>
  <c r="J642" i="5"/>
  <c r="K642" i="5"/>
  <c r="M642" i="5"/>
  <c r="N642" i="5"/>
  <c r="O642" i="5"/>
  <c r="P642" i="5"/>
  <c r="S642" i="5"/>
  <c r="T642" i="5"/>
  <c r="F643" i="5"/>
  <c r="G643" i="5"/>
  <c r="H643" i="5"/>
  <c r="I643" i="5"/>
  <c r="J643" i="5"/>
  <c r="K643" i="5"/>
  <c r="M643" i="5"/>
  <c r="N643" i="5"/>
  <c r="O643" i="5"/>
  <c r="P643" i="5"/>
  <c r="S643" i="5"/>
  <c r="T643" i="5"/>
  <c r="F644" i="5"/>
  <c r="G644" i="5"/>
  <c r="H644" i="5"/>
  <c r="I644" i="5"/>
  <c r="J644" i="5"/>
  <c r="K644" i="5"/>
  <c r="M644" i="5"/>
  <c r="N644" i="5"/>
  <c r="O644" i="5"/>
  <c r="P644" i="5"/>
  <c r="S644" i="5"/>
  <c r="T644" i="5"/>
  <c r="F645" i="5"/>
  <c r="L645" i="5" s="1"/>
  <c r="G645" i="5"/>
  <c r="H645" i="5"/>
  <c r="I645" i="5"/>
  <c r="J645" i="5"/>
  <c r="K645" i="5"/>
  <c r="M645" i="5"/>
  <c r="N645" i="5"/>
  <c r="O645" i="5"/>
  <c r="P645" i="5"/>
  <c r="S645" i="5"/>
  <c r="T645" i="5"/>
  <c r="F646" i="5"/>
  <c r="G646" i="5"/>
  <c r="H646" i="5"/>
  <c r="I646" i="5"/>
  <c r="J646" i="5"/>
  <c r="K646" i="5"/>
  <c r="M646" i="5"/>
  <c r="N646" i="5"/>
  <c r="O646" i="5"/>
  <c r="P646" i="5"/>
  <c r="S646" i="5"/>
  <c r="T646" i="5"/>
  <c r="F647" i="5"/>
  <c r="G647" i="5"/>
  <c r="H647" i="5"/>
  <c r="I647" i="5"/>
  <c r="J647" i="5"/>
  <c r="K647" i="5"/>
  <c r="M647" i="5"/>
  <c r="N647" i="5"/>
  <c r="O647" i="5"/>
  <c r="Q647" i="5" s="1"/>
  <c r="P647" i="5"/>
  <c r="S647" i="5"/>
  <c r="T647" i="5"/>
  <c r="F648" i="5"/>
  <c r="G648" i="5"/>
  <c r="H648" i="5"/>
  <c r="I648" i="5"/>
  <c r="J648" i="5"/>
  <c r="K648" i="5"/>
  <c r="M648" i="5"/>
  <c r="N648" i="5"/>
  <c r="O648" i="5"/>
  <c r="P648" i="5"/>
  <c r="S648" i="5"/>
  <c r="T648" i="5"/>
  <c r="F649" i="5"/>
  <c r="G649" i="5"/>
  <c r="H649" i="5"/>
  <c r="I649" i="5"/>
  <c r="J649" i="5"/>
  <c r="K649" i="5"/>
  <c r="M649" i="5"/>
  <c r="N649" i="5"/>
  <c r="O649" i="5"/>
  <c r="P649" i="5"/>
  <c r="S649" i="5"/>
  <c r="T649" i="5"/>
  <c r="F650" i="5"/>
  <c r="G650" i="5"/>
  <c r="H650" i="5"/>
  <c r="I650" i="5"/>
  <c r="J650" i="5"/>
  <c r="K650" i="5"/>
  <c r="M650" i="5"/>
  <c r="N650" i="5"/>
  <c r="O650" i="5"/>
  <c r="P650" i="5"/>
  <c r="S650" i="5"/>
  <c r="T650" i="5"/>
  <c r="F651" i="5"/>
  <c r="G651" i="5"/>
  <c r="H651" i="5"/>
  <c r="I651" i="5"/>
  <c r="J651" i="5"/>
  <c r="K651" i="5"/>
  <c r="M651" i="5"/>
  <c r="N651" i="5"/>
  <c r="O651" i="5"/>
  <c r="Q651" i="5" s="1"/>
  <c r="P651" i="5"/>
  <c r="S651" i="5"/>
  <c r="T651" i="5"/>
  <c r="F652" i="5"/>
  <c r="G652" i="5"/>
  <c r="H652" i="5"/>
  <c r="I652" i="5"/>
  <c r="J652" i="5"/>
  <c r="K652" i="5"/>
  <c r="M652" i="5"/>
  <c r="N652" i="5"/>
  <c r="O652" i="5"/>
  <c r="P652" i="5"/>
  <c r="S652" i="5"/>
  <c r="T652" i="5"/>
  <c r="F653" i="5"/>
  <c r="G653" i="5"/>
  <c r="H653" i="5"/>
  <c r="I653" i="5"/>
  <c r="J653" i="5"/>
  <c r="K653" i="5"/>
  <c r="M653" i="5"/>
  <c r="N653" i="5"/>
  <c r="O653" i="5"/>
  <c r="P653" i="5"/>
  <c r="Q653" i="5" s="1"/>
  <c r="S653" i="5"/>
  <c r="T653" i="5"/>
  <c r="F654" i="5"/>
  <c r="G654" i="5"/>
  <c r="H654" i="5"/>
  <c r="I654" i="5"/>
  <c r="J654" i="5"/>
  <c r="K654" i="5"/>
  <c r="M654" i="5"/>
  <c r="N654" i="5"/>
  <c r="O654" i="5"/>
  <c r="P654" i="5"/>
  <c r="S654" i="5"/>
  <c r="T654" i="5"/>
  <c r="F655" i="5"/>
  <c r="G655" i="5"/>
  <c r="H655" i="5"/>
  <c r="I655" i="5"/>
  <c r="J655" i="5"/>
  <c r="K655" i="5"/>
  <c r="M655" i="5"/>
  <c r="N655" i="5"/>
  <c r="O655" i="5"/>
  <c r="P655" i="5"/>
  <c r="S655" i="5"/>
  <c r="T655" i="5"/>
  <c r="F656" i="5"/>
  <c r="G656" i="5"/>
  <c r="H656" i="5"/>
  <c r="I656" i="5"/>
  <c r="J656" i="5"/>
  <c r="K656" i="5"/>
  <c r="M656" i="5"/>
  <c r="N656" i="5"/>
  <c r="O656" i="5"/>
  <c r="P656" i="5"/>
  <c r="S656" i="5"/>
  <c r="T656" i="5"/>
  <c r="F657" i="5"/>
  <c r="G657" i="5"/>
  <c r="H657" i="5"/>
  <c r="I657" i="5"/>
  <c r="J657" i="5"/>
  <c r="K657" i="5"/>
  <c r="M657" i="5"/>
  <c r="N657" i="5"/>
  <c r="O657" i="5"/>
  <c r="P657" i="5"/>
  <c r="S657" i="5"/>
  <c r="T657" i="5"/>
  <c r="F658" i="5"/>
  <c r="G658" i="5"/>
  <c r="H658" i="5"/>
  <c r="I658" i="5"/>
  <c r="J658" i="5"/>
  <c r="K658" i="5"/>
  <c r="M658" i="5"/>
  <c r="N658" i="5"/>
  <c r="O658" i="5"/>
  <c r="P658" i="5"/>
  <c r="S658" i="5"/>
  <c r="T658" i="5"/>
  <c r="F659" i="5"/>
  <c r="G659" i="5"/>
  <c r="H659" i="5"/>
  <c r="I659" i="5"/>
  <c r="J659" i="5"/>
  <c r="K659" i="5"/>
  <c r="M659" i="5"/>
  <c r="N659" i="5"/>
  <c r="O659" i="5"/>
  <c r="P659" i="5"/>
  <c r="S659" i="5"/>
  <c r="T659" i="5"/>
  <c r="F660" i="5"/>
  <c r="G660" i="5"/>
  <c r="H660" i="5"/>
  <c r="I660" i="5"/>
  <c r="J660" i="5"/>
  <c r="K660" i="5"/>
  <c r="M660" i="5"/>
  <c r="N660" i="5"/>
  <c r="O660" i="5"/>
  <c r="P660" i="5"/>
  <c r="S660" i="5"/>
  <c r="T660" i="5"/>
  <c r="F661" i="5"/>
  <c r="G661" i="5"/>
  <c r="H661" i="5"/>
  <c r="I661" i="5"/>
  <c r="J661" i="5"/>
  <c r="K661" i="5"/>
  <c r="M661" i="5"/>
  <c r="N661" i="5"/>
  <c r="O661" i="5"/>
  <c r="P661" i="5"/>
  <c r="S661" i="5"/>
  <c r="T661" i="5"/>
  <c r="F662" i="5"/>
  <c r="G662" i="5"/>
  <c r="H662" i="5"/>
  <c r="I662" i="5"/>
  <c r="J662" i="5"/>
  <c r="K662" i="5"/>
  <c r="M662" i="5"/>
  <c r="N662" i="5"/>
  <c r="O662" i="5"/>
  <c r="P662" i="5"/>
  <c r="S662" i="5"/>
  <c r="T662" i="5"/>
  <c r="F663" i="5"/>
  <c r="G663" i="5"/>
  <c r="H663" i="5"/>
  <c r="I663" i="5"/>
  <c r="J663" i="5"/>
  <c r="K663" i="5"/>
  <c r="M663" i="5"/>
  <c r="N663" i="5"/>
  <c r="O663" i="5"/>
  <c r="P663" i="5"/>
  <c r="S663" i="5"/>
  <c r="T663" i="5"/>
  <c r="F664" i="5"/>
  <c r="G664" i="5"/>
  <c r="H664" i="5"/>
  <c r="I664" i="5"/>
  <c r="J664" i="5"/>
  <c r="K664" i="5"/>
  <c r="M664" i="5"/>
  <c r="N664" i="5"/>
  <c r="O664" i="5"/>
  <c r="P664" i="5"/>
  <c r="S664" i="5"/>
  <c r="T664" i="5"/>
  <c r="F665" i="5"/>
  <c r="G665" i="5"/>
  <c r="H665" i="5"/>
  <c r="I665" i="5"/>
  <c r="J665" i="5"/>
  <c r="K665" i="5"/>
  <c r="M665" i="5"/>
  <c r="N665" i="5"/>
  <c r="O665" i="5"/>
  <c r="P665" i="5"/>
  <c r="S665" i="5"/>
  <c r="T665" i="5"/>
  <c r="F666" i="5"/>
  <c r="G666" i="5"/>
  <c r="H666" i="5"/>
  <c r="I666" i="5"/>
  <c r="J666" i="5"/>
  <c r="K666" i="5"/>
  <c r="M666" i="5"/>
  <c r="N666" i="5"/>
  <c r="O666" i="5"/>
  <c r="P666" i="5"/>
  <c r="S666" i="5"/>
  <c r="T666" i="5"/>
  <c r="F667" i="5"/>
  <c r="G667" i="5"/>
  <c r="H667" i="5"/>
  <c r="I667" i="5"/>
  <c r="J667" i="5"/>
  <c r="K667" i="5"/>
  <c r="M667" i="5"/>
  <c r="N667" i="5"/>
  <c r="O667" i="5"/>
  <c r="P667" i="5"/>
  <c r="S667" i="5"/>
  <c r="T667" i="5"/>
  <c r="F668" i="5"/>
  <c r="G668" i="5"/>
  <c r="H668" i="5"/>
  <c r="I668" i="5"/>
  <c r="J668" i="5"/>
  <c r="K668" i="5"/>
  <c r="M668" i="5"/>
  <c r="N668" i="5"/>
  <c r="O668" i="5"/>
  <c r="P668" i="5"/>
  <c r="S668" i="5"/>
  <c r="T668" i="5"/>
  <c r="F669" i="5"/>
  <c r="G669" i="5"/>
  <c r="H669" i="5"/>
  <c r="I669" i="5"/>
  <c r="J669" i="5"/>
  <c r="K669" i="5"/>
  <c r="M669" i="5"/>
  <c r="N669" i="5"/>
  <c r="O669" i="5"/>
  <c r="P669" i="5"/>
  <c r="S669" i="5"/>
  <c r="T669" i="5"/>
  <c r="F670" i="5"/>
  <c r="G670" i="5"/>
  <c r="H670" i="5"/>
  <c r="I670" i="5"/>
  <c r="J670" i="5"/>
  <c r="K670" i="5"/>
  <c r="M670" i="5"/>
  <c r="N670" i="5"/>
  <c r="O670" i="5"/>
  <c r="P670" i="5"/>
  <c r="S670" i="5"/>
  <c r="T670" i="5"/>
  <c r="F671" i="5"/>
  <c r="G671" i="5"/>
  <c r="H671" i="5"/>
  <c r="I671" i="5"/>
  <c r="J671" i="5"/>
  <c r="K671" i="5"/>
  <c r="M671" i="5"/>
  <c r="N671" i="5"/>
  <c r="O671" i="5"/>
  <c r="P671" i="5"/>
  <c r="S671" i="5"/>
  <c r="T671" i="5"/>
  <c r="F672" i="5"/>
  <c r="G672" i="5"/>
  <c r="H672" i="5"/>
  <c r="I672" i="5"/>
  <c r="J672" i="5"/>
  <c r="K672" i="5"/>
  <c r="M672" i="5"/>
  <c r="N672" i="5"/>
  <c r="O672" i="5"/>
  <c r="P672" i="5"/>
  <c r="S672" i="5"/>
  <c r="T672" i="5"/>
  <c r="F673" i="5"/>
  <c r="G673" i="5"/>
  <c r="H673" i="5"/>
  <c r="I673" i="5"/>
  <c r="J673" i="5"/>
  <c r="K673" i="5"/>
  <c r="M673" i="5"/>
  <c r="N673" i="5"/>
  <c r="O673" i="5"/>
  <c r="P673" i="5"/>
  <c r="S673" i="5"/>
  <c r="T673" i="5"/>
  <c r="F674" i="5"/>
  <c r="G674" i="5"/>
  <c r="H674" i="5"/>
  <c r="I674" i="5"/>
  <c r="J674" i="5"/>
  <c r="K674" i="5"/>
  <c r="M674" i="5"/>
  <c r="N674" i="5"/>
  <c r="O674" i="5"/>
  <c r="P674" i="5"/>
  <c r="S674" i="5"/>
  <c r="T674" i="5"/>
  <c r="F675" i="5"/>
  <c r="G675" i="5"/>
  <c r="H675" i="5"/>
  <c r="I675" i="5"/>
  <c r="J675" i="5"/>
  <c r="K675" i="5"/>
  <c r="M675" i="5"/>
  <c r="N675" i="5"/>
  <c r="O675" i="5"/>
  <c r="P675" i="5"/>
  <c r="S675" i="5"/>
  <c r="T675" i="5"/>
  <c r="F676" i="5"/>
  <c r="G676" i="5"/>
  <c r="H676" i="5"/>
  <c r="I676" i="5"/>
  <c r="J676" i="5"/>
  <c r="K676" i="5"/>
  <c r="M676" i="5"/>
  <c r="N676" i="5"/>
  <c r="O676" i="5"/>
  <c r="P676" i="5"/>
  <c r="S676" i="5"/>
  <c r="T676" i="5"/>
  <c r="F677" i="5"/>
  <c r="G677" i="5"/>
  <c r="H677" i="5"/>
  <c r="I677" i="5"/>
  <c r="J677" i="5"/>
  <c r="K677" i="5"/>
  <c r="M677" i="5"/>
  <c r="N677" i="5"/>
  <c r="O677" i="5"/>
  <c r="P677" i="5"/>
  <c r="S677" i="5"/>
  <c r="T677" i="5"/>
  <c r="F678" i="5"/>
  <c r="G678" i="5"/>
  <c r="H678" i="5"/>
  <c r="I678" i="5"/>
  <c r="J678" i="5"/>
  <c r="K678" i="5"/>
  <c r="M678" i="5"/>
  <c r="N678" i="5"/>
  <c r="O678" i="5"/>
  <c r="P678" i="5"/>
  <c r="S678" i="5"/>
  <c r="T678" i="5"/>
  <c r="F679" i="5"/>
  <c r="G679" i="5"/>
  <c r="H679" i="5"/>
  <c r="I679" i="5"/>
  <c r="J679" i="5"/>
  <c r="K679" i="5"/>
  <c r="M679" i="5"/>
  <c r="N679" i="5"/>
  <c r="O679" i="5"/>
  <c r="P679" i="5"/>
  <c r="S679" i="5"/>
  <c r="T679" i="5"/>
  <c r="F680" i="5"/>
  <c r="G680" i="5"/>
  <c r="H680" i="5"/>
  <c r="I680" i="5"/>
  <c r="J680" i="5"/>
  <c r="K680" i="5"/>
  <c r="M680" i="5"/>
  <c r="N680" i="5"/>
  <c r="O680" i="5"/>
  <c r="P680" i="5"/>
  <c r="S680" i="5"/>
  <c r="T680" i="5"/>
  <c r="F681" i="5"/>
  <c r="G681" i="5"/>
  <c r="H681" i="5"/>
  <c r="I681" i="5"/>
  <c r="J681" i="5"/>
  <c r="K681" i="5"/>
  <c r="M681" i="5"/>
  <c r="N681" i="5"/>
  <c r="O681" i="5"/>
  <c r="P681" i="5"/>
  <c r="S681" i="5"/>
  <c r="T681" i="5"/>
  <c r="F682" i="5"/>
  <c r="G682" i="5"/>
  <c r="H682" i="5"/>
  <c r="I682" i="5"/>
  <c r="J682" i="5"/>
  <c r="K682" i="5"/>
  <c r="M682" i="5"/>
  <c r="N682" i="5"/>
  <c r="O682" i="5"/>
  <c r="P682" i="5"/>
  <c r="S682" i="5"/>
  <c r="T682" i="5"/>
  <c r="F683" i="5"/>
  <c r="G683" i="5"/>
  <c r="H683" i="5"/>
  <c r="I683" i="5"/>
  <c r="J683" i="5"/>
  <c r="K683" i="5"/>
  <c r="M683" i="5"/>
  <c r="N683" i="5"/>
  <c r="O683" i="5"/>
  <c r="P683" i="5"/>
  <c r="S683" i="5"/>
  <c r="T683" i="5"/>
  <c r="F684" i="5"/>
  <c r="G684" i="5"/>
  <c r="H684" i="5"/>
  <c r="I684" i="5"/>
  <c r="J684" i="5"/>
  <c r="K684" i="5"/>
  <c r="M684" i="5"/>
  <c r="N684" i="5"/>
  <c r="O684" i="5"/>
  <c r="P684" i="5"/>
  <c r="S684" i="5"/>
  <c r="T684" i="5"/>
  <c r="F685" i="5"/>
  <c r="G685" i="5"/>
  <c r="H685" i="5"/>
  <c r="I685" i="5"/>
  <c r="J685" i="5"/>
  <c r="K685" i="5"/>
  <c r="M685" i="5"/>
  <c r="N685" i="5"/>
  <c r="O685" i="5"/>
  <c r="P685" i="5"/>
  <c r="Q685" i="5"/>
  <c r="S685" i="5"/>
  <c r="T685" i="5"/>
  <c r="F686" i="5"/>
  <c r="G686" i="5"/>
  <c r="H686" i="5"/>
  <c r="I686" i="5"/>
  <c r="J686" i="5"/>
  <c r="K686" i="5"/>
  <c r="M686" i="5"/>
  <c r="N686" i="5"/>
  <c r="O686" i="5"/>
  <c r="P686" i="5"/>
  <c r="S686" i="5"/>
  <c r="T686" i="5"/>
  <c r="F687" i="5"/>
  <c r="G687" i="5"/>
  <c r="H687" i="5"/>
  <c r="I687" i="5"/>
  <c r="J687" i="5"/>
  <c r="K687" i="5"/>
  <c r="M687" i="5"/>
  <c r="N687" i="5"/>
  <c r="O687" i="5"/>
  <c r="P687" i="5"/>
  <c r="S687" i="5"/>
  <c r="T687" i="5"/>
  <c r="F688" i="5"/>
  <c r="G688" i="5"/>
  <c r="H688" i="5"/>
  <c r="I688" i="5"/>
  <c r="J688" i="5"/>
  <c r="K688" i="5"/>
  <c r="M688" i="5"/>
  <c r="N688" i="5"/>
  <c r="O688" i="5"/>
  <c r="P688" i="5"/>
  <c r="S688" i="5"/>
  <c r="T688" i="5"/>
  <c r="F689" i="5"/>
  <c r="G689" i="5"/>
  <c r="H689" i="5"/>
  <c r="I689" i="5"/>
  <c r="J689" i="5"/>
  <c r="K689" i="5"/>
  <c r="M689" i="5"/>
  <c r="N689" i="5"/>
  <c r="O689" i="5"/>
  <c r="P689" i="5"/>
  <c r="Q689" i="5" s="1"/>
  <c r="S689" i="5"/>
  <c r="T689" i="5"/>
  <c r="F690" i="5"/>
  <c r="G690" i="5"/>
  <c r="H690" i="5"/>
  <c r="I690" i="5"/>
  <c r="J690" i="5"/>
  <c r="K690" i="5"/>
  <c r="M690" i="5"/>
  <c r="N690" i="5"/>
  <c r="O690" i="5"/>
  <c r="Q690" i="5" s="1"/>
  <c r="P690" i="5"/>
  <c r="S690" i="5"/>
  <c r="T690" i="5"/>
  <c r="F691" i="5"/>
  <c r="G691" i="5"/>
  <c r="H691" i="5"/>
  <c r="I691" i="5"/>
  <c r="J691" i="5"/>
  <c r="K691" i="5"/>
  <c r="M691" i="5"/>
  <c r="N691" i="5"/>
  <c r="O691" i="5"/>
  <c r="P691" i="5"/>
  <c r="Q691" i="5" s="1"/>
  <c r="S691" i="5"/>
  <c r="T691" i="5"/>
  <c r="F692" i="5"/>
  <c r="G692" i="5"/>
  <c r="H692" i="5"/>
  <c r="I692" i="5"/>
  <c r="J692" i="5"/>
  <c r="K692" i="5"/>
  <c r="L692" i="5"/>
  <c r="M692" i="5"/>
  <c r="N692" i="5"/>
  <c r="O692" i="5"/>
  <c r="P692" i="5"/>
  <c r="S692" i="5"/>
  <c r="T692" i="5"/>
  <c r="F693" i="5"/>
  <c r="G693" i="5"/>
  <c r="H693" i="5"/>
  <c r="I693" i="5"/>
  <c r="J693" i="5"/>
  <c r="K693" i="5"/>
  <c r="M693" i="5"/>
  <c r="N693" i="5"/>
  <c r="O693" i="5"/>
  <c r="P693" i="5"/>
  <c r="Q693" i="5"/>
  <c r="S693" i="5"/>
  <c r="T693" i="5"/>
  <c r="F694" i="5"/>
  <c r="G694" i="5"/>
  <c r="H694" i="5"/>
  <c r="I694" i="5"/>
  <c r="J694" i="5"/>
  <c r="K694" i="5"/>
  <c r="M694" i="5"/>
  <c r="R694" i="5" s="1"/>
  <c r="N694" i="5"/>
  <c r="O694" i="5"/>
  <c r="P694" i="5"/>
  <c r="S694" i="5"/>
  <c r="T694" i="5"/>
  <c r="F695" i="5"/>
  <c r="G695" i="5"/>
  <c r="H695" i="5"/>
  <c r="I695" i="5"/>
  <c r="J695" i="5"/>
  <c r="K695" i="5"/>
  <c r="M695" i="5"/>
  <c r="N695" i="5"/>
  <c r="O695" i="5"/>
  <c r="P695" i="5"/>
  <c r="S695" i="5"/>
  <c r="T695" i="5"/>
  <c r="F696" i="5"/>
  <c r="G696" i="5"/>
  <c r="H696" i="5"/>
  <c r="I696" i="5"/>
  <c r="J696" i="5"/>
  <c r="K696" i="5"/>
  <c r="M696" i="5"/>
  <c r="N696" i="5"/>
  <c r="O696" i="5"/>
  <c r="P696" i="5"/>
  <c r="S696" i="5"/>
  <c r="T696" i="5"/>
  <c r="F697" i="5"/>
  <c r="G697" i="5"/>
  <c r="H697" i="5"/>
  <c r="I697" i="5"/>
  <c r="J697" i="5"/>
  <c r="K697" i="5"/>
  <c r="M697" i="5"/>
  <c r="N697" i="5"/>
  <c r="O697" i="5"/>
  <c r="P697" i="5"/>
  <c r="S697" i="5"/>
  <c r="T697" i="5"/>
  <c r="F69" i="5"/>
  <c r="G69" i="5"/>
  <c r="H69" i="5"/>
  <c r="I69" i="5"/>
  <c r="J69" i="5"/>
  <c r="K69" i="5"/>
  <c r="M69" i="5"/>
  <c r="U69" i="5" s="1"/>
  <c r="N69" i="5"/>
  <c r="O69" i="5"/>
  <c r="P69" i="5"/>
  <c r="S69" i="5"/>
  <c r="T69" i="5"/>
  <c r="F70" i="5"/>
  <c r="G70" i="5"/>
  <c r="H70" i="5"/>
  <c r="I70" i="5"/>
  <c r="J70" i="5"/>
  <c r="K70" i="5"/>
  <c r="M70" i="5"/>
  <c r="N70" i="5"/>
  <c r="U70" i="5" s="1"/>
  <c r="O70" i="5"/>
  <c r="P70" i="5"/>
  <c r="S70" i="5"/>
  <c r="T70" i="5"/>
  <c r="F71" i="5"/>
  <c r="G71" i="5"/>
  <c r="H71" i="5"/>
  <c r="I71" i="5"/>
  <c r="J71" i="5"/>
  <c r="K71" i="5"/>
  <c r="M71" i="5"/>
  <c r="N71" i="5"/>
  <c r="U71" i="5" s="1"/>
  <c r="O71" i="5"/>
  <c r="P71" i="5"/>
  <c r="S71" i="5"/>
  <c r="T71" i="5"/>
  <c r="F72" i="5"/>
  <c r="G72" i="5"/>
  <c r="H72" i="5"/>
  <c r="I72" i="5"/>
  <c r="J72" i="5"/>
  <c r="K72" i="5"/>
  <c r="M72" i="5"/>
  <c r="N72" i="5"/>
  <c r="O72" i="5"/>
  <c r="P72" i="5"/>
  <c r="S72" i="5"/>
  <c r="T72" i="5"/>
  <c r="F73" i="5"/>
  <c r="G73" i="5"/>
  <c r="H73" i="5"/>
  <c r="I73" i="5"/>
  <c r="J73" i="5"/>
  <c r="K73" i="5"/>
  <c r="M73" i="5"/>
  <c r="N73" i="5"/>
  <c r="O73" i="5"/>
  <c r="P73" i="5"/>
  <c r="S73" i="5"/>
  <c r="T73" i="5"/>
  <c r="F74" i="5"/>
  <c r="G74" i="5"/>
  <c r="H74" i="5"/>
  <c r="I74" i="5"/>
  <c r="J74" i="5"/>
  <c r="K74" i="5"/>
  <c r="M74" i="5"/>
  <c r="N74" i="5"/>
  <c r="O74" i="5"/>
  <c r="P74" i="5"/>
  <c r="S74" i="5"/>
  <c r="T74" i="5"/>
  <c r="F75" i="5"/>
  <c r="G75" i="5"/>
  <c r="H75" i="5"/>
  <c r="I75" i="5"/>
  <c r="J75" i="5"/>
  <c r="K75" i="5"/>
  <c r="M75" i="5"/>
  <c r="N75" i="5"/>
  <c r="O75" i="5"/>
  <c r="P75" i="5"/>
  <c r="S75" i="5"/>
  <c r="T75" i="5"/>
  <c r="F76" i="5"/>
  <c r="G76" i="5"/>
  <c r="H76" i="5"/>
  <c r="I76" i="5"/>
  <c r="J76" i="5"/>
  <c r="K76" i="5"/>
  <c r="M76" i="5"/>
  <c r="N76" i="5"/>
  <c r="O76" i="5"/>
  <c r="P76" i="5"/>
  <c r="S76" i="5"/>
  <c r="T76" i="5"/>
  <c r="F77" i="5"/>
  <c r="G77" i="5"/>
  <c r="H77" i="5"/>
  <c r="I77" i="5"/>
  <c r="J77" i="5"/>
  <c r="K77" i="5"/>
  <c r="M77" i="5"/>
  <c r="N77" i="5"/>
  <c r="O77" i="5"/>
  <c r="P77" i="5"/>
  <c r="S77" i="5"/>
  <c r="T77" i="5"/>
  <c r="F78" i="5"/>
  <c r="G78" i="5"/>
  <c r="H78" i="5"/>
  <c r="I78" i="5"/>
  <c r="J78" i="5"/>
  <c r="K78" i="5"/>
  <c r="M78" i="5"/>
  <c r="N78" i="5"/>
  <c r="O78" i="5"/>
  <c r="P78" i="5"/>
  <c r="S78" i="5"/>
  <c r="T78" i="5"/>
  <c r="F79" i="5"/>
  <c r="G79" i="5"/>
  <c r="H79" i="5"/>
  <c r="I79" i="5"/>
  <c r="J79" i="5"/>
  <c r="K79" i="5"/>
  <c r="M79" i="5"/>
  <c r="N79" i="5"/>
  <c r="O79" i="5"/>
  <c r="P79" i="5"/>
  <c r="S79" i="5"/>
  <c r="T79" i="5"/>
  <c r="F80" i="5"/>
  <c r="G80" i="5"/>
  <c r="H80" i="5"/>
  <c r="I80" i="5"/>
  <c r="J80" i="5"/>
  <c r="K80" i="5"/>
  <c r="M80" i="5"/>
  <c r="N80" i="5"/>
  <c r="O80" i="5"/>
  <c r="P80" i="5"/>
  <c r="S80" i="5"/>
  <c r="T80" i="5"/>
  <c r="F81" i="5"/>
  <c r="G81" i="5"/>
  <c r="H81" i="5"/>
  <c r="I81" i="5"/>
  <c r="J81" i="5"/>
  <c r="K81" i="5"/>
  <c r="M81" i="5"/>
  <c r="N81" i="5"/>
  <c r="O81" i="5"/>
  <c r="P81" i="5"/>
  <c r="S81" i="5"/>
  <c r="T81" i="5"/>
  <c r="T68" i="5"/>
  <c r="S68" i="5"/>
  <c r="P68" i="5"/>
  <c r="O68" i="5"/>
  <c r="N68" i="5"/>
  <c r="M68" i="5"/>
  <c r="K68" i="5"/>
  <c r="J68" i="5"/>
  <c r="I68" i="5"/>
  <c r="H68" i="5"/>
  <c r="G68" i="5"/>
  <c r="F68" i="5"/>
  <c r="T67" i="5"/>
  <c r="S67" i="5"/>
  <c r="P67" i="5"/>
  <c r="O67" i="5"/>
  <c r="N67" i="5"/>
  <c r="M67" i="5"/>
  <c r="K67" i="5"/>
  <c r="J67" i="5"/>
  <c r="I67" i="5"/>
  <c r="H67" i="5"/>
  <c r="G67" i="5"/>
  <c r="F67" i="5"/>
  <c r="T66" i="5"/>
  <c r="S66" i="5"/>
  <c r="P66" i="5"/>
  <c r="O66" i="5"/>
  <c r="N66" i="5"/>
  <c r="M66" i="5"/>
  <c r="U66" i="5" s="1"/>
  <c r="K66" i="5"/>
  <c r="J66" i="5"/>
  <c r="I66" i="5"/>
  <c r="H66" i="5"/>
  <c r="G66" i="5"/>
  <c r="F66" i="5"/>
  <c r="T65" i="5"/>
  <c r="S65" i="5"/>
  <c r="P65" i="5"/>
  <c r="O65" i="5"/>
  <c r="N65" i="5"/>
  <c r="M65" i="5"/>
  <c r="R65" i="5" s="1"/>
  <c r="K65" i="5"/>
  <c r="J65" i="5"/>
  <c r="I65" i="5"/>
  <c r="H65" i="5"/>
  <c r="G65" i="5"/>
  <c r="F65" i="5"/>
  <c r="T64" i="5"/>
  <c r="S64" i="5"/>
  <c r="P64" i="5"/>
  <c r="O64" i="5"/>
  <c r="N64" i="5"/>
  <c r="M64" i="5"/>
  <c r="K64" i="5"/>
  <c r="J64" i="5"/>
  <c r="I64" i="5"/>
  <c r="H64" i="5"/>
  <c r="G64" i="5"/>
  <c r="F64" i="5"/>
  <c r="T63" i="5"/>
  <c r="S63" i="5"/>
  <c r="P63" i="5"/>
  <c r="O63" i="5"/>
  <c r="N63" i="5"/>
  <c r="M63" i="5"/>
  <c r="K63" i="5"/>
  <c r="J63" i="5"/>
  <c r="I63" i="5"/>
  <c r="H63" i="5"/>
  <c r="G63" i="5"/>
  <c r="F63" i="5"/>
  <c r="T62" i="5"/>
  <c r="S62" i="5"/>
  <c r="P62" i="5"/>
  <c r="O62" i="5"/>
  <c r="N62" i="5"/>
  <c r="M62" i="5"/>
  <c r="R62" i="5" s="1"/>
  <c r="K62" i="5"/>
  <c r="J62" i="5"/>
  <c r="I62" i="5"/>
  <c r="H62" i="5"/>
  <c r="G62" i="5"/>
  <c r="F62" i="5"/>
  <c r="T61" i="5"/>
  <c r="S61" i="5"/>
  <c r="P61" i="5"/>
  <c r="O61" i="5"/>
  <c r="N61" i="5"/>
  <c r="M61" i="5"/>
  <c r="R61" i="5" s="1"/>
  <c r="K61" i="5"/>
  <c r="J61" i="5"/>
  <c r="I61" i="5"/>
  <c r="H61" i="5"/>
  <c r="G61" i="5"/>
  <c r="F61" i="5"/>
  <c r="T60" i="5"/>
  <c r="S60" i="5"/>
  <c r="P60" i="5"/>
  <c r="O60" i="5"/>
  <c r="Q60" i="5" s="1"/>
  <c r="N60" i="5"/>
  <c r="M60" i="5"/>
  <c r="K60" i="5"/>
  <c r="J60" i="5"/>
  <c r="I60" i="5"/>
  <c r="H60" i="5"/>
  <c r="G60" i="5"/>
  <c r="F60" i="5"/>
  <c r="T59" i="5"/>
  <c r="S59" i="5"/>
  <c r="P59" i="5"/>
  <c r="O59" i="5"/>
  <c r="N59" i="5"/>
  <c r="M59" i="5"/>
  <c r="K59" i="5"/>
  <c r="J59" i="5"/>
  <c r="I59" i="5"/>
  <c r="H59" i="5"/>
  <c r="G59" i="5"/>
  <c r="F59" i="5"/>
  <c r="T58" i="5"/>
  <c r="S58" i="5"/>
  <c r="P58" i="5"/>
  <c r="O58" i="5"/>
  <c r="N58" i="5"/>
  <c r="M58" i="5"/>
  <c r="R58" i="5" s="1"/>
  <c r="K58" i="5"/>
  <c r="J58" i="5"/>
  <c r="I58" i="5"/>
  <c r="H58" i="5"/>
  <c r="G58" i="5"/>
  <c r="F58" i="5"/>
  <c r="T57" i="5"/>
  <c r="S57" i="5"/>
  <c r="P57" i="5"/>
  <c r="O57" i="5"/>
  <c r="N57" i="5"/>
  <c r="M57" i="5"/>
  <c r="R57" i="5" s="1"/>
  <c r="K57" i="5"/>
  <c r="J57" i="5"/>
  <c r="I57" i="5"/>
  <c r="H57" i="5"/>
  <c r="G57" i="5"/>
  <c r="F57" i="5"/>
  <c r="T56" i="5"/>
  <c r="S56" i="5"/>
  <c r="P56" i="5"/>
  <c r="O56" i="5"/>
  <c r="N56" i="5"/>
  <c r="M56" i="5"/>
  <c r="K56" i="5"/>
  <c r="J56" i="5"/>
  <c r="I56" i="5"/>
  <c r="H56" i="5"/>
  <c r="G56" i="5"/>
  <c r="F56" i="5"/>
  <c r="T55" i="5"/>
  <c r="S55" i="5"/>
  <c r="P55" i="5"/>
  <c r="O55" i="5"/>
  <c r="N55" i="5"/>
  <c r="M55" i="5"/>
  <c r="K55" i="5"/>
  <c r="J55" i="5"/>
  <c r="I55" i="5"/>
  <c r="H55" i="5"/>
  <c r="G55" i="5"/>
  <c r="F55" i="5"/>
  <c r="T54" i="5"/>
  <c r="S54" i="5"/>
  <c r="P54" i="5"/>
  <c r="O54" i="5"/>
  <c r="N54" i="5"/>
  <c r="M54" i="5"/>
  <c r="R54" i="5" s="1"/>
  <c r="K54" i="5"/>
  <c r="J54" i="5"/>
  <c r="I54" i="5"/>
  <c r="H54" i="5"/>
  <c r="G54" i="5"/>
  <c r="F54" i="5"/>
  <c r="T53" i="5"/>
  <c r="S53" i="5"/>
  <c r="P53" i="5"/>
  <c r="O53" i="5"/>
  <c r="Q53" i="5" s="1"/>
  <c r="N53" i="5"/>
  <c r="M53" i="5"/>
  <c r="U53" i="5" s="1"/>
  <c r="K53" i="5"/>
  <c r="J53" i="5"/>
  <c r="I53" i="5"/>
  <c r="H53" i="5"/>
  <c r="G53" i="5"/>
  <c r="F53" i="5"/>
  <c r="T52" i="5"/>
  <c r="S52" i="5"/>
  <c r="P52" i="5"/>
  <c r="O52" i="5"/>
  <c r="N52" i="5"/>
  <c r="M52" i="5"/>
  <c r="K52" i="5"/>
  <c r="J52" i="5"/>
  <c r="I52" i="5"/>
  <c r="H52" i="5"/>
  <c r="G52" i="5"/>
  <c r="F52" i="5"/>
  <c r="T51" i="5"/>
  <c r="S51" i="5"/>
  <c r="P51" i="5"/>
  <c r="O51" i="5"/>
  <c r="N51" i="5"/>
  <c r="M51" i="5"/>
  <c r="K51" i="5"/>
  <c r="J51" i="5"/>
  <c r="I51" i="5"/>
  <c r="H51" i="5"/>
  <c r="G51" i="5"/>
  <c r="F51" i="5"/>
  <c r="T50" i="5"/>
  <c r="S50" i="5"/>
  <c r="P50" i="5"/>
  <c r="O50" i="5"/>
  <c r="N50" i="5"/>
  <c r="M50" i="5"/>
  <c r="R50" i="5" s="1"/>
  <c r="K50" i="5"/>
  <c r="J50" i="5"/>
  <c r="I50" i="5"/>
  <c r="H50" i="5"/>
  <c r="G50" i="5"/>
  <c r="F50" i="5"/>
  <c r="T49" i="5"/>
  <c r="S49" i="5"/>
  <c r="P49" i="5"/>
  <c r="O49" i="5"/>
  <c r="N49" i="5"/>
  <c r="M49" i="5"/>
  <c r="K49" i="5"/>
  <c r="J49" i="5"/>
  <c r="I49" i="5"/>
  <c r="H49" i="5"/>
  <c r="G49" i="5"/>
  <c r="F49" i="5"/>
  <c r="T48" i="5"/>
  <c r="S48" i="5"/>
  <c r="P48" i="5"/>
  <c r="O48" i="5"/>
  <c r="N48" i="5"/>
  <c r="M48" i="5"/>
  <c r="K48" i="5"/>
  <c r="J48" i="5"/>
  <c r="I48" i="5"/>
  <c r="H48" i="5"/>
  <c r="G48" i="5"/>
  <c r="F48" i="5"/>
  <c r="T47" i="5"/>
  <c r="S47" i="5"/>
  <c r="P47" i="5"/>
  <c r="O47" i="5"/>
  <c r="N47" i="5"/>
  <c r="M47" i="5"/>
  <c r="K47" i="5"/>
  <c r="J47" i="5"/>
  <c r="I47" i="5"/>
  <c r="H47" i="5"/>
  <c r="G47" i="5"/>
  <c r="F47" i="5"/>
  <c r="T46" i="5"/>
  <c r="S46" i="5"/>
  <c r="P46" i="5"/>
  <c r="O46" i="5"/>
  <c r="N46" i="5"/>
  <c r="M46" i="5"/>
  <c r="U46" i="5" s="1"/>
  <c r="K46" i="5"/>
  <c r="J46" i="5"/>
  <c r="I46" i="5"/>
  <c r="H46" i="5"/>
  <c r="G46" i="5"/>
  <c r="F46" i="5"/>
  <c r="T45" i="5"/>
  <c r="S45" i="5"/>
  <c r="P45" i="5"/>
  <c r="O45" i="5"/>
  <c r="N45" i="5"/>
  <c r="M45" i="5"/>
  <c r="K45" i="5"/>
  <c r="J45" i="5"/>
  <c r="I45" i="5"/>
  <c r="H45" i="5"/>
  <c r="G45" i="5"/>
  <c r="F45" i="5"/>
  <c r="T44" i="5"/>
  <c r="S44" i="5"/>
  <c r="P44" i="5"/>
  <c r="O44" i="5"/>
  <c r="N44" i="5"/>
  <c r="M44" i="5"/>
  <c r="K44" i="5"/>
  <c r="J44" i="5"/>
  <c r="I44" i="5"/>
  <c r="H44" i="5"/>
  <c r="G44" i="5"/>
  <c r="F44" i="5"/>
  <c r="T43" i="5"/>
  <c r="S43" i="5"/>
  <c r="P43" i="5"/>
  <c r="O43" i="5"/>
  <c r="N43" i="5"/>
  <c r="M43" i="5"/>
  <c r="K43" i="5"/>
  <c r="J43" i="5"/>
  <c r="I43" i="5"/>
  <c r="H43" i="5"/>
  <c r="G43" i="5"/>
  <c r="F43" i="5"/>
  <c r="T42" i="5"/>
  <c r="S42" i="5"/>
  <c r="P42" i="5"/>
  <c r="O42" i="5"/>
  <c r="N42" i="5"/>
  <c r="M42" i="5"/>
  <c r="K42" i="5"/>
  <c r="J42" i="5"/>
  <c r="I42" i="5"/>
  <c r="H42" i="5"/>
  <c r="G42" i="5"/>
  <c r="F42" i="5"/>
  <c r="T41" i="5"/>
  <c r="S41" i="5"/>
  <c r="P41" i="5"/>
  <c r="O41" i="5"/>
  <c r="N41" i="5"/>
  <c r="M41" i="5"/>
  <c r="K41" i="5"/>
  <c r="J41" i="5"/>
  <c r="I41" i="5"/>
  <c r="H41" i="5"/>
  <c r="G41" i="5"/>
  <c r="F41" i="5"/>
  <c r="T40" i="5"/>
  <c r="S40" i="5"/>
  <c r="P40" i="5"/>
  <c r="O40" i="5"/>
  <c r="N40" i="5"/>
  <c r="M40" i="5"/>
  <c r="K40" i="5"/>
  <c r="J40" i="5"/>
  <c r="I40" i="5"/>
  <c r="H40" i="5"/>
  <c r="G40" i="5"/>
  <c r="F40" i="5"/>
  <c r="T39" i="5"/>
  <c r="S39" i="5"/>
  <c r="P39" i="5"/>
  <c r="O39" i="5"/>
  <c r="N39" i="5"/>
  <c r="M39" i="5"/>
  <c r="K39" i="5"/>
  <c r="J39" i="5"/>
  <c r="I39" i="5"/>
  <c r="H39" i="5"/>
  <c r="G39" i="5"/>
  <c r="F39" i="5"/>
  <c r="T38" i="5"/>
  <c r="S38" i="5"/>
  <c r="P38" i="5"/>
  <c r="O38" i="5"/>
  <c r="N38" i="5"/>
  <c r="M38" i="5"/>
  <c r="R38" i="5" s="1"/>
  <c r="K38" i="5"/>
  <c r="J38" i="5"/>
  <c r="I38" i="5"/>
  <c r="H38" i="5"/>
  <c r="G38" i="5"/>
  <c r="F38" i="5"/>
  <c r="T37" i="5"/>
  <c r="S37" i="5"/>
  <c r="P37" i="5"/>
  <c r="O37" i="5"/>
  <c r="N37" i="5"/>
  <c r="M37" i="5"/>
  <c r="K37" i="5"/>
  <c r="J37" i="5"/>
  <c r="I37" i="5"/>
  <c r="H37" i="5"/>
  <c r="G37" i="5"/>
  <c r="F37" i="5"/>
  <c r="T36" i="5"/>
  <c r="S36" i="5"/>
  <c r="P36" i="5"/>
  <c r="O36" i="5"/>
  <c r="N36" i="5"/>
  <c r="M36" i="5"/>
  <c r="K36" i="5"/>
  <c r="J36" i="5"/>
  <c r="I36" i="5"/>
  <c r="H36" i="5"/>
  <c r="G36" i="5"/>
  <c r="F36" i="5"/>
  <c r="T35" i="5"/>
  <c r="S35" i="5"/>
  <c r="P35" i="5"/>
  <c r="O35" i="5"/>
  <c r="N35" i="5"/>
  <c r="M35" i="5"/>
  <c r="K35" i="5"/>
  <c r="J35" i="5"/>
  <c r="I35" i="5"/>
  <c r="H35" i="5"/>
  <c r="G35" i="5"/>
  <c r="F35" i="5"/>
  <c r="T34" i="5"/>
  <c r="S34" i="5"/>
  <c r="P34" i="5"/>
  <c r="O34" i="5"/>
  <c r="N34" i="5"/>
  <c r="M34" i="5"/>
  <c r="R34" i="5" s="1"/>
  <c r="K34" i="5"/>
  <c r="J34" i="5"/>
  <c r="I34" i="5"/>
  <c r="H34" i="5"/>
  <c r="G34" i="5"/>
  <c r="F34" i="5"/>
  <c r="T33" i="5"/>
  <c r="S33" i="5"/>
  <c r="P33" i="5"/>
  <c r="O33" i="5"/>
  <c r="N33" i="5"/>
  <c r="M33" i="5"/>
  <c r="K33" i="5"/>
  <c r="J33" i="5"/>
  <c r="I33" i="5"/>
  <c r="H33" i="5"/>
  <c r="G33" i="5"/>
  <c r="F33" i="5"/>
  <c r="T32" i="5"/>
  <c r="S32" i="5"/>
  <c r="P32" i="5"/>
  <c r="O32" i="5"/>
  <c r="N32" i="5"/>
  <c r="M32" i="5"/>
  <c r="K32" i="5"/>
  <c r="J32" i="5"/>
  <c r="I32" i="5"/>
  <c r="H32" i="5"/>
  <c r="G32" i="5"/>
  <c r="F32" i="5"/>
  <c r="T31" i="5"/>
  <c r="S31" i="5"/>
  <c r="P31" i="5"/>
  <c r="O31" i="5"/>
  <c r="N31" i="5"/>
  <c r="M31" i="5"/>
  <c r="K31" i="5"/>
  <c r="J31" i="5"/>
  <c r="I31" i="5"/>
  <c r="H31" i="5"/>
  <c r="G31" i="5"/>
  <c r="F31" i="5"/>
  <c r="T30" i="5"/>
  <c r="S30" i="5"/>
  <c r="P30" i="5"/>
  <c r="O30" i="5"/>
  <c r="N30" i="5"/>
  <c r="M30" i="5"/>
  <c r="R30" i="5" s="1"/>
  <c r="K30" i="5"/>
  <c r="J30" i="5"/>
  <c r="I30" i="5"/>
  <c r="H30" i="5"/>
  <c r="G30" i="5"/>
  <c r="F30" i="5"/>
  <c r="T29" i="5"/>
  <c r="S29" i="5"/>
  <c r="P29" i="5"/>
  <c r="O29" i="5"/>
  <c r="Q29" i="5" s="1"/>
  <c r="N29" i="5"/>
  <c r="M29" i="5"/>
  <c r="R29" i="5" s="1"/>
  <c r="K29" i="5"/>
  <c r="J29" i="5"/>
  <c r="I29" i="5"/>
  <c r="H29" i="5"/>
  <c r="G29" i="5"/>
  <c r="F29" i="5"/>
  <c r="T28" i="5"/>
  <c r="S28" i="5"/>
  <c r="P28" i="5"/>
  <c r="O28" i="5"/>
  <c r="N28" i="5"/>
  <c r="M28" i="5"/>
  <c r="K28" i="5"/>
  <c r="J28" i="5"/>
  <c r="I28" i="5"/>
  <c r="H28" i="5"/>
  <c r="G28" i="5"/>
  <c r="F28" i="5"/>
  <c r="T27" i="5"/>
  <c r="S27" i="5"/>
  <c r="P27" i="5"/>
  <c r="O27" i="5"/>
  <c r="N27" i="5"/>
  <c r="M27" i="5"/>
  <c r="K27" i="5"/>
  <c r="J27" i="5"/>
  <c r="I27" i="5"/>
  <c r="H27" i="5"/>
  <c r="G27" i="5"/>
  <c r="F27" i="5"/>
  <c r="T26" i="5"/>
  <c r="S26" i="5"/>
  <c r="P26" i="5"/>
  <c r="O26" i="5"/>
  <c r="N26" i="5"/>
  <c r="M26" i="5"/>
  <c r="R26" i="5" s="1"/>
  <c r="K26" i="5"/>
  <c r="J26" i="5"/>
  <c r="I26" i="5"/>
  <c r="H26" i="5"/>
  <c r="G26" i="5"/>
  <c r="F26" i="5"/>
  <c r="T25" i="5"/>
  <c r="S25" i="5"/>
  <c r="P25" i="5"/>
  <c r="O25" i="5"/>
  <c r="N25" i="5"/>
  <c r="M25" i="5"/>
  <c r="K25" i="5"/>
  <c r="J25" i="5"/>
  <c r="I25" i="5"/>
  <c r="H25" i="5"/>
  <c r="G25" i="5"/>
  <c r="F25" i="5"/>
  <c r="T24" i="5"/>
  <c r="S24" i="5"/>
  <c r="P24" i="5"/>
  <c r="O24" i="5"/>
  <c r="N24" i="5"/>
  <c r="M24" i="5"/>
  <c r="K24" i="5"/>
  <c r="J24" i="5"/>
  <c r="I24" i="5"/>
  <c r="H24" i="5"/>
  <c r="G24" i="5"/>
  <c r="F24" i="5"/>
  <c r="T23" i="5"/>
  <c r="S23" i="5"/>
  <c r="P23" i="5"/>
  <c r="O23" i="5"/>
  <c r="N23" i="5"/>
  <c r="M23" i="5"/>
  <c r="K23" i="5"/>
  <c r="J23" i="5"/>
  <c r="I23" i="5"/>
  <c r="H23" i="5"/>
  <c r="G23" i="5"/>
  <c r="F23" i="5"/>
  <c r="T22" i="5"/>
  <c r="S22" i="5"/>
  <c r="P22" i="5"/>
  <c r="O22" i="5"/>
  <c r="N22" i="5"/>
  <c r="M22" i="5"/>
  <c r="R22" i="5" s="1"/>
  <c r="K22" i="5"/>
  <c r="J22" i="5"/>
  <c r="I22" i="5"/>
  <c r="H22" i="5"/>
  <c r="G22" i="5"/>
  <c r="F22" i="5"/>
  <c r="T21" i="5"/>
  <c r="S21" i="5"/>
  <c r="P21" i="5"/>
  <c r="O21" i="5"/>
  <c r="N21" i="5"/>
  <c r="M21" i="5"/>
  <c r="K21" i="5"/>
  <c r="J21" i="5"/>
  <c r="I21" i="5"/>
  <c r="H21" i="5"/>
  <c r="G21" i="5"/>
  <c r="F21" i="5"/>
  <c r="T20" i="5"/>
  <c r="T18" i="5" s="1"/>
  <c r="S20" i="5"/>
  <c r="S19" i="5" s="1"/>
  <c r="P20" i="5"/>
  <c r="O20" i="5"/>
  <c r="O17" i="5" s="1"/>
  <c r="N20" i="5"/>
  <c r="M20" i="5"/>
  <c r="K20" i="5"/>
  <c r="J20" i="5"/>
  <c r="I20" i="5"/>
  <c r="H20" i="5"/>
  <c r="G20" i="5"/>
  <c r="F20" i="5"/>
  <c r="BB96" i="6"/>
  <c r="BA96" i="6"/>
  <c r="AZ96" i="6"/>
  <c r="AY96" i="6"/>
  <c r="BB95" i="6"/>
  <c r="BA95" i="6"/>
  <c r="AZ95" i="6"/>
  <c r="AY95" i="6"/>
  <c r="BB94" i="6"/>
  <c r="BA94" i="6"/>
  <c r="AZ94" i="6"/>
  <c r="AY94" i="6"/>
  <c r="BB93" i="6"/>
  <c r="BA93" i="6"/>
  <c r="AZ93" i="6"/>
  <c r="AY93" i="6"/>
  <c r="BB92" i="6"/>
  <c r="BA92" i="6"/>
  <c r="AZ92" i="6"/>
  <c r="AY92" i="6"/>
  <c r="BB91" i="6"/>
  <c r="BA91" i="6"/>
  <c r="AZ91" i="6"/>
  <c r="AY91" i="6"/>
  <c r="BB90" i="6"/>
  <c r="BA90" i="6"/>
  <c r="AZ90" i="6"/>
  <c r="AY90" i="6"/>
  <c r="BB89" i="6"/>
  <c r="BA89" i="6"/>
  <c r="AZ89" i="6"/>
  <c r="AY89" i="6"/>
  <c r="BB88" i="6"/>
  <c r="BA88" i="6"/>
  <c r="AZ88" i="6"/>
  <c r="AY88" i="6"/>
  <c r="BB87" i="6"/>
  <c r="BA87" i="6"/>
  <c r="AZ87" i="6"/>
  <c r="AY87" i="6"/>
  <c r="BB86" i="6"/>
  <c r="BA86" i="6"/>
  <c r="AZ86" i="6"/>
  <c r="AY86" i="6"/>
  <c r="BB85" i="6"/>
  <c r="BA85" i="6"/>
  <c r="AZ85" i="6"/>
  <c r="AY85" i="6"/>
  <c r="BB84" i="6"/>
  <c r="BA84" i="6"/>
  <c r="AZ84" i="6"/>
  <c r="AY84" i="6"/>
  <c r="BB83" i="6"/>
  <c r="BA83" i="6"/>
  <c r="AZ83" i="6"/>
  <c r="AY83" i="6"/>
  <c r="BB82" i="6"/>
  <c r="BA82" i="6"/>
  <c r="AZ82" i="6"/>
  <c r="AY82" i="6"/>
  <c r="BB81" i="6"/>
  <c r="BA81" i="6"/>
  <c r="AZ81" i="6"/>
  <c r="AY81" i="6"/>
  <c r="U81" i="6"/>
  <c r="R81" i="6"/>
  <c r="Q81" i="6"/>
  <c r="L81" i="6"/>
  <c r="BB80" i="6"/>
  <c r="BA80" i="6"/>
  <c r="AZ80" i="6"/>
  <c r="AY80" i="6"/>
  <c r="U80" i="6"/>
  <c r="R80" i="6"/>
  <c r="Q80" i="6"/>
  <c r="L80" i="6"/>
  <c r="BB79" i="6"/>
  <c r="BA79" i="6"/>
  <c r="AZ79" i="6"/>
  <c r="AY79" i="6"/>
  <c r="U79" i="6"/>
  <c r="R79" i="6"/>
  <c r="Q79" i="6"/>
  <c r="L79" i="6"/>
  <c r="BB78" i="6"/>
  <c r="BA78" i="6"/>
  <c r="AZ78" i="6"/>
  <c r="AY78" i="6"/>
  <c r="U78" i="6"/>
  <c r="R78" i="6"/>
  <c r="Q78" i="6"/>
  <c r="L78" i="6"/>
  <c r="BB77" i="6"/>
  <c r="BA77" i="6"/>
  <c r="AZ77" i="6"/>
  <c r="AY77" i="6"/>
  <c r="U77" i="6"/>
  <c r="R77" i="6"/>
  <c r="Q77" i="6"/>
  <c r="L77" i="6"/>
  <c r="BB76" i="6"/>
  <c r="BA76" i="6"/>
  <c r="AZ76" i="6"/>
  <c r="AY76" i="6"/>
  <c r="U76" i="6"/>
  <c r="R76" i="6"/>
  <c r="Q76" i="6"/>
  <c r="L76" i="6"/>
  <c r="BB75" i="6"/>
  <c r="BA75" i="6"/>
  <c r="AZ75" i="6"/>
  <c r="AY75" i="6"/>
  <c r="U75" i="6"/>
  <c r="R75" i="6"/>
  <c r="Q75" i="6"/>
  <c r="L75" i="6"/>
  <c r="BB74" i="6"/>
  <c r="BA74" i="6"/>
  <c r="AZ74" i="6"/>
  <c r="AY74" i="6"/>
  <c r="U74" i="6"/>
  <c r="R74" i="6"/>
  <c r="Q74" i="6"/>
  <c r="L74" i="6"/>
  <c r="BB73" i="6"/>
  <c r="BA73" i="6"/>
  <c r="AZ73" i="6"/>
  <c r="AY73" i="6"/>
  <c r="U73" i="6"/>
  <c r="R73" i="6"/>
  <c r="Q73" i="6"/>
  <c r="L73" i="6"/>
  <c r="BB72" i="6"/>
  <c r="BA72" i="6"/>
  <c r="AZ72" i="6"/>
  <c r="AY72" i="6"/>
  <c r="U72" i="6"/>
  <c r="R72" i="6"/>
  <c r="Q72" i="6"/>
  <c r="L72" i="6"/>
  <c r="BB71" i="6"/>
  <c r="BA71" i="6"/>
  <c r="AZ71" i="6"/>
  <c r="AY71" i="6"/>
  <c r="U71" i="6"/>
  <c r="R71" i="6"/>
  <c r="Q71" i="6"/>
  <c r="L71" i="6"/>
  <c r="BB70" i="6"/>
  <c r="BA70" i="6"/>
  <c r="AZ70" i="6"/>
  <c r="AY70" i="6"/>
  <c r="U70" i="6"/>
  <c r="R70" i="6"/>
  <c r="Q70" i="6"/>
  <c r="L70" i="6"/>
  <c r="BB69" i="6"/>
  <c r="BA69" i="6"/>
  <c r="AZ69" i="6"/>
  <c r="AY69" i="6"/>
  <c r="Q69" i="6"/>
  <c r="U69" i="6"/>
  <c r="L69" i="6"/>
  <c r="BB68" i="6"/>
  <c r="BA68" i="6"/>
  <c r="AZ68" i="6"/>
  <c r="AY68" i="6"/>
  <c r="Q68" i="6"/>
  <c r="U68" i="6"/>
  <c r="L68" i="6"/>
  <c r="BB67" i="6"/>
  <c r="BA67" i="6"/>
  <c r="AZ67" i="6"/>
  <c r="AY67" i="6"/>
  <c r="U67" i="6"/>
  <c r="R67" i="6"/>
  <c r="Q67" i="6"/>
  <c r="L67" i="6"/>
  <c r="BB66" i="6"/>
  <c r="BA66" i="6"/>
  <c r="AZ66" i="6"/>
  <c r="AY66" i="6"/>
  <c r="U66" i="6"/>
  <c r="Q66" i="6"/>
  <c r="R66" i="6"/>
  <c r="L66" i="6"/>
  <c r="BB65" i="6"/>
  <c r="BA65" i="6"/>
  <c r="AZ65" i="6"/>
  <c r="AY65" i="6"/>
  <c r="Q65" i="6"/>
  <c r="U65" i="6"/>
  <c r="L65" i="6"/>
  <c r="BB64" i="6"/>
  <c r="BA64" i="6"/>
  <c r="AZ64" i="6"/>
  <c r="AY64" i="6"/>
  <c r="Q64" i="6"/>
  <c r="U64" i="6"/>
  <c r="L64" i="6"/>
  <c r="BB63" i="6"/>
  <c r="BA63" i="6"/>
  <c r="AZ63" i="6"/>
  <c r="AY63" i="6"/>
  <c r="U63" i="6"/>
  <c r="R63" i="6"/>
  <c r="Q63" i="6"/>
  <c r="L63" i="6"/>
  <c r="BB62" i="6"/>
  <c r="BA62" i="6"/>
  <c r="AZ62" i="6"/>
  <c r="AY62" i="6"/>
  <c r="U62" i="6"/>
  <c r="Q62" i="6"/>
  <c r="R62" i="6"/>
  <c r="L62" i="6"/>
  <c r="BB61" i="6"/>
  <c r="BA61" i="6"/>
  <c r="AZ61" i="6"/>
  <c r="AY61" i="6"/>
  <c r="Q61" i="6"/>
  <c r="U61" i="6"/>
  <c r="L61" i="6"/>
  <c r="BB60" i="6"/>
  <c r="BA60" i="6"/>
  <c r="AZ60" i="6"/>
  <c r="AY60" i="6"/>
  <c r="Q60" i="6"/>
  <c r="U60" i="6"/>
  <c r="L60" i="6"/>
  <c r="BB59" i="6"/>
  <c r="BA59" i="6"/>
  <c r="AZ59" i="6"/>
  <c r="AY59" i="6"/>
  <c r="U59" i="6"/>
  <c r="R59" i="6"/>
  <c r="Q59" i="6"/>
  <c r="L59" i="6"/>
  <c r="BB58" i="6"/>
  <c r="BA58" i="6"/>
  <c r="AZ58" i="6"/>
  <c r="AY58" i="6"/>
  <c r="U58" i="6"/>
  <c r="Q58" i="6"/>
  <c r="R58" i="6"/>
  <c r="L58" i="6"/>
  <c r="BB57" i="6"/>
  <c r="BA57" i="6"/>
  <c r="AZ57" i="6"/>
  <c r="AY57" i="6"/>
  <c r="Q57" i="6"/>
  <c r="U57" i="6"/>
  <c r="L57" i="6"/>
  <c r="BB56" i="6"/>
  <c r="BA56" i="6"/>
  <c r="AZ56" i="6"/>
  <c r="AY56" i="6"/>
  <c r="Q56" i="6"/>
  <c r="U56" i="6"/>
  <c r="L56" i="6"/>
  <c r="BB55" i="6"/>
  <c r="BA55" i="6"/>
  <c r="AZ55" i="6"/>
  <c r="AY55" i="6"/>
  <c r="U55" i="6"/>
  <c r="R55" i="6"/>
  <c r="Q55" i="6"/>
  <c r="L55" i="6"/>
  <c r="BB54" i="6"/>
  <c r="BA54" i="6"/>
  <c r="AZ54" i="6"/>
  <c r="AY54" i="6"/>
  <c r="U54" i="6"/>
  <c r="Q54" i="6"/>
  <c r="R54" i="6"/>
  <c r="L54" i="6"/>
  <c r="BB53" i="6"/>
  <c r="BA53" i="6"/>
  <c r="AZ53" i="6"/>
  <c r="AY53" i="6"/>
  <c r="Q53" i="6"/>
  <c r="U53" i="6"/>
  <c r="L53" i="6"/>
  <c r="BB52" i="6"/>
  <c r="BA52" i="6"/>
  <c r="AZ52" i="6"/>
  <c r="AY52" i="6"/>
  <c r="AR52" i="6"/>
  <c r="AH52" i="6"/>
  <c r="U52" i="6"/>
  <c r="R52" i="6"/>
  <c r="Q52" i="6"/>
  <c r="L52" i="6"/>
  <c r="BB51" i="6"/>
  <c r="BA51" i="6"/>
  <c r="AZ51" i="6"/>
  <c r="AY51" i="6"/>
  <c r="AR51" i="6"/>
  <c r="AQ51" i="6"/>
  <c r="Q51" i="6"/>
  <c r="U51" i="6"/>
  <c r="L51" i="6"/>
  <c r="BB50" i="6"/>
  <c r="BA50" i="6"/>
  <c r="AZ50" i="6"/>
  <c r="AY50" i="6"/>
  <c r="U50" i="6"/>
  <c r="R50" i="6"/>
  <c r="Q50" i="6"/>
  <c r="L50" i="6"/>
  <c r="BB49" i="6"/>
  <c r="BA49" i="6"/>
  <c r="AZ49" i="6"/>
  <c r="AY49" i="6"/>
  <c r="AR49" i="6"/>
  <c r="AQ49" i="6"/>
  <c r="Q49" i="6"/>
  <c r="U49" i="6"/>
  <c r="L49" i="6"/>
  <c r="BB48" i="6"/>
  <c r="BA48" i="6"/>
  <c r="AZ48" i="6"/>
  <c r="AY48" i="6"/>
  <c r="AR48" i="6"/>
  <c r="AH48" i="6"/>
  <c r="U48" i="6"/>
  <c r="R48" i="6"/>
  <c r="Q48" i="6"/>
  <c r="L48" i="6"/>
  <c r="BB47" i="6"/>
  <c r="BA47" i="6"/>
  <c r="AZ47" i="6"/>
  <c r="AY47" i="6"/>
  <c r="U47" i="6"/>
  <c r="Q47" i="6"/>
  <c r="R47" i="6"/>
  <c r="L47" i="6"/>
  <c r="BB46" i="6"/>
  <c r="BA46" i="6"/>
  <c r="AZ46" i="6"/>
  <c r="AY46" i="6"/>
  <c r="Q46" i="6"/>
  <c r="U46" i="6"/>
  <c r="L46" i="6"/>
  <c r="BB45" i="6"/>
  <c r="BA45" i="6"/>
  <c r="AZ45" i="6"/>
  <c r="AY45" i="6"/>
  <c r="Q45" i="6"/>
  <c r="U45" i="6"/>
  <c r="L45" i="6"/>
  <c r="BB44" i="6"/>
  <c r="BA44" i="6"/>
  <c r="AZ44" i="6"/>
  <c r="AY44" i="6"/>
  <c r="U44" i="6"/>
  <c r="R44" i="6"/>
  <c r="Q44" i="6"/>
  <c r="L44" i="6"/>
  <c r="BB43" i="6"/>
  <c r="BA43" i="6"/>
  <c r="AZ43" i="6"/>
  <c r="AY43" i="6"/>
  <c r="U43" i="6"/>
  <c r="Q43" i="6"/>
  <c r="R43" i="6"/>
  <c r="L43" i="6"/>
  <c r="BB42" i="6"/>
  <c r="BA42" i="6"/>
  <c r="AZ42" i="6"/>
  <c r="AY42" i="6"/>
  <c r="Q42" i="6"/>
  <c r="U42" i="6"/>
  <c r="L42" i="6"/>
  <c r="BB41" i="6"/>
  <c r="BA41" i="6"/>
  <c r="AZ41" i="6"/>
  <c r="AY41" i="6"/>
  <c r="Q41" i="6"/>
  <c r="U41" i="6"/>
  <c r="L41" i="6"/>
  <c r="BB40" i="6"/>
  <c r="BA40" i="6"/>
  <c r="AZ40" i="6"/>
  <c r="AY40" i="6"/>
  <c r="U40" i="6"/>
  <c r="R40" i="6"/>
  <c r="Q40" i="6"/>
  <c r="L40" i="6"/>
  <c r="BB39" i="6"/>
  <c r="BA39" i="6"/>
  <c r="AZ39" i="6"/>
  <c r="AY39" i="6"/>
  <c r="U39" i="6"/>
  <c r="Q39" i="6"/>
  <c r="R39" i="6"/>
  <c r="L39" i="6"/>
  <c r="BB38" i="6"/>
  <c r="BA38" i="6"/>
  <c r="AZ38" i="6"/>
  <c r="AY38" i="6"/>
  <c r="Q38" i="6"/>
  <c r="U38" i="6"/>
  <c r="L38" i="6"/>
  <c r="BB37" i="6"/>
  <c r="BA37" i="6"/>
  <c r="AZ37" i="6"/>
  <c r="AY37" i="6"/>
  <c r="Q37" i="6"/>
  <c r="U37" i="6"/>
  <c r="L37" i="6"/>
  <c r="BB36" i="6"/>
  <c r="BA36" i="6"/>
  <c r="AZ36" i="6"/>
  <c r="AY36" i="6"/>
  <c r="U36" i="6"/>
  <c r="R36" i="6"/>
  <c r="Q36" i="6"/>
  <c r="L36" i="6"/>
  <c r="BB35" i="6"/>
  <c r="BA35" i="6"/>
  <c r="AZ35" i="6"/>
  <c r="AY35" i="6"/>
  <c r="U35" i="6"/>
  <c r="Q35" i="6"/>
  <c r="R35" i="6"/>
  <c r="L35" i="6"/>
  <c r="BB34" i="6"/>
  <c r="BA34" i="6"/>
  <c r="AZ34" i="6"/>
  <c r="AY34" i="6"/>
  <c r="Q34" i="6"/>
  <c r="U34" i="6"/>
  <c r="L34" i="6"/>
  <c r="BB33" i="6"/>
  <c r="BA33" i="6"/>
  <c r="AZ33" i="6"/>
  <c r="AY33" i="6"/>
  <c r="Q33" i="6"/>
  <c r="U33" i="6"/>
  <c r="L33" i="6"/>
  <c r="BB32" i="6"/>
  <c r="BA32" i="6"/>
  <c r="AZ32" i="6"/>
  <c r="AY32" i="6"/>
  <c r="U32" i="6"/>
  <c r="R32" i="6"/>
  <c r="Q32" i="6"/>
  <c r="L32" i="6"/>
  <c r="BB31" i="6"/>
  <c r="BA31" i="6"/>
  <c r="AZ31" i="6"/>
  <c r="AY31" i="6"/>
  <c r="U31" i="6"/>
  <c r="Q31" i="6"/>
  <c r="R31" i="6"/>
  <c r="L31" i="6"/>
  <c r="BB30" i="6"/>
  <c r="BA30" i="6"/>
  <c r="AZ30" i="6"/>
  <c r="AY30" i="6"/>
  <c r="Q30" i="6"/>
  <c r="U30" i="6"/>
  <c r="L30" i="6"/>
  <c r="BB29" i="6"/>
  <c r="BA29" i="6"/>
  <c r="AZ29" i="6"/>
  <c r="AY29" i="6"/>
  <c r="Q29" i="6"/>
  <c r="U29" i="6"/>
  <c r="L29" i="6"/>
  <c r="BB28" i="6"/>
  <c r="BA28" i="6"/>
  <c r="AZ28" i="6"/>
  <c r="AY28" i="6"/>
  <c r="U28" i="6"/>
  <c r="R28" i="6"/>
  <c r="Q28" i="6"/>
  <c r="L28" i="6"/>
  <c r="BB27" i="6"/>
  <c r="BA27" i="6"/>
  <c r="AZ27" i="6"/>
  <c r="AY27" i="6"/>
  <c r="U27" i="6"/>
  <c r="Q27" i="6"/>
  <c r="R27" i="6"/>
  <c r="L27" i="6"/>
  <c r="BB26" i="6"/>
  <c r="BA26" i="6"/>
  <c r="AZ26" i="6"/>
  <c r="AY26" i="6"/>
  <c r="Q26" i="6"/>
  <c r="U26" i="6"/>
  <c r="L26" i="6"/>
  <c r="BB25" i="6"/>
  <c r="BA25" i="6"/>
  <c r="AZ25" i="6"/>
  <c r="AY25" i="6"/>
  <c r="Q25" i="6"/>
  <c r="M19" i="6"/>
  <c r="L25" i="6"/>
  <c r="BB24" i="6"/>
  <c r="BA24" i="6"/>
  <c r="AZ24" i="6"/>
  <c r="AY24" i="6"/>
  <c r="U24" i="6"/>
  <c r="R24" i="6"/>
  <c r="P17" i="6"/>
  <c r="O18" i="6"/>
  <c r="L24" i="6"/>
  <c r="BB23" i="6"/>
  <c r="BA23" i="6"/>
  <c r="AZ23" i="6"/>
  <c r="AY23" i="6"/>
  <c r="U23" i="6"/>
  <c r="Q23" i="6"/>
  <c r="R23" i="6"/>
  <c r="L23" i="6"/>
  <c r="U22" i="6"/>
  <c r="Q22" i="6"/>
  <c r="R22" i="6"/>
  <c r="L22" i="6"/>
  <c r="U21" i="6"/>
  <c r="T17" i="6"/>
  <c r="S17" i="6"/>
  <c r="Q21" i="6"/>
  <c r="R21" i="6"/>
  <c r="G17" i="6"/>
  <c r="F18" i="6"/>
  <c r="Q20" i="6"/>
  <c r="X20" i="6" s="1"/>
  <c r="P15" i="6"/>
  <c r="P16" i="6" s="1"/>
  <c r="W20" i="6"/>
  <c r="V20" i="6"/>
  <c r="U20" i="6"/>
  <c r="K18" i="6"/>
  <c r="J15" i="6"/>
  <c r="J16" i="6" s="1"/>
  <c r="I15" i="6"/>
  <c r="I16" i="6" s="1"/>
  <c r="H18" i="6"/>
  <c r="F17" i="6"/>
  <c r="O19" i="6"/>
  <c r="N19" i="6"/>
  <c r="S18" i="6"/>
  <c r="H17" i="6"/>
  <c r="S15" i="6"/>
  <c r="S16" i="6" s="1"/>
  <c r="K13" i="6"/>
  <c r="K19" i="6" s="1"/>
  <c r="J13" i="6"/>
  <c r="J19" i="6" s="1"/>
  <c r="I13" i="6"/>
  <c r="AI49" i="6" s="1"/>
  <c r="H13" i="6"/>
  <c r="AH51" i="6" s="1"/>
  <c r="G13" i="6"/>
  <c r="G19" i="6" s="1"/>
  <c r="F13" i="6"/>
  <c r="K11" i="6"/>
  <c r="J11" i="6"/>
  <c r="AQ52" i="6" s="1"/>
  <c r="I11" i="6"/>
  <c r="AI51" i="6" s="1"/>
  <c r="H11" i="6"/>
  <c r="AH49" i="6" s="1"/>
  <c r="G11" i="6"/>
  <c r="F11" i="6"/>
  <c r="F19" i="6" s="1"/>
  <c r="R7" i="6"/>
  <c r="F1" i="6"/>
  <c r="L20" i="3"/>
  <c r="Q20" i="3"/>
  <c r="R20" i="3"/>
  <c r="F11" i="5"/>
  <c r="G11" i="5"/>
  <c r="H11" i="5"/>
  <c r="I11" i="5"/>
  <c r="J11" i="5"/>
  <c r="K11" i="5"/>
  <c r="AR52" i="5" s="1"/>
  <c r="F13" i="5"/>
  <c r="G13" i="5"/>
  <c r="H13" i="5"/>
  <c r="AH50" i="5" s="1"/>
  <c r="I13" i="5"/>
  <c r="AI49" i="5" s="1"/>
  <c r="J13" i="5"/>
  <c r="AQ50" i="5" s="1"/>
  <c r="K13" i="5"/>
  <c r="BB96" i="5"/>
  <c r="BA96" i="5"/>
  <c r="AZ96" i="5"/>
  <c r="AY96" i="5"/>
  <c r="BB95" i="5"/>
  <c r="BA95" i="5"/>
  <c r="AZ95" i="5"/>
  <c r="AY95" i="5"/>
  <c r="BB94" i="5"/>
  <c r="BA94" i="5"/>
  <c r="AZ94" i="5"/>
  <c r="AY94" i="5"/>
  <c r="BB93" i="5"/>
  <c r="BA93" i="5"/>
  <c r="AZ93" i="5"/>
  <c r="AY93" i="5"/>
  <c r="BB92" i="5"/>
  <c r="BA92" i="5"/>
  <c r="AZ92" i="5"/>
  <c r="AY92" i="5"/>
  <c r="BB91" i="5"/>
  <c r="BA91" i="5"/>
  <c r="AZ91" i="5"/>
  <c r="AY91" i="5"/>
  <c r="BB90" i="5"/>
  <c r="BA90" i="5"/>
  <c r="AZ90" i="5"/>
  <c r="AY90" i="5"/>
  <c r="BB89" i="5"/>
  <c r="BA89" i="5"/>
  <c r="AZ89" i="5"/>
  <c r="AY89" i="5"/>
  <c r="BB88" i="5"/>
  <c r="BA88" i="5"/>
  <c r="AZ88" i="5"/>
  <c r="AY88" i="5"/>
  <c r="BB87" i="5"/>
  <c r="BA87" i="5"/>
  <c r="AZ87" i="5"/>
  <c r="AY87" i="5"/>
  <c r="BB86" i="5"/>
  <c r="BA86" i="5"/>
  <c r="AZ86" i="5"/>
  <c r="AY86" i="5"/>
  <c r="BB85" i="5"/>
  <c r="BA85" i="5"/>
  <c r="AZ85" i="5"/>
  <c r="AY85" i="5"/>
  <c r="BB84" i="5"/>
  <c r="BA84" i="5"/>
  <c r="AZ84" i="5"/>
  <c r="AY84" i="5"/>
  <c r="BB83" i="5"/>
  <c r="BA83" i="5"/>
  <c r="AZ83" i="5"/>
  <c r="AY83" i="5"/>
  <c r="BB82" i="5"/>
  <c r="BA82" i="5"/>
  <c r="AZ82" i="5"/>
  <c r="AY82" i="5"/>
  <c r="BB81" i="5"/>
  <c r="BA81" i="5"/>
  <c r="AZ81" i="5"/>
  <c r="AY81" i="5"/>
  <c r="BB80" i="5"/>
  <c r="BA80" i="5"/>
  <c r="AZ80" i="5"/>
  <c r="AY80" i="5"/>
  <c r="BB79" i="5"/>
  <c r="BA79" i="5"/>
  <c r="AZ79" i="5"/>
  <c r="AY79" i="5"/>
  <c r="BB78" i="5"/>
  <c r="BA78" i="5"/>
  <c r="AZ78" i="5"/>
  <c r="AY78" i="5"/>
  <c r="BB77" i="5"/>
  <c r="BA77" i="5"/>
  <c r="AZ77" i="5"/>
  <c r="AY77" i="5"/>
  <c r="BB76" i="5"/>
  <c r="BA76" i="5"/>
  <c r="AZ76" i="5"/>
  <c r="AY76" i="5"/>
  <c r="BB75" i="5"/>
  <c r="BA75" i="5"/>
  <c r="AZ75" i="5"/>
  <c r="AY75" i="5"/>
  <c r="BB74" i="5"/>
  <c r="BA74" i="5"/>
  <c r="AZ74" i="5"/>
  <c r="AY74" i="5"/>
  <c r="BB73" i="5"/>
  <c r="BA73" i="5"/>
  <c r="AZ73" i="5"/>
  <c r="AY73" i="5"/>
  <c r="BB72" i="5"/>
  <c r="BA72" i="5"/>
  <c r="AZ72" i="5"/>
  <c r="AY72" i="5"/>
  <c r="BB71" i="5"/>
  <c r="BA71" i="5"/>
  <c r="AZ71" i="5"/>
  <c r="AY71" i="5"/>
  <c r="BB70" i="5"/>
  <c r="BA70" i="5"/>
  <c r="AZ70" i="5"/>
  <c r="AY70" i="5"/>
  <c r="BB69" i="5"/>
  <c r="BA69" i="5"/>
  <c r="AZ69" i="5"/>
  <c r="AY69" i="5"/>
  <c r="BB68" i="5"/>
  <c r="BA68" i="5"/>
  <c r="AZ68" i="5"/>
  <c r="AY68" i="5"/>
  <c r="BB67" i="5"/>
  <c r="BA67" i="5"/>
  <c r="AZ67" i="5"/>
  <c r="AY67" i="5"/>
  <c r="BB66" i="5"/>
  <c r="BA66" i="5"/>
  <c r="AZ66" i="5"/>
  <c r="AY66" i="5"/>
  <c r="BB65" i="5"/>
  <c r="BA65" i="5"/>
  <c r="AZ65" i="5"/>
  <c r="AY65" i="5"/>
  <c r="BB64" i="5"/>
  <c r="BA64" i="5"/>
  <c r="AZ64" i="5"/>
  <c r="AY64" i="5"/>
  <c r="BB63" i="5"/>
  <c r="BA63" i="5"/>
  <c r="AZ63" i="5"/>
  <c r="AY63" i="5"/>
  <c r="BB62" i="5"/>
  <c r="BA62" i="5"/>
  <c r="AZ62" i="5"/>
  <c r="AY62" i="5"/>
  <c r="BB61" i="5"/>
  <c r="BA61" i="5"/>
  <c r="AZ61" i="5"/>
  <c r="AY61" i="5"/>
  <c r="BB60" i="5"/>
  <c r="BA60" i="5"/>
  <c r="AZ60" i="5"/>
  <c r="AY60" i="5"/>
  <c r="BB59" i="5"/>
  <c r="BA59" i="5"/>
  <c r="AZ59" i="5"/>
  <c r="AY59" i="5"/>
  <c r="BB58" i="5"/>
  <c r="BA58" i="5"/>
  <c r="AZ58" i="5"/>
  <c r="AY58" i="5"/>
  <c r="BB57" i="5"/>
  <c r="BA57" i="5"/>
  <c r="AZ57" i="5"/>
  <c r="AY57" i="5"/>
  <c r="BB56" i="5"/>
  <c r="BA56" i="5"/>
  <c r="AZ56" i="5"/>
  <c r="AY56" i="5"/>
  <c r="BB55" i="5"/>
  <c r="BA55" i="5"/>
  <c r="AZ55" i="5"/>
  <c r="AY55" i="5"/>
  <c r="BB54" i="5"/>
  <c r="BA54" i="5"/>
  <c r="AZ54" i="5"/>
  <c r="AY54" i="5"/>
  <c r="BB53" i="5"/>
  <c r="BA53" i="5"/>
  <c r="AZ53" i="5"/>
  <c r="AY53" i="5"/>
  <c r="BB52" i="5"/>
  <c r="BA52" i="5"/>
  <c r="AZ52" i="5"/>
  <c r="AY52" i="5"/>
  <c r="BB51" i="5"/>
  <c r="BA51" i="5"/>
  <c r="AZ51" i="5"/>
  <c r="AY51" i="5"/>
  <c r="AQ51" i="5"/>
  <c r="AI51" i="5"/>
  <c r="AH51" i="5"/>
  <c r="BB50" i="5"/>
  <c r="BA50" i="5"/>
  <c r="AZ50" i="5"/>
  <c r="AY50" i="5"/>
  <c r="BB49" i="5"/>
  <c r="BA49" i="5"/>
  <c r="AZ49" i="5"/>
  <c r="AY49" i="5"/>
  <c r="BB48" i="5"/>
  <c r="BA48" i="5"/>
  <c r="AZ48" i="5"/>
  <c r="AY48" i="5"/>
  <c r="BB47" i="5"/>
  <c r="BA47" i="5"/>
  <c r="AZ47" i="5"/>
  <c r="AY47" i="5"/>
  <c r="BB46" i="5"/>
  <c r="BA46" i="5"/>
  <c r="AZ46" i="5"/>
  <c r="AY46" i="5"/>
  <c r="BB45" i="5"/>
  <c r="BA45" i="5"/>
  <c r="AZ45" i="5"/>
  <c r="AY45" i="5"/>
  <c r="BB44" i="5"/>
  <c r="BA44" i="5"/>
  <c r="AZ44" i="5"/>
  <c r="AY44" i="5"/>
  <c r="BB43" i="5"/>
  <c r="BA43" i="5"/>
  <c r="AZ43" i="5"/>
  <c r="AY43" i="5"/>
  <c r="BB42" i="5"/>
  <c r="BA42" i="5"/>
  <c r="AZ42" i="5"/>
  <c r="AY42" i="5"/>
  <c r="BB41" i="5"/>
  <c r="BA41" i="5"/>
  <c r="AZ41" i="5"/>
  <c r="AY41" i="5"/>
  <c r="BB40" i="5"/>
  <c r="BA40" i="5"/>
  <c r="AZ40" i="5"/>
  <c r="AY40" i="5"/>
  <c r="BB39" i="5"/>
  <c r="BA39" i="5"/>
  <c r="AZ39" i="5"/>
  <c r="AY39" i="5"/>
  <c r="BB38" i="5"/>
  <c r="BA38" i="5"/>
  <c r="AZ38" i="5"/>
  <c r="AY38" i="5"/>
  <c r="BB37" i="5"/>
  <c r="BA37" i="5"/>
  <c r="AZ37" i="5"/>
  <c r="AY37" i="5"/>
  <c r="BB36" i="5"/>
  <c r="BA36" i="5"/>
  <c r="AZ36" i="5"/>
  <c r="AY36" i="5"/>
  <c r="BB35" i="5"/>
  <c r="BA35" i="5"/>
  <c r="AZ35" i="5"/>
  <c r="AY35" i="5"/>
  <c r="BB34" i="5"/>
  <c r="BA34" i="5"/>
  <c r="AZ34" i="5"/>
  <c r="AY34" i="5"/>
  <c r="BB33" i="5"/>
  <c r="BA33" i="5"/>
  <c r="AZ33" i="5"/>
  <c r="AY33" i="5"/>
  <c r="BB32" i="5"/>
  <c r="BA32" i="5"/>
  <c r="AZ32" i="5"/>
  <c r="AY32" i="5"/>
  <c r="BB31" i="5"/>
  <c r="BA31" i="5"/>
  <c r="AZ31" i="5"/>
  <c r="AY31" i="5"/>
  <c r="BB30" i="5"/>
  <c r="BA30" i="5"/>
  <c r="AZ30" i="5"/>
  <c r="AY30" i="5"/>
  <c r="BB29" i="5"/>
  <c r="BA29" i="5"/>
  <c r="AZ29" i="5"/>
  <c r="AY29" i="5"/>
  <c r="BB28" i="5"/>
  <c r="BA28" i="5"/>
  <c r="AZ28" i="5"/>
  <c r="AY28" i="5"/>
  <c r="BB27" i="5"/>
  <c r="BA27" i="5"/>
  <c r="AZ27" i="5"/>
  <c r="AY27" i="5"/>
  <c r="BB26" i="5"/>
  <c r="BA26" i="5"/>
  <c r="AZ26" i="5"/>
  <c r="AY26" i="5"/>
  <c r="BB25" i="5"/>
  <c r="BA25" i="5"/>
  <c r="AZ25" i="5"/>
  <c r="AY25" i="5"/>
  <c r="BB24" i="5"/>
  <c r="BA24" i="5"/>
  <c r="AZ24" i="5"/>
  <c r="AY24" i="5"/>
  <c r="BB23" i="5"/>
  <c r="BA23" i="5"/>
  <c r="AZ23" i="5"/>
  <c r="AY23" i="5"/>
  <c r="AR51" i="5"/>
  <c r="AQ52" i="5"/>
  <c r="AI52" i="5"/>
  <c r="AH49" i="5"/>
  <c r="R7" i="5"/>
  <c r="F1" i="5"/>
  <c r="U20" i="5" l="1"/>
  <c r="R32" i="5"/>
  <c r="R36" i="5"/>
  <c r="R40" i="5"/>
  <c r="R52" i="5"/>
  <c r="R56" i="5"/>
  <c r="R64" i="5"/>
  <c r="Q508" i="5"/>
  <c r="U381" i="5"/>
  <c r="U311" i="5"/>
  <c r="R238" i="5"/>
  <c r="U231" i="5"/>
  <c r="Q133" i="5"/>
  <c r="Q129" i="5"/>
  <c r="Q214" i="5"/>
  <c r="L671" i="5"/>
  <c r="Q603" i="5"/>
  <c r="Q599" i="5"/>
  <c r="U419" i="5"/>
  <c r="R271" i="5"/>
  <c r="R267" i="5"/>
  <c r="Q239" i="5"/>
  <c r="R230" i="5"/>
  <c r="Q186" i="5"/>
  <c r="R161" i="5"/>
  <c r="R121" i="5"/>
  <c r="R97" i="5"/>
  <c r="R382" i="5"/>
  <c r="Q358" i="5"/>
  <c r="Q329" i="5"/>
  <c r="R316" i="5"/>
  <c r="Q174" i="5"/>
  <c r="Q616" i="5"/>
  <c r="Q608" i="5"/>
  <c r="Q600" i="5"/>
  <c r="Q465" i="5"/>
  <c r="Q461" i="5"/>
  <c r="R395" i="5"/>
  <c r="Q350" i="5"/>
  <c r="R272" i="5"/>
  <c r="U260" i="5"/>
  <c r="U98" i="5"/>
  <c r="U349" i="5"/>
  <c r="L590" i="5"/>
  <c r="Q543" i="5"/>
  <c r="Q490" i="5"/>
  <c r="R227" i="5"/>
  <c r="U223" i="5"/>
  <c r="Q649" i="5"/>
  <c r="Q576" i="5"/>
  <c r="Q560" i="5"/>
  <c r="Q523" i="5"/>
  <c r="U301" i="5"/>
  <c r="Q171" i="5"/>
  <c r="Q167" i="5"/>
  <c r="U82" i="5"/>
  <c r="R508" i="5"/>
  <c r="R348" i="5"/>
  <c r="Q624" i="5"/>
  <c r="Q637" i="5"/>
  <c r="Q633" i="5"/>
  <c r="Q617" i="5"/>
  <c r="R580" i="5"/>
  <c r="U576" i="5"/>
  <c r="R572" i="5"/>
  <c r="R564" i="5"/>
  <c r="U478" i="5"/>
  <c r="R249" i="5"/>
  <c r="R159" i="5"/>
  <c r="R147" i="5"/>
  <c r="L615" i="5"/>
  <c r="Q487" i="5"/>
  <c r="U470" i="5"/>
  <c r="U417" i="5"/>
  <c r="L660" i="5"/>
  <c r="Q589" i="5"/>
  <c r="R380" i="5"/>
  <c r="Q274" i="5"/>
  <c r="Q262" i="5"/>
  <c r="U230" i="5"/>
  <c r="U200" i="5"/>
  <c r="R192" i="5"/>
  <c r="Q152" i="5"/>
  <c r="Q136" i="5"/>
  <c r="U83" i="5"/>
  <c r="R402" i="5"/>
  <c r="U405" i="5"/>
  <c r="R364" i="5"/>
  <c r="Q521" i="5"/>
  <c r="R70" i="5"/>
  <c r="Q667" i="5"/>
  <c r="R565" i="5"/>
  <c r="R266" i="5"/>
  <c r="U128" i="5"/>
  <c r="U224" i="5"/>
  <c r="Q646" i="5"/>
  <c r="Q563" i="5"/>
  <c r="R460" i="5"/>
  <c r="Q697" i="5"/>
  <c r="Q656" i="5"/>
  <c r="Q519" i="5"/>
  <c r="U564" i="5"/>
  <c r="Q648" i="5"/>
  <c r="Q619" i="5"/>
  <c r="Q458" i="5"/>
  <c r="L610" i="5"/>
  <c r="R566" i="5"/>
  <c r="R553" i="5"/>
  <c r="U545" i="5"/>
  <c r="U541" i="5"/>
  <c r="R512" i="5"/>
  <c r="U508" i="5"/>
  <c r="U496" i="5"/>
  <c r="Q488" i="5"/>
  <c r="U393" i="5"/>
  <c r="R389" i="5"/>
  <c r="R372" i="5"/>
  <c r="Q360" i="5"/>
  <c r="U350" i="5"/>
  <c r="U346" i="5"/>
  <c r="U333" i="5"/>
  <c r="Q313" i="5"/>
  <c r="Q187" i="5"/>
  <c r="Q158" i="5"/>
  <c r="R117" i="5"/>
  <c r="Q85" i="5"/>
  <c r="Q330" i="5"/>
  <c r="R587" i="5"/>
  <c r="Q493" i="5"/>
  <c r="Q460" i="5"/>
  <c r="Q456" i="5"/>
  <c r="R431" i="5"/>
  <c r="U427" i="5"/>
  <c r="Q365" i="5"/>
  <c r="Q356" i="5"/>
  <c r="U317" i="5"/>
  <c r="U313" i="5"/>
  <c r="R251" i="5"/>
  <c r="R174" i="5"/>
  <c r="R150" i="5"/>
  <c r="R134" i="5"/>
  <c r="R85" i="5"/>
  <c r="U369" i="5"/>
  <c r="R305" i="5"/>
  <c r="R301" i="5"/>
  <c r="Q289" i="5"/>
  <c r="R280" i="5"/>
  <c r="Q247" i="5"/>
  <c r="Q155" i="5"/>
  <c r="Q151" i="5"/>
  <c r="Q135" i="5"/>
  <c r="Q94" i="5"/>
  <c r="Q86" i="5"/>
  <c r="R675" i="5"/>
  <c r="U559" i="5"/>
  <c r="Q547" i="5"/>
  <c r="Q514" i="5"/>
  <c r="U432" i="5"/>
  <c r="R407" i="5"/>
  <c r="R361" i="5"/>
  <c r="U293" i="5"/>
  <c r="U289" i="5"/>
  <c r="R252" i="5"/>
  <c r="Q230" i="5"/>
  <c r="R175" i="5"/>
  <c r="R584" i="5"/>
  <c r="U370" i="5"/>
  <c r="U331" i="5"/>
  <c r="U326" i="5"/>
  <c r="U318" i="5"/>
  <c r="R310" i="5"/>
  <c r="Q298" i="5"/>
  <c r="Q294" i="5"/>
  <c r="Q290" i="5"/>
  <c r="Q257" i="5"/>
  <c r="Q222" i="5"/>
  <c r="R197" i="5"/>
  <c r="Q184" i="5"/>
  <c r="R99" i="5"/>
  <c r="Q82" i="5"/>
  <c r="R391" i="5"/>
  <c r="U366" i="5"/>
  <c r="Q160" i="5"/>
  <c r="Q592" i="5"/>
  <c r="R579" i="5"/>
  <c r="R433" i="5"/>
  <c r="Q379" i="5"/>
  <c r="R353" i="5"/>
  <c r="Q345" i="5"/>
  <c r="U327" i="5"/>
  <c r="U290" i="5"/>
  <c r="Q278" i="5"/>
  <c r="R257" i="5"/>
  <c r="U250" i="5"/>
  <c r="U248" i="5"/>
  <c r="U241" i="5"/>
  <c r="U239" i="5"/>
  <c r="Q206" i="5"/>
  <c r="U184" i="5"/>
  <c r="R338" i="5"/>
  <c r="R497" i="5"/>
  <c r="Q212" i="5"/>
  <c r="R464" i="5"/>
  <c r="Q643" i="5"/>
  <c r="R482" i="5"/>
  <c r="Q681" i="5"/>
  <c r="Q677" i="5"/>
  <c r="Q673" i="5"/>
  <c r="Q669" i="5"/>
  <c r="Q665" i="5"/>
  <c r="Q661" i="5"/>
  <c r="Q657" i="5"/>
  <c r="L613" i="5"/>
  <c r="L589" i="5"/>
  <c r="R581" i="5"/>
  <c r="U552" i="5"/>
  <c r="Q528" i="5"/>
  <c r="Q524" i="5"/>
  <c r="U491" i="5"/>
  <c r="R400" i="5"/>
  <c r="R375" i="5"/>
  <c r="Q354" i="5"/>
  <c r="U338" i="5"/>
  <c r="U303" i="5"/>
  <c r="R278" i="5"/>
  <c r="Q254" i="5"/>
  <c r="Q223" i="5"/>
  <c r="R288" i="5"/>
  <c r="U554" i="5"/>
  <c r="L646" i="5"/>
  <c r="R614" i="5"/>
  <c r="Q495" i="5"/>
  <c r="U421" i="5"/>
  <c r="L622" i="5"/>
  <c r="Q607" i="5"/>
  <c r="U528" i="5"/>
  <c r="U487" i="5"/>
  <c r="U483" i="5"/>
  <c r="U450" i="5"/>
  <c r="U442" i="5"/>
  <c r="R438" i="5"/>
  <c r="R434" i="5"/>
  <c r="Q359" i="5"/>
  <c r="R354" i="5"/>
  <c r="R262" i="5"/>
  <c r="U251" i="5"/>
  <c r="U240" i="5"/>
  <c r="Q169" i="5"/>
  <c r="Q113" i="5"/>
  <c r="L640" i="5"/>
  <c r="R480" i="5"/>
  <c r="Q309" i="5"/>
  <c r="Q634" i="5"/>
  <c r="R527" i="5"/>
  <c r="U519" i="5"/>
  <c r="R520" i="5"/>
  <c r="R430" i="5"/>
  <c r="U337" i="5"/>
  <c r="U280" i="5"/>
  <c r="R224" i="5"/>
  <c r="R215" i="5"/>
  <c r="Q583" i="5"/>
  <c r="R488" i="5"/>
  <c r="Q683" i="5"/>
  <c r="L677" i="5"/>
  <c r="U59" i="5"/>
  <c r="Q515" i="5"/>
  <c r="Q47" i="5"/>
  <c r="Q511" i="5"/>
  <c r="U383" i="5"/>
  <c r="L697" i="5"/>
  <c r="L618" i="5"/>
  <c r="L631" i="5"/>
  <c r="R476" i="5"/>
  <c r="R312" i="5"/>
  <c r="L83" i="5"/>
  <c r="Q672" i="5"/>
  <c r="Q664" i="5"/>
  <c r="L649" i="5"/>
  <c r="L641" i="5"/>
  <c r="L628" i="5"/>
  <c r="Q595" i="5"/>
  <c r="Q591" i="5"/>
  <c r="Q564" i="5"/>
  <c r="U563" i="5"/>
  <c r="R472" i="5"/>
  <c r="R468" i="5"/>
  <c r="R426" i="5"/>
  <c r="Q392" i="5"/>
  <c r="Q374" i="5"/>
  <c r="R335" i="5"/>
  <c r="R304" i="5"/>
  <c r="R277" i="5"/>
  <c r="Q258" i="5"/>
  <c r="R104" i="5"/>
  <c r="Q26" i="5"/>
  <c r="Q50" i="5"/>
  <c r="U81" i="5"/>
  <c r="U77" i="5"/>
  <c r="R73" i="5"/>
  <c r="R633" i="5"/>
  <c r="L620" i="5"/>
  <c r="Q565" i="5"/>
  <c r="Q538" i="5"/>
  <c r="Q512" i="5"/>
  <c r="U503" i="5"/>
  <c r="U490" i="5"/>
  <c r="Q482" i="5"/>
  <c r="U464" i="5"/>
  <c r="U447" i="5"/>
  <c r="U443" i="5"/>
  <c r="R439" i="5"/>
  <c r="R392" i="5"/>
  <c r="U374" i="5"/>
  <c r="Q355" i="5"/>
  <c r="R326" i="5"/>
  <c r="Q318" i="5"/>
  <c r="Q296" i="5"/>
  <c r="U282" i="5"/>
  <c r="Q248" i="5"/>
  <c r="Q235" i="5"/>
  <c r="Q207" i="5"/>
  <c r="Q146" i="5"/>
  <c r="Q134" i="5"/>
  <c r="Q87" i="5"/>
  <c r="U577" i="5"/>
  <c r="U525" i="5"/>
  <c r="R355" i="5"/>
  <c r="R300" i="5"/>
  <c r="L251" i="5"/>
  <c r="Q101" i="5"/>
  <c r="Q680" i="5"/>
  <c r="U294" i="5"/>
  <c r="L623" i="5"/>
  <c r="Q612" i="5"/>
  <c r="R511" i="5"/>
  <c r="U373" i="5"/>
  <c r="Q349" i="5"/>
  <c r="U325" i="5"/>
  <c r="Q162" i="5"/>
  <c r="R153" i="5"/>
  <c r="L658" i="5"/>
  <c r="L60" i="5"/>
  <c r="Q626" i="5"/>
  <c r="Q613" i="5"/>
  <c r="L611" i="5"/>
  <c r="Q609" i="5"/>
  <c r="U469" i="5"/>
  <c r="Q327" i="5"/>
  <c r="Q73" i="5"/>
  <c r="Q533" i="5"/>
  <c r="R498" i="5"/>
  <c r="R489" i="5"/>
  <c r="R82" i="5"/>
  <c r="Q655" i="5"/>
  <c r="R450" i="5"/>
  <c r="U534" i="5"/>
  <c r="Q319" i="5"/>
  <c r="L666" i="5"/>
  <c r="Q629" i="5"/>
  <c r="Q346" i="5"/>
  <c r="Q323" i="5"/>
  <c r="Q147" i="5"/>
  <c r="Q114" i="5"/>
  <c r="Q561" i="5"/>
  <c r="L447" i="5"/>
  <c r="R194" i="5"/>
  <c r="Q631" i="5"/>
  <c r="R605" i="5"/>
  <c r="U580" i="5"/>
  <c r="Q552" i="5"/>
  <c r="Q548" i="5"/>
  <c r="R543" i="5"/>
  <c r="Q531" i="5"/>
  <c r="Q376" i="5"/>
  <c r="R346" i="5"/>
  <c r="U316" i="5"/>
  <c r="R297" i="5"/>
  <c r="Q270" i="5"/>
  <c r="U262" i="5"/>
  <c r="U252" i="5"/>
  <c r="U205" i="5"/>
  <c r="Q127" i="5"/>
  <c r="Q123" i="5"/>
  <c r="U85" i="5"/>
  <c r="L678" i="5"/>
  <c r="R506" i="5"/>
  <c r="R410" i="5"/>
  <c r="L348" i="5"/>
  <c r="R171" i="5"/>
  <c r="Q118" i="5"/>
  <c r="Q635" i="5"/>
  <c r="L616" i="5"/>
  <c r="R465" i="5"/>
  <c r="U372" i="5"/>
  <c r="U339" i="5"/>
  <c r="Q306" i="5"/>
  <c r="U261" i="5"/>
  <c r="Q131" i="5"/>
  <c r="Q687" i="5"/>
  <c r="L672" i="5"/>
  <c r="R657" i="5"/>
  <c r="L647" i="5"/>
  <c r="Q640" i="5"/>
  <c r="Q593" i="5"/>
  <c r="Q505" i="5"/>
  <c r="Q501" i="5"/>
  <c r="U492" i="5"/>
  <c r="Q479" i="5"/>
  <c r="U457" i="5"/>
  <c r="U411" i="5"/>
  <c r="U394" i="5"/>
  <c r="R357" i="5"/>
  <c r="U348" i="5"/>
  <c r="Q315" i="5"/>
  <c r="U272" i="5"/>
  <c r="R186" i="5"/>
  <c r="Q182" i="5"/>
  <c r="Q178" i="5"/>
  <c r="U174" i="5"/>
  <c r="U106" i="5"/>
  <c r="U368" i="5"/>
  <c r="R677" i="5"/>
  <c r="R287" i="5"/>
  <c r="Q190" i="5"/>
  <c r="Q695" i="5"/>
  <c r="U553" i="5"/>
  <c r="Q357" i="5"/>
  <c r="Q275" i="5"/>
  <c r="U271" i="5"/>
  <c r="Q199" i="5"/>
  <c r="Q172" i="5"/>
  <c r="Q28" i="5"/>
  <c r="Q64" i="5"/>
  <c r="R75" i="5"/>
  <c r="L685" i="5"/>
  <c r="L608" i="5"/>
  <c r="Q606" i="5"/>
  <c r="U581" i="5"/>
  <c r="U382" i="5"/>
  <c r="U312" i="5"/>
  <c r="R303" i="5"/>
  <c r="R294" i="5"/>
  <c r="U257" i="5"/>
  <c r="U228" i="5"/>
  <c r="R128" i="5"/>
  <c r="U585" i="5"/>
  <c r="R463" i="5"/>
  <c r="Q219" i="5"/>
  <c r="Q529" i="5"/>
  <c r="U62" i="5"/>
  <c r="Q605" i="5"/>
  <c r="R456" i="5"/>
  <c r="Q203" i="5"/>
  <c r="Q601" i="5"/>
  <c r="U583" i="5"/>
  <c r="Q496" i="5"/>
  <c r="Q474" i="5"/>
  <c r="R448" i="5"/>
  <c r="R393" i="5"/>
  <c r="R370" i="5"/>
  <c r="R356" i="5"/>
  <c r="Q221" i="5"/>
  <c r="Q644" i="5"/>
  <c r="L633" i="5"/>
  <c r="R578" i="5"/>
  <c r="Q32" i="5"/>
  <c r="Q36" i="5"/>
  <c r="R31" i="5"/>
  <c r="U39" i="5"/>
  <c r="R43" i="5"/>
  <c r="R67" i="5"/>
  <c r="Q696" i="5"/>
  <c r="L652" i="5"/>
  <c r="Q645" i="5"/>
  <c r="L639" i="5"/>
  <c r="L634" i="5"/>
  <c r="Q611" i="5"/>
  <c r="R593" i="5"/>
  <c r="R585" i="5"/>
  <c r="Q562" i="5"/>
  <c r="Q558" i="5"/>
  <c r="R544" i="5"/>
  <c r="R540" i="5"/>
  <c r="U527" i="5"/>
  <c r="Q497" i="5"/>
  <c r="U488" i="5"/>
  <c r="U475" i="5"/>
  <c r="Q471" i="5"/>
  <c r="R449" i="5"/>
  <c r="U445" i="5"/>
  <c r="Q339" i="5"/>
  <c r="Q307" i="5"/>
  <c r="U284" i="5"/>
  <c r="Q266" i="5"/>
  <c r="Q261" i="5"/>
  <c r="Q242" i="5"/>
  <c r="R213" i="5"/>
  <c r="Q200" i="5"/>
  <c r="R136" i="5"/>
  <c r="U119" i="5"/>
  <c r="R84" i="5"/>
  <c r="R663" i="5"/>
  <c r="R515" i="5"/>
  <c r="R563" i="5"/>
  <c r="R373" i="5"/>
  <c r="R325" i="5"/>
  <c r="U175" i="5"/>
  <c r="R528" i="5"/>
  <c r="Q472" i="5"/>
  <c r="L621" i="5"/>
  <c r="Q588" i="5"/>
  <c r="U520" i="5"/>
  <c r="U64" i="5"/>
  <c r="Q23" i="5"/>
  <c r="Q27" i="5"/>
  <c r="Q31" i="5"/>
  <c r="Q43" i="5"/>
  <c r="Q63" i="5"/>
  <c r="Q67" i="5"/>
  <c r="R76" i="5"/>
  <c r="Q688" i="5"/>
  <c r="L686" i="5"/>
  <c r="Q671" i="5"/>
  <c r="L665" i="5"/>
  <c r="R645" i="5"/>
  <c r="Q641" i="5"/>
  <c r="L614" i="5"/>
  <c r="L596" i="5"/>
  <c r="Q585" i="5"/>
  <c r="Q580" i="5"/>
  <c r="R575" i="5"/>
  <c r="U567" i="5"/>
  <c r="Q502" i="5"/>
  <c r="Q485" i="5"/>
  <c r="U480" i="5"/>
  <c r="R471" i="5"/>
  <c r="Q438" i="5"/>
  <c r="Q434" i="5"/>
  <c r="R399" i="5"/>
  <c r="U395" i="5"/>
  <c r="Q373" i="5"/>
  <c r="Q368" i="5"/>
  <c r="Q321" i="5"/>
  <c r="Q272" i="5"/>
  <c r="U256" i="5"/>
  <c r="U233" i="5"/>
  <c r="Q205" i="5"/>
  <c r="Q183" i="5"/>
  <c r="R173" i="5"/>
  <c r="U165" i="5"/>
  <c r="Q120" i="5"/>
  <c r="U111" i="5"/>
  <c r="U232" i="5"/>
  <c r="R232" i="5"/>
  <c r="R154" i="5"/>
  <c r="U154" i="5"/>
  <c r="L668" i="5"/>
  <c r="R533" i="5"/>
  <c r="Q347" i="5"/>
  <c r="R100" i="5"/>
  <c r="U100" i="5"/>
  <c r="Q675" i="5"/>
  <c r="Q666" i="5"/>
  <c r="R665" i="5"/>
  <c r="L650" i="5"/>
  <c r="L602" i="5"/>
  <c r="L597" i="5"/>
  <c r="R496" i="5"/>
  <c r="R487" i="5"/>
  <c r="L481" i="5"/>
  <c r="L415" i="5"/>
  <c r="L411" i="5"/>
  <c r="L398" i="5"/>
  <c r="Q387" i="5"/>
  <c r="L356" i="5"/>
  <c r="Q337" i="5"/>
  <c r="Q333" i="5"/>
  <c r="U308" i="5"/>
  <c r="U305" i="5"/>
  <c r="U237" i="5"/>
  <c r="R237" i="5"/>
  <c r="Q209" i="5"/>
  <c r="Q492" i="5"/>
  <c r="Q483" i="5"/>
  <c r="R404" i="5"/>
  <c r="U404" i="5"/>
  <c r="R358" i="5"/>
  <c r="U358" i="5"/>
  <c r="Q342" i="5"/>
  <c r="Q303" i="5"/>
  <c r="U283" i="5"/>
  <c r="R167" i="5"/>
  <c r="U167" i="5"/>
  <c r="Q159" i="5"/>
  <c r="L673" i="5"/>
  <c r="L664" i="5"/>
  <c r="Q632" i="5"/>
  <c r="R599" i="5"/>
  <c r="L598" i="5"/>
  <c r="Q539" i="5"/>
  <c r="R505" i="5"/>
  <c r="U422" i="5"/>
  <c r="R417" i="5"/>
  <c r="R413" i="5"/>
  <c r="R363" i="5"/>
  <c r="U363" i="5"/>
  <c r="U249" i="5"/>
  <c r="U227" i="5"/>
  <c r="R222" i="5"/>
  <c r="U222" i="5"/>
  <c r="U172" i="5"/>
  <c r="Q473" i="5"/>
  <c r="L76" i="5"/>
  <c r="Q590" i="5"/>
  <c r="R48" i="5"/>
  <c r="U48" i="5"/>
  <c r="U68" i="5"/>
  <c r="L674" i="5"/>
  <c r="L655" i="5"/>
  <c r="L612" i="5"/>
  <c r="L607" i="5"/>
  <c r="L593" i="5"/>
  <c r="U561" i="5"/>
  <c r="R539" i="5"/>
  <c r="R516" i="5"/>
  <c r="U516" i="5"/>
  <c r="Q506" i="5"/>
  <c r="L390" i="5"/>
  <c r="Q295" i="5"/>
  <c r="R289" i="5"/>
  <c r="R258" i="5"/>
  <c r="U258" i="5"/>
  <c r="R209" i="5"/>
  <c r="U209" i="5"/>
  <c r="R105" i="5"/>
  <c r="U105" i="5"/>
  <c r="Q464" i="5"/>
  <c r="L644" i="5"/>
  <c r="R589" i="5"/>
  <c r="R538" i="5"/>
  <c r="L669" i="5"/>
  <c r="L491" i="5"/>
  <c r="R187" i="5"/>
  <c r="U187" i="5"/>
  <c r="U101" i="5"/>
  <c r="R697" i="5"/>
  <c r="Q679" i="5"/>
  <c r="L663" i="5"/>
  <c r="Q40" i="5"/>
  <c r="Q48" i="5"/>
  <c r="Q68" i="5"/>
  <c r="Q676" i="5"/>
  <c r="R671" i="5"/>
  <c r="L656" i="5"/>
  <c r="Q615" i="5"/>
  <c r="L604" i="5"/>
  <c r="Q596" i="5"/>
  <c r="Q544" i="5"/>
  <c r="R535" i="5"/>
  <c r="U511" i="5"/>
  <c r="U506" i="5"/>
  <c r="U502" i="5"/>
  <c r="U493" i="5"/>
  <c r="U484" i="5"/>
  <c r="R427" i="5"/>
  <c r="R401" i="5"/>
  <c r="Q397" i="5"/>
  <c r="R323" i="5"/>
  <c r="U323" i="5"/>
  <c r="L317" i="5"/>
  <c r="U304" i="5"/>
  <c r="U264" i="5"/>
  <c r="U238" i="5"/>
  <c r="R214" i="5"/>
  <c r="Q173" i="5"/>
  <c r="P18" i="5"/>
  <c r="W20" i="5"/>
  <c r="W18" i="5" s="1"/>
  <c r="Q625" i="5"/>
  <c r="U521" i="5"/>
  <c r="R521" i="5"/>
  <c r="R414" i="5"/>
  <c r="L408" i="5"/>
  <c r="R369" i="5"/>
  <c r="U364" i="5"/>
  <c r="Q305" i="5"/>
  <c r="U295" i="5"/>
  <c r="R275" i="5"/>
  <c r="U275" i="5"/>
  <c r="R259" i="5"/>
  <c r="R92" i="5"/>
  <c r="Q594" i="5"/>
  <c r="L654" i="5"/>
  <c r="Q584" i="5"/>
  <c r="L471" i="5"/>
  <c r="R203" i="5"/>
  <c r="R219" i="5"/>
  <c r="U219" i="5"/>
  <c r="Q639" i="5"/>
  <c r="Q513" i="5"/>
  <c r="Q503" i="5"/>
  <c r="R436" i="5"/>
  <c r="Q375" i="5"/>
  <c r="Q320" i="5"/>
  <c r="L313" i="5"/>
  <c r="R71" i="5"/>
  <c r="L689" i="5"/>
  <c r="L648" i="5"/>
  <c r="R625" i="5"/>
  <c r="L624" i="5"/>
  <c r="L600" i="5"/>
  <c r="U582" i="5"/>
  <c r="U578" i="5"/>
  <c r="U568" i="5"/>
  <c r="Q545" i="5"/>
  <c r="Q518" i="5"/>
  <c r="R457" i="5"/>
  <c r="L443" i="5"/>
  <c r="L382" i="5"/>
  <c r="Q370" i="5"/>
  <c r="R324" i="5"/>
  <c r="U324" i="5"/>
  <c r="U310" i="5"/>
  <c r="U270" i="5"/>
  <c r="U255" i="5"/>
  <c r="Q245" i="5"/>
  <c r="Q240" i="5"/>
  <c r="Q220" i="5"/>
  <c r="L218" i="5"/>
  <c r="U215" i="5"/>
  <c r="U183" i="5"/>
  <c r="R179" i="5"/>
  <c r="U150" i="5"/>
  <c r="R144" i="5"/>
  <c r="U140" i="5"/>
  <c r="Q128" i="5"/>
  <c r="Q124" i="5"/>
  <c r="R562" i="5"/>
  <c r="U531" i="5"/>
  <c r="L186" i="5"/>
  <c r="U148" i="5"/>
  <c r="U73" i="5"/>
  <c r="R695" i="5"/>
  <c r="L675" i="5"/>
  <c r="U65" i="5"/>
  <c r="U76" i="5"/>
  <c r="Q72" i="5"/>
  <c r="L684" i="5"/>
  <c r="L680" i="5"/>
  <c r="R639" i="5"/>
  <c r="L637" i="5"/>
  <c r="Q554" i="5"/>
  <c r="Q532" i="5"/>
  <c r="Q527" i="5"/>
  <c r="U522" i="5"/>
  <c r="R518" i="5"/>
  <c r="U515" i="5"/>
  <c r="Q463" i="5"/>
  <c r="L460" i="5"/>
  <c r="R445" i="5"/>
  <c r="R441" i="5"/>
  <c r="U438" i="5"/>
  <c r="U424" i="5"/>
  <c r="U375" i="5"/>
  <c r="Q361" i="5"/>
  <c r="R351" i="5"/>
  <c r="U351" i="5"/>
  <c r="Q331" i="5"/>
  <c r="Q311" i="5"/>
  <c r="R260" i="5"/>
  <c r="Q216" i="5"/>
  <c r="U221" i="5"/>
  <c r="L632" i="5"/>
  <c r="Q453" i="5"/>
  <c r="L422" i="5"/>
  <c r="R281" i="5"/>
  <c r="U281" i="5"/>
  <c r="Q276" i="5"/>
  <c r="R188" i="5"/>
  <c r="U188" i="5"/>
  <c r="L629" i="5"/>
  <c r="R385" i="5"/>
  <c r="U385" i="5"/>
  <c r="L383" i="5"/>
  <c r="R221" i="5"/>
  <c r="U220" i="5"/>
  <c r="R220" i="5"/>
  <c r="U186" i="5"/>
  <c r="R208" i="5"/>
  <c r="U208" i="5"/>
  <c r="R384" i="5"/>
  <c r="U384" i="5"/>
  <c r="Q549" i="5"/>
  <c r="L451" i="5"/>
  <c r="L430" i="5"/>
  <c r="L694" i="5"/>
  <c r="Q77" i="5"/>
  <c r="Q678" i="5"/>
  <c r="L662" i="5"/>
  <c r="L653" i="5"/>
  <c r="R630" i="5"/>
  <c r="L591" i="5"/>
  <c r="R583" i="5"/>
  <c r="R577" i="5"/>
  <c r="U573" i="5"/>
  <c r="R532" i="5"/>
  <c r="U532" i="5"/>
  <c r="R523" i="5"/>
  <c r="U458" i="5"/>
  <c r="U433" i="5"/>
  <c r="Q429" i="5"/>
  <c r="R381" i="5"/>
  <c r="U380" i="5"/>
  <c r="Q352" i="5"/>
  <c r="U347" i="5"/>
  <c r="R283" i="5"/>
  <c r="R282" i="5"/>
  <c r="Q273" i="5"/>
  <c r="Q217" i="5"/>
  <c r="R216" i="5"/>
  <c r="R198" i="5"/>
  <c r="U198" i="5"/>
  <c r="R189" i="5"/>
  <c r="U189" i="5"/>
  <c r="R166" i="5"/>
  <c r="U166" i="5"/>
  <c r="R149" i="5"/>
  <c r="U149" i="5"/>
  <c r="L695" i="5"/>
  <c r="Q623" i="5"/>
  <c r="U194" i="5"/>
  <c r="L679" i="5"/>
  <c r="U565" i="5"/>
  <c r="L417" i="5"/>
  <c r="Q22" i="5"/>
  <c r="Q34" i="5"/>
  <c r="L52" i="5"/>
  <c r="Q58" i="5"/>
  <c r="Q66" i="5"/>
  <c r="L690" i="5"/>
  <c r="L643" i="5"/>
  <c r="L638" i="5"/>
  <c r="L592" i="5"/>
  <c r="L581" i="5"/>
  <c r="U537" i="5"/>
  <c r="R537" i="5"/>
  <c r="U477" i="5"/>
  <c r="U468" i="5"/>
  <c r="U454" i="5"/>
  <c r="U399" i="5"/>
  <c r="L397" i="5"/>
  <c r="U390" i="5"/>
  <c r="R390" i="5"/>
  <c r="R293" i="5"/>
  <c r="U133" i="5"/>
  <c r="Q256" i="5"/>
  <c r="Q251" i="5"/>
  <c r="U245" i="5"/>
  <c r="Q201" i="5"/>
  <c r="Q196" i="5"/>
  <c r="Q156" i="5"/>
  <c r="V20" i="5"/>
  <c r="V15" i="5" s="1"/>
  <c r="V16" i="5" s="1"/>
  <c r="Q44" i="5"/>
  <c r="U74" i="5"/>
  <c r="L72" i="5"/>
  <c r="L696" i="5"/>
  <c r="L681" i="5"/>
  <c r="L670" i="5"/>
  <c r="R662" i="5"/>
  <c r="L661" i="5"/>
  <c r="Q658" i="5"/>
  <c r="R631" i="5"/>
  <c r="L625" i="5"/>
  <c r="L599" i="5"/>
  <c r="L594" i="5"/>
  <c r="Q570" i="5"/>
  <c r="Q566" i="5"/>
  <c r="L543" i="5"/>
  <c r="Q536" i="5"/>
  <c r="L533" i="5"/>
  <c r="R529" i="5"/>
  <c r="R513" i="5"/>
  <c r="Q480" i="5"/>
  <c r="Q475" i="5"/>
  <c r="U460" i="5"/>
  <c r="U455" i="5"/>
  <c r="U451" i="5"/>
  <c r="L413" i="5"/>
  <c r="Q402" i="5"/>
  <c r="R397" i="5"/>
  <c r="Q372" i="5"/>
  <c r="Q367" i="5"/>
  <c r="Q362" i="5"/>
  <c r="Q348" i="5"/>
  <c r="R321" i="5"/>
  <c r="R311" i="5"/>
  <c r="L309" i="5"/>
  <c r="U296" i="5"/>
  <c r="Q268" i="5"/>
  <c r="U267" i="5"/>
  <c r="Q246" i="5"/>
  <c r="Q241" i="5"/>
  <c r="Q170" i="5"/>
  <c r="R160" i="5"/>
  <c r="Q108" i="5"/>
  <c r="U550" i="5"/>
  <c r="Q504" i="5"/>
  <c r="L446" i="5"/>
  <c r="Q334" i="5"/>
  <c r="Q312" i="5"/>
  <c r="Q301" i="5"/>
  <c r="Q297" i="5"/>
  <c r="Q291" i="5"/>
  <c r="Q286" i="5"/>
  <c r="Q225" i="5"/>
  <c r="Q218" i="5"/>
  <c r="U134" i="5"/>
  <c r="U121" i="5"/>
  <c r="L687" i="5"/>
  <c r="L630" i="5"/>
  <c r="Q546" i="5"/>
  <c r="U536" i="5"/>
  <c r="Q466" i="5"/>
  <c r="R35" i="5"/>
  <c r="R47" i="5"/>
  <c r="U51" i="5"/>
  <c r="L54" i="5"/>
  <c r="R63" i="5"/>
  <c r="Q70" i="5"/>
  <c r="L688" i="5"/>
  <c r="L682" i="5"/>
  <c r="Q659" i="5"/>
  <c r="L605" i="5"/>
  <c r="Q581" i="5"/>
  <c r="Q571" i="5"/>
  <c r="R560" i="5"/>
  <c r="Q556" i="5"/>
  <c r="U504" i="5"/>
  <c r="L498" i="5"/>
  <c r="U466" i="5"/>
  <c r="Q452" i="5"/>
  <c r="U416" i="5"/>
  <c r="Q403" i="5"/>
  <c r="Q378" i="5"/>
  <c r="L376" i="5"/>
  <c r="L332" i="5"/>
  <c r="R322" i="5"/>
  <c r="R317" i="5"/>
  <c r="L234" i="5"/>
  <c r="Q202" i="5"/>
  <c r="Q192" i="5"/>
  <c r="Q181" i="5"/>
  <c r="Q166" i="5"/>
  <c r="Q104" i="5"/>
  <c r="U103" i="5"/>
  <c r="L445" i="5"/>
  <c r="L676" i="5"/>
  <c r="Q663" i="5"/>
  <c r="L657" i="5"/>
  <c r="L606" i="5"/>
  <c r="L405" i="5"/>
  <c r="L400" i="5"/>
  <c r="L325" i="5"/>
  <c r="R689" i="5"/>
  <c r="L65" i="5"/>
  <c r="L693" i="5"/>
  <c r="L626" i="5"/>
  <c r="R643" i="5"/>
  <c r="L642" i="5"/>
  <c r="L636" i="5"/>
  <c r="U575" i="5"/>
  <c r="R551" i="5"/>
  <c r="R542" i="5"/>
  <c r="Q516" i="5"/>
  <c r="R500" i="5"/>
  <c r="R495" i="5"/>
  <c r="U476" i="5"/>
  <c r="U471" i="5"/>
  <c r="U462" i="5"/>
  <c r="Q457" i="5"/>
  <c r="U426" i="5"/>
  <c r="Q408" i="5"/>
  <c r="Q363" i="5"/>
  <c r="Q264" i="5"/>
  <c r="R253" i="5"/>
  <c r="Q243" i="5"/>
  <c r="U192" i="5"/>
  <c r="U143" i="5"/>
  <c r="U131" i="5"/>
  <c r="U104" i="5"/>
  <c r="U273" i="5"/>
  <c r="R273" i="5"/>
  <c r="R86" i="5"/>
  <c r="U86" i="5"/>
  <c r="L527" i="5"/>
  <c r="R334" i="5"/>
  <c r="U334" i="5"/>
  <c r="R279" i="5"/>
  <c r="U279" i="5"/>
  <c r="Q692" i="5"/>
  <c r="Q551" i="5"/>
  <c r="Q459" i="5"/>
  <c r="L384" i="5"/>
  <c r="L29" i="5"/>
  <c r="L559" i="5"/>
  <c r="Q542" i="5"/>
  <c r="R263" i="5"/>
  <c r="U263" i="5"/>
  <c r="R196" i="5"/>
  <c r="U196" i="5"/>
  <c r="L683" i="5"/>
  <c r="R686" i="5"/>
  <c r="Q526" i="5"/>
  <c r="L487" i="5"/>
  <c r="L349" i="5"/>
  <c r="U63" i="5"/>
  <c r="L79" i="5"/>
  <c r="R72" i="5"/>
  <c r="U72" i="5"/>
  <c r="L26" i="5"/>
  <c r="L34" i="5"/>
  <c r="L42" i="5"/>
  <c r="L46" i="5"/>
  <c r="U47" i="5"/>
  <c r="L77" i="5"/>
  <c r="R69" i="5"/>
  <c r="U579" i="5"/>
  <c r="U560" i="5"/>
  <c r="R550" i="5"/>
  <c r="U529" i="5"/>
  <c r="U448" i="5"/>
  <c r="R443" i="5"/>
  <c r="U335" i="5"/>
  <c r="R306" i="5"/>
  <c r="U306" i="5"/>
  <c r="U90" i="5"/>
  <c r="R90" i="5"/>
  <c r="L588" i="5"/>
  <c r="L476" i="5"/>
  <c r="L283" i="5"/>
  <c r="R653" i="5"/>
  <c r="Q622" i="5"/>
  <c r="R609" i="5"/>
  <c r="L423" i="5"/>
  <c r="Q280" i="5"/>
  <c r="Q598" i="5"/>
  <c r="R484" i="5"/>
  <c r="R352" i="5"/>
  <c r="U352" i="5"/>
  <c r="U547" i="5"/>
  <c r="R547" i="5"/>
  <c r="L396" i="5"/>
  <c r="Q668" i="5"/>
  <c r="R598" i="5"/>
  <c r="L395" i="5"/>
  <c r="Q336" i="5"/>
  <c r="Q292" i="5"/>
  <c r="R269" i="5"/>
  <c r="U269" i="5"/>
  <c r="Q694" i="5"/>
  <c r="R693" i="5"/>
  <c r="Q662" i="5"/>
  <c r="R661" i="5"/>
  <c r="Q630" i="5"/>
  <c r="R629" i="5"/>
  <c r="U566" i="5"/>
  <c r="U562" i="5"/>
  <c r="U538" i="5"/>
  <c r="R490" i="5"/>
  <c r="L488" i="5"/>
  <c r="U435" i="5"/>
  <c r="R435" i="5"/>
  <c r="U365" i="5"/>
  <c r="R365" i="5"/>
  <c r="R360" i="5"/>
  <c r="U360" i="5"/>
  <c r="U345" i="5"/>
  <c r="R292" i="5"/>
  <c r="U292" i="5"/>
  <c r="R242" i="5"/>
  <c r="U242" i="5"/>
  <c r="U236" i="5"/>
  <c r="R236" i="5"/>
  <c r="U225" i="5"/>
  <c r="R225" i="5"/>
  <c r="R218" i="5"/>
  <c r="U218" i="5"/>
  <c r="R151" i="5"/>
  <c r="U151" i="5"/>
  <c r="Q125" i="5"/>
  <c r="Q525" i="5"/>
  <c r="R458" i="5"/>
  <c r="R691" i="5"/>
  <c r="Q191" i="5"/>
  <c r="Q654" i="5"/>
  <c r="R621" i="5"/>
  <c r="R530" i="5"/>
  <c r="U530" i="5"/>
  <c r="U344" i="5"/>
  <c r="R344" i="5"/>
  <c r="R340" i="5"/>
  <c r="U340" i="5"/>
  <c r="R206" i="5"/>
  <c r="U206" i="5"/>
  <c r="L73" i="5"/>
  <c r="L545" i="5"/>
  <c r="L528" i="5"/>
  <c r="R87" i="5"/>
  <c r="U87" i="5"/>
  <c r="Q81" i="5"/>
  <c r="L595" i="5"/>
  <c r="L74" i="5"/>
  <c r="R635" i="5"/>
  <c r="L429" i="5"/>
  <c r="L386" i="5"/>
  <c r="L350" i="5"/>
  <c r="L273" i="5"/>
  <c r="Q102" i="5"/>
  <c r="U96" i="5"/>
  <c r="R96" i="5"/>
  <c r="R81" i="5"/>
  <c r="U21" i="5"/>
  <c r="R25" i="5"/>
  <c r="L28" i="5"/>
  <c r="L691" i="5"/>
  <c r="R687" i="5"/>
  <c r="Q682" i="5"/>
  <c r="R681" i="5"/>
  <c r="L659" i="5"/>
  <c r="R655" i="5"/>
  <c r="Q650" i="5"/>
  <c r="R649" i="5"/>
  <c r="L627" i="5"/>
  <c r="R623" i="5"/>
  <c r="Q618" i="5"/>
  <c r="R617" i="5"/>
  <c r="R569" i="5"/>
  <c r="U569" i="5"/>
  <c r="R548" i="5"/>
  <c r="U548" i="5"/>
  <c r="Q522" i="5"/>
  <c r="R504" i="5"/>
  <c r="Q491" i="5"/>
  <c r="L438" i="5"/>
  <c r="L416" i="5"/>
  <c r="Q398" i="5"/>
  <c r="U371" i="5"/>
  <c r="R371" i="5"/>
  <c r="L357" i="5"/>
  <c r="U353" i="5"/>
  <c r="R319" i="5"/>
  <c r="U319" i="5"/>
  <c r="R298" i="5"/>
  <c r="U298" i="5"/>
  <c r="U287" i="5"/>
  <c r="L245" i="5"/>
  <c r="Q165" i="5"/>
  <c r="L149" i="5"/>
  <c r="Q142" i="5"/>
  <c r="Q138" i="5"/>
  <c r="R120" i="5"/>
  <c r="U102" i="5"/>
  <c r="R102" i="5"/>
  <c r="R79" i="5"/>
  <c r="U79" i="5"/>
  <c r="R646" i="5"/>
  <c r="Q80" i="5"/>
  <c r="Q660" i="5"/>
  <c r="Q628" i="5"/>
  <c r="L337" i="5"/>
  <c r="R91" i="5"/>
  <c r="U91" i="5"/>
  <c r="Q520" i="5"/>
  <c r="L619" i="5"/>
  <c r="L601" i="5"/>
  <c r="R561" i="5"/>
  <c r="L418" i="5"/>
  <c r="U359" i="5"/>
  <c r="R359" i="5"/>
  <c r="R235" i="5"/>
  <c r="U235" i="5"/>
  <c r="L535" i="5"/>
  <c r="R425" i="5"/>
  <c r="U425" i="5"/>
  <c r="R667" i="5"/>
  <c r="Q636" i="5"/>
  <c r="R586" i="5"/>
  <c r="Q569" i="5"/>
  <c r="L560" i="5"/>
  <c r="L529" i="5"/>
  <c r="U397" i="5"/>
  <c r="U137" i="5"/>
  <c r="R137" i="5"/>
  <c r="Q25" i="5"/>
  <c r="L43" i="5"/>
  <c r="Q45" i="5"/>
  <c r="L47" i="5"/>
  <c r="Q49" i="5"/>
  <c r="Q65" i="5"/>
  <c r="L69" i="5"/>
  <c r="L609" i="5"/>
  <c r="R574" i="5"/>
  <c r="U510" i="5"/>
  <c r="U495" i="5"/>
  <c r="R447" i="5"/>
  <c r="R446" i="5"/>
  <c r="R440" i="5"/>
  <c r="U440" i="5"/>
  <c r="L435" i="5"/>
  <c r="L434" i="5"/>
  <c r="U431" i="5"/>
  <c r="L406" i="5"/>
  <c r="L401" i="5"/>
  <c r="R398" i="5"/>
  <c r="L358" i="5"/>
  <c r="R314" i="5"/>
  <c r="U314" i="5"/>
  <c r="U309" i="5"/>
  <c r="R309" i="5"/>
  <c r="U247" i="5"/>
  <c r="R247" i="5"/>
  <c r="Q237" i="5"/>
  <c r="Q226" i="5"/>
  <c r="Q130" i="5"/>
  <c r="R386" i="5"/>
  <c r="U386" i="5"/>
  <c r="Q69" i="5"/>
  <c r="R678" i="5"/>
  <c r="Q530" i="5"/>
  <c r="U473" i="5"/>
  <c r="R473" i="5"/>
  <c r="L456" i="5"/>
  <c r="L342" i="5"/>
  <c r="L78" i="5"/>
  <c r="Q484" i="5"/>
  <c r="Q469" i="5"/>
  <c r="U379" i="5"/>
  <c r="U114" i="5"/>
  <c r="R114" i="5"/>
  <c r="L651" i="5"/>
  <c r="R641" i="5"/>
  <c r="R597" i="5"/>
  <c r="L385" i="5"/>
  <c r="R286" i="5"/>
  <c r="U286" i="5"/>
  <c r="R201" i="5"/>
  <c r="U201" i="5"/>
  <c r="R191" i="5"/>
  <c r="U191" i="5"/>
  <c r="R115" i="5"/>
  <c r="U115" i="5"/>
  <c r="Q96" i="5"/>
  <c r="L80" i="5"/>
  <c r="R517" i="5"/>
  <c r="U517" i="5"/>
  <c r="U481" i="5"/>
  <c r="R481" i="5"/>
  <c r="U332" i="5"/>
  <c r="R332" i="5"/>
  <c r="R243" i="5"/>
  <c r="U243" i="5"/>
  <c r="R177" i="5"/>
  <c r="U177" i="5"/>
  <c r="U170" i="5"/>
  <c r="R170" i="5"/>
  <c r="Q91" i="5"/>
  <c r="Q578" i="5"/>
  <c r="Q686" i="5"/>
  <c r="R679" i="5"/>
  <c r="R291" i="5"/>
  <c r="U291" i="5"/>
  <c r="Q269" i="5"/>
  <c r="L603" i="5"/>
  <c r="R403" i="5"/>
  <c r="U403" i="5"/>
  <c r="L70" i="5"/>
  <c r="Q670" i="5"/>
  <c r="R669" i="5"/>
  <c r="Q638" i="5"/>
  <c r="R637" i="5"/>
  <c r="R606" i="5"/>
  <c r="R576" i="5"/>
  <c r="Q540" i="5"/>
  <c r="U505" i="5"/>
  <c r="U501" i="5"/>
  <c r="L499" i="5"/>
  <c r="L439" i="5"/>
  <c r="U436" i="5"/>
  <c r="U408" i="5"/>
  <c r="R315" i="5"/>
  <c r="U315" i="5"/>
  <c r="R255" i="5"/>
  <c r="R254" i="5"/>
  <c r="U254" i="5"/>
  <c r="L241" i="5"/>
  <c r="U226" i="5"/>
  <c r="R226" i="5"/>
  <c r="U173" i="5"/>
  <c r="R172" i="5"/>
  <c r="Q92" i="5"/>
  <c r="R78" i="5"/>
  <c r="U78" i="5"/>
  <c r="U570" i="5"/>
  <c r="R570" i="5"/>
  <c r="R549" i="5"/>
  <c r="U549" i="5"/>
  <c r="L450" i="5"/>
  <c r="R442" i="5"/>
  <c r="R405" i="5"/>
  <c r="R320" i="5"/>
  <c r="U320" i="5"/>
  <c r="U299" i="5"/>
  <c r="R299" i="5"/>
  <c r="Q244" i="5"/>
  <c r="U179" i="5"/>
  <c r="R195" i="5"/>
  <c r="U195" i="5"/>
  <c r="U584" i="5"/>
  <c r="L466" i="5"/>
  <c r="R659" i="5"/>
  <c r="L534" i="5"/>
  <c r="R268" i="5"/>
  <c r="U268" i="5"/>
  <c r="R211" i="5"/>
  <c r="U211" i="5"/>
  <c r="Q610" i="5"/>
  <c r="L448" i="5"/>
  <c r="Q180" i="5"/>
  <c r="Q76" i="5"/>
  <c r="Q674" i="5"/>
  <c r="Q604" i="5"/>
  <c r="L482" i="5"/>
  <c r="U420" i="5"/>
  <c r="Q411" i="5"/>
  <c r="R387" i="5"/>
  <c r="U387" i="5"/>
  <c r="R654" i="5"/>
  <c r="R207" i="5"/>
  <c r="U207" i="5"/>
  <c r="U145" i="5"/>
  <c r="R145" i="5"/>
  <c r="R74" i="5"/>
  <c r="L667" i="5"/>
  <c r="L635" i="5"/>
  <c r="L58" i="5"/>
  <c r="L66" i="5"/>
  <c r="L81" i="5"/>
  <c r="U75" i="5"/>
  <c r="R670" i="5"/>
  <c r="R638" i="5"/>
  <c r="R452" i="5"/>
  <c r="U441" i="5"/>
  <c r="L402" i="5"/>
  <c r="R379" i="5"/>
  <c r="U367" i="5"/>
  <c r="Q255" i="5"/>
  <c r="R199" i="5"/>
  <c r="U199" i="5"/>
  <c r="R183" i="5"/>
  <c r="R182" i="5"/>
  <c r="U182" i="5"/>
  <c r="R190" i="5"/>
  <c r="U190" i="5"/>
  <c r="Q75" i="5"/>
  <c r="R590" i="5"/>
  <c r="Q344" i="5"/>
  <c r="L84" i="5"/>
  <c r="R685" i="5"/>
  <c r="R615" i="5"/>
  <c r="R217" i="5"/>
  <c r="U217" i="5"/>
  <c r="Q115" i="5"/>
  <c r="R80" i="5"/>
  <c r="R673" i="5"/>
  <c r="R647" i="5"/>
  <c r="Q642" i="5"/>
  <c r="R591" i="5"/>
  <c r="Q557" i="5"/>
  <c r="L457" i="5"/>
  <c r="L85" i="5"/>
  <c r="R622" i="5"/>
  <c r="R302" i="5"/>
  <c r="U302" i="5"/>
  <c r="U80" i="5"/>
  <c r="Q79" i="5"/>
  <c r="Q74" i="5"/>
  <c r="L71" i="5"/>
  <c r="Q684" i="5"/>
  <c r="R683" i="5"/>
  <c r="Q652" i="5"/>
  <c r="R651" i="5"/>
  <c r="Q620" i="5"/>
  <c r="L617" i="5"/>
  <c r="Q614" i="5"/>
  <c r="R613" i="5"/>
  <c r="R607" i="5"/>
  <c r="Q602" i="5"/>
  <c r="R601" i="5"/>
  <c r="L580" i="5"/>
  <c r="R571" i="5"/>
  <c r="R555" i="5"/>
  <c r="U551" i="5"/>
  <c r="Q550" i="5"/>
  <c r="R524" i="5"/>
  <c r="U518" i="5"/>
  <c r="L516" i="5"/>
  <c r="L504" i="5"/>
  <c r="U472" i="5"/>
  <c r="L470" i="5"/>
  <c r="L455" i="5"/>
  <c r="U378" i="5"/>
  <c r="R378" i="5"/>
  <c r="R362" i="5"/>
  <c r="U362" i="5"/>
  <c r="L336" i="5"/>
  <c r="L319" i="5"/>
  <c r="R256" i="5"/>
  <c r="U204" i="5"/>
  <c r="R204" i="5"/>
  <c r="R178" i="5"/>
  <c r="U178" i="5"/>
  <c r="R696" i="5"/>
  <c r="R688" i="5"/>
  <c r="R680" i="5"/>
  <c r="R672" i="5"/>
  <c r="R664" i="5"/>
  <c r="R656" i="5"/>
  <c r="R648" i="5"/>
  <c r="R640" i="5"/>
  <c r="R632" i="5"/>
  <c r="R624" i="5"/>
  <c r="R616" i="5"/>
  <c r="R608" i="5"/>
  <c r="R600" i="5"/>
  <c r="R592" i="5"/>
  <c r="Q572" i="5"/>
  <c r="U557" i="5"/>
  <c r="U544" i="5"/>
  <c r="R531" i="5"/>
  <c r="R519" i="5"/>
  <c r="L517" i="5"/>
  <c r="U507" i="5"/>
  <c r="U486" i="5"/>
  <c r="L478" i="5"/>
  <c r="L472" i="5"/>
  <c r="L462" i="5"/>
  <c r="U459" i="5"/>
  <c r="Q454" i="5"/>
  <c r="L440" i="5"/>
  <c r="R421" i="5"/>
  <c r="R411" i="5"/>
  <c r="U410" i="5"/>
  <c r="Q381" i="5"/>
  <c r="L371" i="5"/>
  <c r="U329" i="5"/>
  <c r="R329" i="5"/>
  <c r="L326" i="5"/>
  <c r="Q322" i="5"/>
  <c r="U321" i="5"/>
  <c r="L314" i="5"/>
  <c r="Q288" i="5"/>
  <c r="L266" i="5"/>
  <c r="U259" i="5"/>
  <c r="Q250" i="5"/>
  <c r="U213" i="5"/>
  <c r="Q153" i="5"/>
  <c r="U147" i="5"/>
  <c r="L100" i="5"/>
  <c r="R368" i="5"/>
  <c r="L320" i="5"/>
  <c r="Q300" i="5"/>
  <c r="L261" i="5"/>
  <c r="R233" i="5"/>
  <c r="Q185" i="5"/>
  <c r="U112" i="5"/>
  <c r="R112" i="5"/>
  <c r="Q103" i="5"/>
  <c r="R88" i="5"/>
  <c r="U88" i="5"/>
  <c r="Q534" i="5"/>
  <c r="U533" i="5"/>
  <c r="L518" i="5"/>
  <c r="Q498" i="5"/>
  <c r="R492" i="5"/>
  <c r="L490" i="5"/>
  <c r="Q450" i="5"/>
  <c r="L427" i="5"/>
  <c r="R416" i="5"/>
  <c r="L392" i="5"/>
  <c r="Q369" i="5"/>
  <c r="L340" i="5"/>
  <c r="R330" i="5"/>
  <c r="U330" i="5"/>
  <c r="L315" i="5"/>
  <c r="R276" i="5"/>
  <c r="U276" i="5"/>
  <c r="R264" i="5"/>
  <c r="Q234" i="5"/>
  <c r="L231" i="5"/>
  <c r="Q227" i="5"/>
  <c r="U202" i="5"/>
  <c r="R202" i="5"/>
  <c r="R108" i="5"/>
  <c r="U108" i="5"/>
  <c r="L101" i="5"/>
  <c r="R33" i="5"/>
  <c r="R37" i="5"/>
  <c r="L40" i="5"/>
  <c r="R41" i="5"/>
  <c r="U45" i="5"/>
  <c r="L48" i="5"/>
  <c r="R49" i="5"/>
  <c r="R690" i="5"/>
  <c r="R682" i="5"/>
  <c r="R674" i="5"/>
  <c r="R666" i="5"/>
  <c r="R658" i="5"/>
  <c r="R650" i="5"/>
  <c r="R642" i="5"/>
  <c r="R634" i="5"/>
  <c r="R626" i="5"/>
  <c r="R618" i="5"/>
  <c r="R610" i="5"/>
  <c r="R602" i="5"/>
  <c r="R594" i="5"/>
  <c r="L575" i="5"/>
  <c r="Q573" i="5"/>
  <c r="Q567" i="5"/>
  <c r="Q553" i="5"/>
  <c r="R545" i="5"/>
  <c r="R534" i="5"/>
  <c r="U498" i="5"/>
  <c r="L495" i="5"/>
  <c r="L479" i="5"/>
  <c r="Q477" i="5"/>
  <c r="L474" i="5"/>
  <c r="L468" i="5"/>
  <c r="U465" i="5"/>
  <c r="L463" i="5"/>
  <c r="Q455" i="5"/>
  <c r="L449" i="5"/>
  <c r="L431" i="5"/>
  <c r="L426" i="5"/>
  <c r="R423" i="5"/>
  <c r="L414" i="5"/>
  <c r="U406" i="5"/>
  <c r="U400" i="5"/>
  <c r="R394" i="5"/>
  <c r="U389" i="5"/>
  <c r="L387" i="5"/>
  <c r="U342" i="5"/>
  <c r="R342" i="5"/>
  <c r="R336" i="5"/>
  <c r="U336" i="5"/>
  <c r="Q324" i="5"/>
  <c r="R307" i="5"/>
  <c r="U307" i="5"/>
  <c r="U300" i="5"/>
  <c r="Q265" i="5"/>
  <c r="R239" i="5"/>
  <c r="R131" i="5"/>
  <c r="Q89" i="5"/>
  <c r="L453" i="5"/>
  <c r="L328" i="5"/>
  <c r="L305" i="5"/>
  <c r="R234" i="5"/>
  <c r="U234" i="5"/>
  <c r="R210" i="5"/>
  <c r="U210" i="5"/>
  <c r="L107" i="5"/>
  <c r="Q559" i="5"/>
  <c r="Q541" i="5"/>
  <c r="Q535" i="5"/>
  <c r="L512" i="5"/>
  <c r="L480" i="5"/>
  <c r="L475" i="5"/>
  <c r="L469" i="5"/>
  <c r="L437" i="5"/>
  <c r="L433" i="5"/>
  <c r="L428" i="5"/>
  <c r="L421" i="5"/>
  <c r="Q364" i="5"/>
  <c r="Q343" i="5"/>
  <c r="L341" i="5"/>
  <c r="L329" i="5"/>
  <c r="Q308" i="5"/>
  <c r="Q271" i="5"/>
  <c r="R265" i="5"/>
  <c r="U265" i="5"/>
  <c r="Q193" i="5"/>
  <c r="Q132" i="5"/>
  <c r="U127" i="5"/>
  <c r="R127" i="5"/>
  <c r="U113" i="5"/>
  <c r="R113" i="5"/>
  <c r="R627" i="5"/>
  <c r="R611" i="5"/>
  <c r="R77" i="5"/>
  <c r="L75" i="5"/>
  <c r="Q71" i="5"/>
  <c r="Q568" i="5"/>
  <c r="L564" i="5"/>
  <c r="U546" i="5"/>
  <c r="L544" i="5"/>
  <c r="L519" i="5"/>
  <c r="L507" i="5"/>
  <c r="R503" i="5"/>
  <c r="Q499" i="5"/>
  <c r="L496" i="5"/>
  <c r="Q489" i="5"/>
  <c r="L459" i="5"/>
  <c r="U434" i="5"/>
  <c r="L432" i="5"/>
  <c r="Q424" i="5"/>
  <c r="Q418" i="5"/>
  <c r="L410" i="5"/>
  <c r="L389" i="5"/>
  <c r="U377" i="5"/>
  <c r="R377" i="5"/>
  <c r="L375" i="5"/>
  <c r="L362" i="5"/>
  <c r="Q338" i="5"/>
  <c r="R313" i="5"/>
  <c r="L282" i="5"/>
  <c r="U277" i="5"/>
  <c r="U246" i="5"/>
  <c r="R246" i="5"/>
  <c r="R223" i="5"/>
  <c r="Q211" i="5"/>
  <c r="U203" i="5"/>
  <c r="U181" i="5"/>
  <c r="R181" i="5"/>
  <c r="R169" i="5"/>
  <c r="U169" i="5"/>
  <c r="L167" i="5"/>
  <c r="R118" i="5"/>
  <c r="U118" i="5"/>
  <c r="R619" i="5"/>
  <c r="R603" i="5"/>
  <c r="R595" i="5"/>
  <c r="Q582" i="5"/>
  <c r="L576" i="5"/>
  <c r="Q78" i="5"/>
  <c r="R692" i="5"/>
  <c r="R684" i="5"/>
  <c r="R676" i="5"/>
  <c r="R668" i="5"/>
  <c r="R660" i="5"/>
  <c r="R652" i="5"/>
  <c r="R644" i="5"/>
  <c r="R636" i="5"/>
  <c r="R628" i="5"/>
  <c r="R620" i="5"/>
  <c r="R612" i="5"/>
  <c r="R604" i="5"/>
  <c r="R596" i="5"/>
  <c r="Q574" i="5"/>
  <c r="R568" i="5"/>
  <c r="L565" i="5"/>
  <c r="R554" i="5"/>
  <c r="L532" i="5"/>
  <c r="Q517" i="5"/>
  <c r="L513" i="5"/>
  <c r="Q510" i="5"/>
  <c r="U499" i="5"/>
  <c r="U489" i="5"/>
  <c r="Q478" i="5"/>
  <c r="Q467" i="5"/>
  <c r="L464" i="5"/>
  <c r="Q462" i="5"/>
  <c r="L454" i="5"/>
  <c r="Q440" i="5"/>
  <c r="R424" i="5"/>
  <c r="R418" i="5"/>
  <c r="Q413" i="5"/>
  <c r="L381" i="5"/>
  <c r="U343" i="5"/>
  <c r="R343" i="5"/>
  <c r="R290" i="5"/>
  <c r="R285" i="5"/>
  <c r="U285" i="5"/>
  <c r="Q229" i="5"/>
  <c r="R132" i="5"/>
  <c r="U132" i="5"/>
  <c r="Q88" i="5"/>
  <c r="L86" i="5"/>
  <c r="L458" i="5"/>
  <c r="L452" i="5"/>
  <c r="U449" i="5"/>
  <c r="Q443" i="5"/>
  <c r="U401" i="5"/>
  <c r="Q395" i="5"/>
  <c r="R374" i="5"/>
  <c r="L369" i="5"/>
  <c r="L361" i="5"/>
  <c r="U354" i="5"/>
  <c r="R331" i="5"/>
  <c r="L327" i="5"/>
  <c r="U322" i="5"/>
  <c r="R308" i="5"/>
  <c r="U297" i="5"/>
  <c r="Q287" i="5"/>
  <c r="L284" i="5"/>
  <c r="Q279" i="5"/>
  <c r="U278" i="5"/>
  <c r="L262" i="5"/>
  <c r="U253" i="5"/>
  <c r="Q236" i="5"/>
  <c r="L217" i="5"/>
  <c r="R212" i="5"/>
  <c r="U212" i="5"/>
  <c r="Q179" i="5"/>
  <c r="U171" i="5"/>
  <c r="R152" i="5"/>
  <c r="U146" i="5"/>
  <c r="R119" i="5"/>
  <c r="L548" i="5"/>
  <c r="L511" i="5"/>
  <c r="L483" i="5"/>
  <c r="L477" i="5"/>
  <c r="L465" i="5"/>
  <c r="Q451" i="5"/>
  <c r="L407" i="5"/>
  <c r="R376" i="5"/>
  <c r="U376" i="5"/>
  <c r="L373" i="5"/>
  <c r="Q366" i="5"/>
  <c r="L363" i="5"/>
  <c r="L330" i="5"/>
  <c r="L321" i="5"/>
  <c r="Q310" i="5"/>
  <c r="R296" i="5"/>
  <c r="L277" i="5"/>
  <c r="Q260" i="5"/>
  <c r="R244" i="5"/>
  <c r="U244" i="5"/>
  <c r="Q224" i="5"/>
  <c r="Q208" i="5"/>
  <c r="Q194" i="5"/>
  <c r="U193" i="5"/>
  <c r="L165" i="5"/>
  <c r="Q163" i="5"/>
  <c r="Q121" i="5"/>
  <c r="R588" i="5"/>
  <c r="R582" i="5"/>
  <c r="R567" i="5"/>
  <c r="R558" i="5"/>
  <c r="R552" i="5"/>
  <c r="L549" i="5"/>
  <c r="U543" i="5"/>
  <c r="R514" i="5"/>
  <c r="L506" i="5"/>
  <c r="Q486" i="5"/>
  <c r="U479" i="5"/>
  <c r="U474" i="5"/>
  <c r="U456" i="5"/>
  <c r="Q445" i="5"/>
  <c r="L442" i="5"/>
  <c r="L425" i="5"/>
  <c r="R422" i="5"/>
  <c r="U415" i="5"/>
  <c r="U409" i="5"/>
  <c r="U402" i="5"/>
  <c r="L394" i="5"/>
  <c r="R341" i="5"/>
  <c r="U341" i="5"/>
  <c r="Q326" i="5"/>
  <c r="R318" i="5"/>
  <c r="Q304" i="5"/>
  <c r="L293" i="5"/>
  <c r="U288" i="5"/>
  <c r="Q282" i="5"/>
  <c r="R274" i="5"/>
  <c r="U266" i="5"/>
  <c r="Q238" i="5"/>
  <c r="Q215" i="5"/>
  <c r="U214" i="5"/>
  <c r="R200" i="5"/>
  <c r="L184" i="5"/>
  <c r="R180" i="5"/>
  <c r="U180" i="5"/>
  <c r="R168" i="5"/>
  <c r="U168" i="5"/>
  <c r="Q154" i="5"/>
  <c r="U153" i="5"/>
  <c r="L133" i="5"/>
  <c r="Q95" i="5"/>
  <c r="Q90" i="5"/>
  <c r="U89" i="5"/>
  <c r="L374" i="5"/>
  <c r="L339" i="5"/>
  <c r="L316" i="5"/>
  <c r="R135" i="5"/>
  <c r="U135" i="5"/>
  <c r="Q122" i="5"/>
  <c r="R101" i="5"/>
  <c r="L94" i="5"/>
  <c r="L347" i="5"/>
  <c r="L295" i="5"/>
  <c r="L222" i="5"/>
  <c r="U95" i="5"/>
  <c r="R95" i="5"/>
  <c r="L331" i="5"/>
  <c r="Q325" i="5"/>
  <c r="L318" i="5"/>
  <c r="Q302" i="5"/>
  <c r="Q281" i="5"/>
  <c r="Q259" i="5"/>
  <c r="Q249" i="5"/>
  <c r="Q228" i="5"/>
  <c r="L199" i="5"/>
  <c r="Q195" i="5"/>
  <c r="U159" i="5"/>
  <c r="Q149" i="5"/>
  <c r="R148" i="5"/>
  <c r="R122" i="5"/>
  <c r="Q105" i="5"/>
  <c r="U97" i="5"/>
  <c r="Q83" i="5"/>
  <c r="Q175" i="5"/>
  <c r="R143" i="5"/>
  <c r="Q139" i="5"/>
  <c r="Q117" i="5"/>
  <c r="Q111" i="5"/>
  <c r="Q99" i="5"/>
  <c r="R98" i="5"/>
  <c r="Q93" i="5"/>
  <c r="L333" i="5"/>
  <c r="L322" i="5"/>
  <c r="Q316" i="5"/>
  <c r="L310" i="5"/>
  <c r="L300" i="5"/>
  <c r="Q284" i="5"/>
  <c r="L278" i="5"/>
  <c r="Q252" i="5"/>
  <c r="L246" i="5"/>
  <c r="Q231" i="5"/>
  <c r="L225" i="5"/>
  <c r="L203" i="5"/>
  <c r="Q197" i="5"/>
  <c r="Q176" i="5"/>
  <c r="R165" i="5"/>
  <c r="U160" i="5"/>
  <c r="Q150" i="5"/>
  <c r="Q144" i="5"/>
  <c r="R133" i="5"/>
  <c r="U117" i="5"/>
  <c r="R106" i="5"/>
  <c r="Q100" i="5"/>
  <c r="L344" i="5"/>
  <c r="L334" i="5"/>
  <c r="L247" i="5"/>
  <c r="L215" i="5"/>
  <c r="L193" i="5"/>
  <c r="L126" i="5"/>
  <c r="Q107" i="5"/>
  <c r="Q494" i="5"/>
  <c r="L467" i="5"/>
  <c r="L444" i="5"/>
  <c r="L412" i="5"/>
  <c r="L403" i="5"/>
  <c r="L391" i="5"/>
  <c r="L355" i="5"/>
  <c r="Q351" i="5"/>
  <c r="L323" i="5"/>
  <c r="Q317" i="5"/>
  <c r="L311" i="5"/>
  <c r="L289" i="5"/>
  <c r="Q285" i="5"/>
  <c r="Q263" i="5"/>
  <c r="L257" i="5"/>
  <c r="Q253" i="5"/>
  <c r="L205" i="5"/>
  <c r="Q198" i="5"/>
  <c r="Q189" i="5"/>
  <c r="Q177" i="5"/>
  <c r="L164" i="5"/>
  <c r="L148" i="5"/>
  <c r="Q140" i="5"/>
  <c r="Q112" i="5"/>
  <c r="U512" i="5"/>
  <c r="Q507" i="5"/>
  <c r="L503" i="5"/>
  <c r="U500" i="5"/>
  <c r="U494" i="5"/>
  <c r="U482" i="5"/>
  <c r="L473" i="5"/>
  <c r="Q470" i="5"/>
  <c r="U463" i="5"/>
  <c r="L461" i="5"/>
  <c r="Q446" i="5"/>
  <c r="Q427" i="5"/>
  <c r="L424" i="5"/>
  <c r="L346" i="5"/>
  <c r="Q340" i="5"/>
  <c r="L335" i="5"/>
  <c r="L324" i="5"/>
  <c r="L312" i="5"/>
  <c r="Q233" i="5"/>
  <c r="L216" i="5"/>
  <c r="Q210" i="5"/>
  <c r="L183" i="5"/>
  <c r="Q168" i="5"/>
  <c r="U161" i="5"/>
  <c r="Q157" i="5"/>
  <c r="U144" i="5"/>
  <c r="L132" i="5"/>
  <c r="Q119" i="5"/>
  <c r="L116" i="5"/>
  <c r="L82" i="5"/>
  <c r="R163" i="5"/>
  <c r="U163" i="5"/>
  <c r="L520" i="5"/>
  <c r="Q383" i="5"/>
  <c r="L364" i="5"/>
  <c r="L586" i="5"/>
  <c r="L538" i="5"/>
  <c r="L522" i="5"/>
  <c r="Q449" i="5"/>
  <c r="L436" i="5"/>
  <c r="L263" i="5"/>
  <c r="Q164" i="5"/>
  <c r="L95" i="5"/>
  <c r="L587" i="5"/>
  <c r="L571" i="5"/>
  <c r="L555" i="5"/>
  <c r="L539" i="5"/>
  <c r="L523" i="5"/>
  <c r="L509" i="5"/>
  <c r="L501" i="5"/>
  <c r="L493" i="5"/>
  <c r="L485" i="5"/>
  <c r="Q441" i="5"/>
  <c r="Q417" i="5"/>
  <c r="Q409" i="5"/>
  <c r="L378" i="5"/>
  <c r="L297" i="5"/>
  <c r="L168" i="5"/>
  <c r="U126" i="5"/>
  <c r="R126" i="5"/>
  <c r="L550" i="5"/>
  <c r="Q447" i="5"/>
  <c r="Q432" i="5"/>
  <c r="Q416" i="5"/>
  <c r="L404" i="5"/>
  <c r="Q384" i="5"/>
  <c r="L570" i="5"/>
  <c r="L554" i="5"/>
  <c r="L420" i="5"/>
  <c r="Q401" i="5"/>
  <c r="L296" i="5"/>
  <c r="L177" i="5"/>
  <c r="R109" i="5"/>
  <c r="U109" i="5"/>
  <c r="U586" i="5"/>
  <c r="L572" i="5"/>
  <c r="L556" i="5"/>
  <c r="L540" i="5"/>
  <c r="L524" i="5"/>
  <c r="R507" i="5"/>
  <c r="R499" i="5"/>
  <c r="R491" i="5"/>
  <c r="R483" i="5"/>
  <c r="R475" i="5"/>
  <c r="R467" i="5"/>
  <c r="R459" i="5"/>
  <c r="R451" i="5"/>
  <c r="Q433" i="5"/>
  <c r="Q425" i="5"/>
  <c r="Q386" i="5"/>
  <c r="L379" i="5"/>
  <c r="Q430" i="5"/>
  <c r="Q431" i="5"/>
  <c r="U697" i="5"/>
  <c r="U696" i="5"/>
  <c r="U695" i="5"/>
  <c r="U694" i="5"/>
  <c r="U693" i="5"/>
  <c r="U692" i="5"/>
  <c r="U691" i="5"/>
  <c r="U690" i="5"/>
  <c r="U689" i="5"/>
  <c r="U688" i="5"/>
  <c r="U687" i="5"/>
  <c r="U686" i="5"/>
  <c r="U685" i="5"/>
  <c r="U684" i="5"/>
  <c r="U683" i="5"/>
  <c r="U682" i="5"/>
  <c r="U681" i="5"/>
  <c r="U680" i="5"/>
  <c r="U679" i="5"/>
  <c r="U678" i="5"/>
  <c r="U677" i="5"/>
  <c r="U676" i="5"/>
  <c r="U675" i="5"/>
  <c r="U674" i="5"/>
  <c r="U673" i="5"/>
  <c r="U672" i="5"/>
  <c r="U671" i="5"/>
  <c r="U670" i="5"/>
  <c r="U669" i="5"/>
  <c r="U668" i="5"/>
  <c r="U667" i="5"/>
  <c r="U666" i="5"/>
  <c r="U665" i="5"/>
  <c r="U664" i="5"/>
  <c r="U663" i="5"/>
  <c r="U662" i="5"/>
  <c r="U661" i="5"/>
  <c r="U660" i="5"/>
  <c r="U659" i="5"/>
  <c r="U658" i="5"/>
  <c r="U657" i="5"/>
  <c r="U656" i="5"/>
  <c r="U655" i="5"/>
  <c r="U654" i="5"/>
  <c r="U653" i="5"/>
  <c r="U652" i="5"/>
  <c r="U651" i="5"/>
  <c r="U650" i="5"/>
  <c r="U649" i="5"/>
  <c r="U648" i="5"/>
  <c r="U647" i="5"/>
  <c r="U646" i="5"/>
  <c r="U645" i="5"/>
  <c r="U644" i="5"/>
  <c r="U643" i="5"/>
  <c r="U642" i="5"/>
  <c r="U641" i="5"/>
  <c r="U640" i="5"/>
  <c r="U639" i="5"/>
  <c r="U638" i="5"/>
  <c r="U637" i="5"/>
  <c r="U636" i="5"/>
  <c r="U635" i="5"/>
  <c r="U634" i="5"/>
  <c r="U633" i="5"/>
  <c r="U632" i="5"/>
  <c r="U631" i="5"/>
  <c r="U630" i="5"/>
  <c r="U629" i="5"/>
  <c r="U628" i="5"/>
  <c r="U627" i="5"/>
  <c r="U626" i="5"/>
  <c r="U625" i="5"/>
  <c r="U624" i="5"/>
  <c r="U623" i="5"/>
  <c r="U622" i="5"/>
  <c r="U621" i="5"/>
  <c r="U620" i="5"/>
  <c r="U619" i="5"/>
  <c r="U618" i="5"/>
  <c r="U617" i="5"/>
  <c r="U616" i="5"/>
  <c r="U615" i="5"/>
  <c r="U614" i="5"/>
  <c r="U613" i="5"/>
  <c r="U612" i="5"/>
  <c r="U611" i="5"/>
  <c r="U610" i="5"/>
  <c r="U609" i="5"/>
  <c r="U608" i="5"/>
  <c r="U607" i="5"/>
  <c r="U606" i="5"/>
  <c r="U605" i="5"/>
  <c r="U604" i="5"/>
  <c r="U603" i="5"/>
  <c r="U602" i="5"/>
  <c r="U601" i="5"/>
  <c r="U600" i="5"/>
  <c r="U599" i="5"/>
  <c r="U598" i="5"/>
  <c r="U597" i="5"/>
  <c r="U596" i="5"/>
  <c r="U595" i="5"/>
  <c r="U594" i="5"/>
  <c r="U593" i="5"/>
  <c r="U592" i="5"/>
  <c r="U591" i="5"/>
  <c r="U590" i="5"/>
  <c r="U589" i="5"/>
  <c r="U588" i="5"/>
  <c r="U587" i="5"/>
  <c r="L573" i="5"/>
  <c r="U571" i="5"/>
  <c r="L557" i="5"/>
  <c r="U555" i="5"/>
  <c r="L541" i="5"/>
  <c r="U539" i="5"/>
  <c r="L525" i="5"/>
  <c r="U523" i="5"/>
  <c r="L510" i="5"/>
  <c r="L502" i="5"/>
  <c r="L494" i="5"/>
  <c r="L486" i="5"/>
  <c r="L298" i="5"/>
  <c r="L567" i="5"/>
  <c r="Q400" i="5"/>
  <c r="L388" i="5"/>
  <c r="L537" i="5"/>
  <c r="L521" i="5"/>
  <c r="L508" i="5"/>
  <c r="L492" i="5"/>
  <c r="L484" i="5"/>
  <c r="L377" i="5"/>
  <c r="Q393" i="5"/>
  <c r="Q385" i="5"/>
  <c r="L574" i="5"/>
  <c r="U572" i="5"/>
  <c r="L558" i="5"/>
  <c r="U556" i="5"/>
  <c r="L542" i="5"/>
  <c r="U540" i="5"/>
  <c r="L526" i="5"/>
  <c r="U524" i="5"/>
  <c r="U437" i="5"/>
  <c r="L299" i="5"/>
  <c r="Q414" i="5"/>
  <c r="U413" i="5"/>
  <c r="L582" i="5"/>
  <c r="Q415" i="5"/>
  <c r="Q382" i="5"/>
  <c r="L536" i="5"/>
  <c r="U574" i="5"/>
  <c r="U558" i="5"/>
  <c r="U542" i="5"/>
  <c r="U526" i="5"/>
  <c r="R509" i="5"/>
  <c r="R501" i="5"/>
  <c r="R493" i="5"/>
  <c r="R485" i="5"/>
  <c r="R477" i="5"/>
  <c r="R469" i="5"/>
  <c r="R461" i="5"/>
  <c r="R453" i="5"/>
  <c r="U446" i="5"/>
  <c r="R444" i="5"/>
  <c r="U444" i="5"/>
  <c r="Q435" i="5"/>
  <c r="Q419" i="5"/>
  <c r="U398" i="5"/>
  <c r="R396" i="5"/>
  <c r="U396" i="5"/>
  <c r="U391" i="5"/>
  <c r="L566" i="5"/>
  <c r="L583" i="5"/>
  <c r="Q335" i="5"/>
  <c r="L584" i="5"/>
  <c r="L561" i="5"/>
  <c r="U430" i="5"/>
  <c r="R428" i="5"/>
  <c r="U428" i="5"/>
  <c r="U414" i="5"/>
  <c r="R412" i="5"/>
  <c r="U412" i="5"/>
  <c r="U407" i="5"/>
  <c r="Q377" i="5"/>
  <c r="Q341" i="5"/>
  <c r="L551" i="5"/>
  <c r="L568" i="5"/>
  <c r="L578" i="5"/>
  <c r="R573" i="5"/>
  <c r="L562" i="5"/>
  <c r="R557" i="5"/>
  <c r="L546" i="5"/>
  <c r="R541" i="5"/>
  <c r="L530" i="5"/>
  <c r="R525" i="5"/>
  <c r="L514" i="5"/>
  <c r="R510" i="5"/>
  <c r="R502" i="5"/>
  <c r="R494" i="5"/>
  <c r="R486" i="5"/>
  <c r="R478" i="5"/>
  <c r="R470" i="5"/>
  <c r="R462" i="5"/>
  <c r="R454" i="5"/>
  <c r="U439" i="5"/>
  <c r="U423" i="5"/>
  <c r="L393" i="5"/>
  <c r="L360" i="5"/>
  <c r="Q353" i="5"/>
  <c r="Q399" i="5"/>
  <c r="L552" i="5"/>
  <c r="Q448" i="5"/>
  <c r="L419" i="5"/>
  <c r="L176" i="5"/>
  <c r="L585" i="5"/>
  <c r="L569" i="5"/>
  <c r="L553" i="5"/>
  <c r="L500" i="5"/>
  <c r="U429" i="5"/>
  <c r="L577" i="5"/>
  <c r="L579" i="5"/>
  <c r="L563" i="5"/>
  <c r="L547" i="5"/>
  <c r="L531" i="5"/>
  <c r="L515" i="5"/>
  <c r="L505" i="5"/>
  <c r="L497" i="5"/>
  <c r="L489" i="5"/>
  <c r="L441" i="5"/>
  <c r="L409" i="5"/>
  <c r="U392" i="5"/>
  <c r="Q444" i="5"/>
  <c r="Q428" i="5"/>
  <c r="Q412" i="5"/>
  <c r="Q396" i="5"/>
  <c r="Q380" i="5"/>
  <c r="L372" i="5"/>
  <c r="L359" i="5"/>
  <c r="L345" i="5"/>
  <c r="L250" i="5"/>
  <c r="Q436" i="5"/>
  <c r="Q420" i="5"/>
  <c r="Q404" i="5"/>
  <c r="Q388" i="5"/>
  <c r="L380" i="5"/>
  <c r="L190" i="5"/>
  <c r="L178" i="5"/>
  <c r="R138" i="5"/>
  <c r="U138" i="5"/>
  <c r="Q437" i="5"/>
  <c r="Q421" i="5"/>
  <c r="Q405" i="5"/>
  <c r="Q389" i="5"/>
  <c r="L365" i="5"/>
  <c r="Q332" i="5"/>
  <c r="L279" i="5"/>
  <c r="L191" i="5"/>
  <c r="Q422" i="5"/>
  <c r="Q406" i="5"/>
  <c r="Q390" i="5"/>
  <c r="L366" i="5"/>
  <c r="L235" i="5"/>
  <c r="Q439" i="5"/>
  <c r="Q423" i="5"/>
  <c r="Q407" i="5"/>
  <c r="Q391" i="5"/>
  <c r="L367" i="5"/>
  <c r="L236" i="5"/>
  <c r="L248" i="5"/>
  <c r="R156" i="5"/>
  <c r="U156" i="5"/>
  <c r="Q442" i="5"/>
  <c r="Q426" i="5"/>
  <c r="Q410" i="5"/>
  <c r="Q394" i="5"/>
  <c r="L343" i="5"/>
  <c r="L249" i="5"/>
  <c r="L264" i="5"/>
  <c r="L252" i="5"/>
  <c r="Q143" i="5"/>
  <c r="L136" i="5"/>
  <c r="L265" i="5"/>
  <c r="L204" i="5"/>
  <c r="L192" i="5"/>
  <c r="R116" i="5"/>
  <c r="U116" i="5"/>
  <c r="R123" i="5"/>
  <c r="U123" i="5"/>
  <c r="U110" i="5"/>
  <c r="R110" i="5"/>
  <c r="L351" i="5"/>
  <c r="L267" i="5"/>
  <c r="L206" i="5"/>
  <c r="L194" i="5"/>
  <c r="L142" i="5"/>
  <c r="L368" i="5"/>
  <c r="L352" i="5"/>
  <c r="L280" i="5"/>
  <c r="L268" i="5"/>
  <c r="L219" i="5"/>
  <c r="L207" i="5"/>
  <c r="L353" i="5"/>
  <c r="L281" i="5"/>
  <c r="L232" i="5"/>
  <c r="L220" i="5"/>
  <c r="L155" i="5"/>
  <c r="L370" i="5"/>
  <c r="L354" i="5"/>
  <c r="L338" i="5"/>
  <c r="L294" i="5"/>
  <c r="L233" i="5"/>
  <c r="L221" i="5"/>
  <c r="L208" i="5"/>
  <c r="R162" i="5"/>
  <c r="U162" i="5"/>
  <c r="R157" i="5"/>
  <c r="U157" i="5"/>
  <c r="L308" i="5"/>
  <c r="L292" i="5"/>
  <c r="L276" i="5"/>
  <c r="L260" i="5"/>
  <c r="L244" i="5"/>
  <c r="L202" i="5"/>
  <c r="L189" i="5"/>
  <c r="L175" i="5"/>
  <c r="U142" i="5"/>
  <c r="R142" i="5"/>
  <c r="L135" i="5"/>
  <c r="L108" i="5"/>
  <c r="L301" i="5"/>
  <c r="L285" i="5"/>
  <c r="L269" i="5"/>
  <c r="L253" i="5"/>
  <c r="L237" i="5"/>
  <c r="L223" i="5"/>
  <c r="L169" i="5"/>
  <c r="R164" i="5"/>
  <c r="U164" i="5"/>
  <c r="L156" i="5"/>
  <c r="R140" i="5"/>
  <c r="R124" i="5"/>
  <c r="U124" i="5"/>
  <c r="L302" i="5"/>
  <c r="L286" i="5"/>
  <c r="L270" i="5"/>
  <c r="L254" i="5"/>
  <c r="L238" i="5"/>
  <c r="L209" i="5"/>
  <c r="L170" i="5"/>
  <c r="U158" i="5"/>
  <c r="R158" i="5"/>
  <c r="L150" i="5"/>
  <c r="R146" i="5"/>
  <c r="U129" i="5"/>
  <c r="R129" i="5"/>
  <c r="Q84" i="5"/>
  <c r="L303" i="5"/>
  <c r="L287" i="5"/>
  <c r="L271" i="5"/>
  <c r="L255" i="5"/>
  <c r="L239" i="5"/>
  <c r="L224" i="5"/>
  <c r="L210" i="5"/>
  <c r="L171" i="5"/>
  <c r="R93" i="5"/>
  <c r="U93" i="5"/>
  <c r="L304" i="5"/>
  <c r="L288" i="5"/>
  <c r="L272" i="5"/>
  <c r="L256" i="5"/>
  <c r="L240" i="5"/>
  <c r="L185" i="5"/>
  <c r="L172" i="5"/>
  <c r="L151" i="5"/>
  <c r="L104" i="5"/>
  <c r="L173" i="5"/>
  <c r="R130" i="5"/>
  <c r="U130" i="5"/>
  <c r="R107" i="5"/>
  <c r="U107" i="5"/>
  <c r="L306" i="5"/>
  <c r="L290" i="5"/>
  <c r="L274" i="5"/>
  <c r="L258" i="5"/>
  <c r="L242" i="5"/>
  <c r="L226" i="5"/>
  <c r="L200" i="5"/>
  <c r="L187" i="5"/>
  <c r="L117" i="5"/>
  <c r="L110" i="5"/>
  <c r="L307" i="5"/>
  <c r="L291" i="5"/>
  <c r="L275" i="5"/>
  <c r="L259" i="5"/>
  <c r="L243" i="5"/>
  <c r="L201" i="5"/>
  <c r="L188" i="5"/>
  <c r="L174" i="5"/>
  <c r="L140" i="5"/>
  <c r="L134" i="5"/>
  <c r="Q126" i="5"/>
  <c r="L124" i="5"/>
  <c r="L123" i="5"/>
  <c r="L102" i="5"/>
  <c r="L87" i="5"/>
  <c r="R139" i="5"/>
  <c r="U139" i="5"/>
  <c r="R125" i="5"/>
  <c r="U125" i="5"/>
  <c r="L103" i="5"/>
  <c r="L88" i="5"/>
  <c r="L227" i="5"/>
  <c r="L211" i="5"/>
  <c r="L195" i="5"/>
  <c r="L179" i="5"/>
  <c r="L152" i="5"/>
  <c r="Q148" i="5"/>
  <c r="Q141" i="5"/>
  <c r="L118" i="5"/>
  <c r="L228" i="5"/>
  <c r="L212" i="5"/>
  <c r="L196" i="5"/>
  <c r="L180" i="5"/>
  <c r="L139" i="5"/>
  <c r="L119" i="5"/>
  <c r="L91" i="5"/>
  <c r="L229" i="5"/>
  <c r="L213" i="5"/>
  <c r="L197" i="5"/>
  <c r="L181" i="5"/>
  <c r="L158" i="5"/>
  <c r="R155" i="5"/>
  <c r="U155" i="5"/>
  <c r="R141" i="5"/>
  <c r="U141" i="5"/>
  <c r="L92" i="5"/>
  <c r="L230" i="5"/>
  <c r="L214" i="5"/>
  <c r="L198" i="5"/>
  <c r="L182" i="5"/>
  <c r="L166" i="5"/>
  <c r="L120" i="5"/>
  <c r="Q116" i="5"/>
  <c r="Q109" i="5"/>
  <c r="U94" i="5"/>
  <c r="R94" i="5"/>
  <c r="L163" i="5"/>
  <c r="L147" i="5"/>
  <c r="L131" i="5"/>
  <c r="L115" i="5"/>
  <c r="L99" i="5"/>
  <c r="L153" i="5"/>
  <c r="L137" i="5"/>
  <c r="L121" i="5"/>
  <c r="L105" i="5"/>
  <c r="L89" i="5"/>
  <c r="L154" i="5"/>
  <c r="U152" i="5"/>
  <c r="L138" i="5"/>
  <c r="U136" i="5"/>
  <c r="L122" i="5"/>
  <c r="L106" i="5"/>
  <c r="L93" i="5"/>
  <c r="L90" i="5"/>
  <c r="L157" i="5"/>
  <c r="L141" i="5"/>
  <c r="L125" i="5"/>
  <c r="L109" i="5"/>
  <c r="L96" i="5"/>
  <c r="L159" i="5"/>
  <c r="L143" i="5"/>
  <c r="L127" i="5"/>
  <c r="L111" i="5"/>
  <c r="L160" i="5"/>
  <c r="L144" i="5"/>
  <c r="L128" i="5"/>
  <c r="L112" i="5"/>
  <c r="L161" i="5"/>
  <c r="L145" i="5"/>
  <c r="L129" i="5"/>
  <c r="L113" i="5"/>
  <c r="L97" i="5"/>
  <c r="L162" i="5"/>
  <c r="L146" i="5"/>
  <c r="L130" i="5"/>
  <c r="L114" i="5"/>
  <c r="L98" i="5"/>
  <c r="U37" i="5"/>
  <c r="R20" i="5"/>
  <c r="R17" i="5" s="1"/>
  <c r="U49" i="5"/>
  <c r="R45" i="5"/>
  <c r="R46" i="5"/>
  <c r="L21" i="5"/>
  <c r="K17" i="5"/>
  <c r="L39" i="5"/>
  <c r="R44" i="5"/>
  <c r="Q54" i="5"/>
  <c r="L57" i="5"/>
  <c r="U22" i="5"/>
  <c r="Q62" i="5"/>
  <c r="U31" i="5"/>
  <c r="Q20" i="5"/>
  <c r="X20" i="5" s="1"/>
  <c r="M15" i="5"/>
  <c r="M16" i="5" s="1"/>
  <c r="L38" i="5"/>
  <c r="L51" i="5"/>
  <c r="N18" i="5"/>
  <c r="N19" i="5"/>
  <c r="Q30" i="5"/>
  <c r="L33" i="5"/>
  <c r="Q35" i="5"/>
  <c r="Q39" i="5"/>
  <c r="L56" i="5"/>
  <c r="Q57" i="5"/>
  <c r="L59" i="5"/>
  <c r="Q61" i="5"/>
  <c r="L64" i="5"/>
  <c r="R66" i="5"/>
  <c r="L53" i="5"/>
  <c r="H18" i="5"/>
  <c r="L25" i="5"/>
  <c r="U57" i="5"/>
  <c r="O18" i="5"/>
  <c r="L24" i="5"/>
  <c r="L27" i="5"/>
  <c r="U52" i="5"/>
  <c r="L55" i="5"/>
  <c r="L63" i="5"/>
  <c r="L68" i="5"/>
  <c r="U33" i="5"/>
  <c r="R24" i="5"/>
  <c r="P15" i="5"/>
  <c r="P16" i="5" s="1"/>
  <c r="L37" i="5"/>
  <c r="R42" i="5"/>
  <c r="L50" i="5"/>
  <c r="Q52" i="5"/>
  <c r="Q56" i="5"/>
  <c r="R60" i="5"/>
  <c r="U54" i="5"/>
  <c r="U34" i="5"/>
  <c r="L23" i="5"/>
  <c r="L31" i="5"/>
  <c r="L36" i="5"/>
  <c r="L45" i="5"/>
  <c r="P19" i="5"/>
  <c r="L32" i="5"/>
  <c r="U36" i="5"/>
  <c r="Q24" i="5"/>
  <c r="R28" i="5"/>
  <c r="Q38" i="5"/>
  <c r="L41" i="5"/>
  <c r="Q42" i="5"/>
  <c r="L44" i="5"/>
  <c r="R51" i="5"/>
  <c r="R55" i="5"/>
  <c r="L62" i="5"/>
  <c r="L67" i="5"/>
  <c r="U23" i="5"/>
  <c r="L30" i="5"/>
  <c r="Q46" i="5"/>
  <c r="L49" i="5"/>
  <c r="Q51" i="5"/>
  <c r="Q55" i="5"/>
  <c r="L22" i="5"/>
  <c r="R27" i="5"/>
  <c r="U32" i="5"/>
  <c r="Q33" i="5"/>
  <c r="L35" i="5"/>
  <c r="Q37" i="5"/>
  <c r="Q41" i="5"/>
  <c r="Q59" i="5"/>
  <c r="L61" i="5"/>
  <c r="R68" i="5"/>
  <c r="X18" i="6"/>
  <c r="X17" i="6"/>
  <c r="W17" i="6"/>
  <c r="W18" i="6"/>
  <c r="W19" i="6"/>
  <c r="W15" i="6"/>
  <c r="W16" i="6" s="1"/>
  <c r="V17" i="6"/>
  <c r="V15" i="6"/>
  <c r="V16" i="6" s="1"/>
  <c r="V19" i="6"/>
  <c r="V18" i="6"/>
  <c r="Q18" i="6"/>
  <c r="Q15" i="6"/>
  <c r="Q16" i="6" s="1"/>
  <c r="Q19" i="6"/>
  <c r="J17" i="6"/>
  <c r="T15" i="6"/>
  <c r="T16" i="6" s="1"/>
  <c r="S19" i="6"/>
  <c r="N17" i="6"/>
  <c r="T19" i="6"/>
  <c r="R25" i="6"/>
  <c r="R33" i="6"/>
  <c r="R37" i="6"/>
  <c r="R41" i="6"/>
  <c r="R45" i="6"/>
  <c r="AH50" i="6"/>
  <c r="R56" i="6"/>
  <c r="R60" i="6"/>
  <c r="R64" i="6"/>
  <c r="R68" i="6"/>
  <c r="I17" i="6"/>
  <c r="L20" i="6"/>
  <c r="H15" i="6"/>
  <c r="H16" i="6" s="1"/>
  <c r="X15" i="6"/>
  <c r="X16" i="6" s="1"/>
  <c r="I18" i="6"/>
  <c r="R29" i="6"/>
  <c r="O17" i="6"/>
  <c r="J18" i="6"/>
  <c r="AI48" i="6"/>
  <c r="AI50" i="6"/>
  <c r="AI52" i="6"/>
  <c r="T18" i="6"/>
  <c r="Q24" i="6"/>
  <c r="Q17" i="6" s="1"/>
  <c r="P19" i="6"/>
  <c r="AQ48" i="6"/>
  <c r="AQ50" i="6"/>
  <c r="M17" i="6"/>
  <c r="L21" i="6"/>
  <c r="M18" i="6"/>
  <c r="H19" i="6"/>
  <c r="X19" i="6"/>
  <c r="R26" i="6"/>
  <c r="R30" i="6"/>
  <c r="R34" i="6"/>
  <c r="R38" i="6"/>
  <c r="R42" i="6"/>
  <c r="R46" i="6"/>
  <c r="R49" i="6"/>
  <c r="R51" i="6"/>
  <c r="R53" i="6"/>
  <c r="R57" i="6"/>
  <c r="R61" i="6"/>
  <c r="R65" i="6"/>
  <c r="R69" i="6"/>
  <c r="F15" i="6"/>
  <c r="F16" i="6" s="1"/>
  <c r="G18" i="6"/>
  <c r="G15" i="6"/>
  <c r="G16" i="6" s="1"/>
  <c r="K15" i="6"/>
  <c r="K16" i="6" s="1"/>
  <c r="R20" i="6"/>
  <c r="AR50" i="6"/>
  <c r="M15" i="6"/>
  <c r="M16" i="6" s="1"/>
  <c r="N18" i="6"/>
  <c r="I19" i="6"/>
  <c r="K17" i="6"/>
  <c r="U25" i="6"/>
  <c r="U18" i="6" s="1"/>
  <c r="N15" i="6"/>
  <c r="N16" i="6" s="1"/>
  <c r="O15" i="6"/>
  <c r="O16" i="6" s="1"/>
  <c r="P18" i="6"/>
  <c r="U28" i="5"/>
  <c r="U41" i="5"/>
  <c r="U40" i="5"/>
  <c r="U38" i="5"/>
  <c r="U43" i="5"/>
  <c r="U44" i="5"/>
  <c r="R21" i="5"/>
  <c r="R53" i="5"/>
  <c r="U50" i="5"/>
  <c r="U67" i="5"/>
  <c r="U27" i="5"/>
  <c r="H15" i="5"/>
  <c r="H16" i="5" s="1"/>
  <c r="R39" i="5"/>
  <c r="Q21" i="5"/>
  <c r="U25" i="5"/>
  <c r="N17" i="5"/>
  <c r="R59" i="5"/>
  <c r="U42" i="5"/>
  <c r="O19" i="5"/>
  <c r="R23" i="5"/>
  <c r="T15" i="5"/>
  <c r="T16" i="5" s="1"/>
  <c r="U35" i="5"/>
  <c r="U60" i="5"/>
  <c r="U26" i="5"/>
  <c r="P17" i="5"/>
  <c r="F15" i="5"/>
  <c r="F16" i="5" s="1"/>
  <c r="U61" i="5"/>
  <c r="M18" i="5"/>
  <c r="U58" i="5"/>
  <c r="K18" i="5"/>
  <c r="N15" i="5"/>
  <c r="N16" i="5" s="1"/>
  <c r="F17" i="5"/>
  <c r="I18" i="5"/>
  <c r="T17" i="5"/>
  <c r="U30" i="5"/>
  <c r="U55" i="5"/>
  <c r="M17" i="5"/>
  <c r="U29" i="5"/>
  <c r="H17" i="5"/>
  <c r="O15" i="5"/>
  <c r="O16" i="5" s="1"/>
  <c r="U24" i="5"/>
  <c r="U19" i="5" s="1"/>
  <c r="U56" i="5"/>
  <c r="S17" i="5"/>
  <c r="T19" i="5"/>
  <c r="S18" i="5"/>
  <c r="S15" i="5"/>
  <c r="S16" i="5" s="1"/>
  <c r="M19" i="5"/>
  <c r="I17" i="5"/>
  <c r="I15" i="5"/>
  <c r="I16" i="5" s="1"/>
  <c r="G17" i="5"/>
  <c r="G18" i="5"/>
  <c r="G15" i="5"/>
  <c r="G16" i="5" s="1"/>
  <c r="G19" i="5"/>
  <c r="J18" i="5"/>
  <c r="J17" i="5"/>
  <c r="J15" i="5"/>
  <c r="J16" i="5" s="1"/>
  <c r="K15" i="5"/>
  <c r="K16" i="5" s="1"/>
  <c r="K19" i="5"/>
  <c r="F19" i="5"/>
  <c r="L20" i="5"/>
  <c r="L18" i="5" s="1"/>
  <c r="F18" i="5"/>
  <c r="W15" i="5"/>
  <c r="W16" i="5" s="1"/>
  <c r="W17" i="5"/>
  <c r="AR50" i="5"/>
  <c r="J19" i="5"/>
  <c r="H19" i="5"/>
  <c r="AR49" i="5"/>
  <c r="I19" i="5"/>
  <c r="AR48" i="5"/>
  <c r="AQ49" i="5"/>
  <c r="W19" i="5"/>
  <c r="AH48" i="5"/>
  <c r="AH52" i="5"/>
  <c r="AI48" i="5"/>
  <c r="AQ48" i="5"/>
  <c r="AI50" i="5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45" i="3"/>
  <c r="Q36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U219" i="3"/>
  <c r="R219" i="3"/>
  <c r="Q219" i="3"/>
  <c r="U218" i="3"/>
  <c r="R218" i="3"/>
  <c r="Q218" i="3"/>
  <c r="U217" i="3"/>
  <c r="R217" i="3"/>
  <c r="Q217" i="3"/>
  <c r="U216" i="3"/>
  <c r="R216" i="3"/>
  <c r="Q216" i="3"/>
  <c r="U215" i="3"/>
  <c r="R215" i="3"/>
  <c r="Q215" i="3"/>
  <c r="U214" i="3"/>
  <c r="R214" i="3"/>
  <c r="Q214" i="3"/>
  <c r="U213" i="3"/>
  <c r="R213" i="3"/>
  <c r="Q213" i="3"/>
  <c r="U212" i="3"/>
  <c r="R212" i="3"/>
  <c r="Q212" i="3"/>
  <c r="U211" i="3"/>
  <c r="R211" i="3"/>
  <c r="Q211" i="3"/>
  <c r="U210" i="3"/>
  <c r="R210" i="3"/>
  <c r="Q210" i="3"/>
  <c r="U209" i="3"/>
  <c r="R209" i="3"/>
  <c r="Q209" i="3"/>
  <c r="U208" i="3"/>
  <c r="R208" i="3"/>
  <c r="Q208" i="3"/>
  <c r="U207" i="3"/>
  <c r="R207" i="3"/>
  <c r="Q207" i="3"/>
  <c r="U206" i="3"/>
  <c r="R206" i="3"/>
  <c r="Q206" i="3"/>
  <c r="U205" i="3"/>
  <c r="R205" i="3"/>
  <c r="Q205" i="3"/>
  <c r="U204" i="3"/>
  <c r="R204" i="3"/>
  <c r="Q204" i="3"/>
  <c r="U203" i="3"/>
  <c r="R203" i="3"/>
  <c r="Q203" i="3"/>
  <c r="U202" i="3"/>
  <c r="R202" i="3"/>
  <c r="Q202" i="3"/>
  <c r="U201" i="3"/>
  <c r="R201" i="3"/>
  <c r="Q201" i="3"/>
  <c r="U200" i="3"/>
  <c r="R200" i="3"/>
  <c r="Q200" i="3"/>
  <c r="U199" i="3"/>
  <c r="R199" i="3"/>
  <c r="Q199" i="3"/>
  <c r="U198" i="3"/>
  <c r="R198" i="3"/>
  <c r="Q198" i="3"/>
  <c r="U197" i="3"/>
  <c r="R197" i="3"/>
  <c r="Q197" i="3"/>
  <c r="U196" i="3"/>
  <c r="R196" i="3"/>
  <c r="Q196" i="3"/>
  <c r="U195" i="3"/>
  <c r="R195" i="3"/>
  <c r="Q195" i="3"/>
  <c r="U194" i="3"/>
  <c r="R194" i="3"/>
  <c r="Q194" i="3"/>
  <c r="U193" i="3"/>
  <c r="R193" i="3"/>
  <c r="Q193" i="3"/>
  <c r="U192" i="3"/>
  <c r="R192" i="3"/>
  <c r="Q192" i="3"/>
  <c r="U191" i="3"/>
  <c r="R191" i="3"/>
  <c r="Q191" i="3"/>
  <c r="U190" i="3"/>
  <c r="R190" i="3"/>
  <c r="Q190" i="3"/>
  <c r="U189" i="3"/>
  <c r="R189" i="3"/>
  <c r="Q189" i="3"/>
  <c r="U188" i="3"/>
  <c r="R188" i="3"/>
  <c r="Q188" i="3"/>
  <c r="U187" i="3"/>
  <c r="R187" i="3"/>
  <c r="Q187" i="3"/>
  <c r="U186" i="3"/>
  <c r="R186" i="3"/>
  <c r="Q186" i="3"/>
  <c r="U185" i="3"/>
  <c r="R185" i="3"/>
  <c r="Q185" i="3"/>
  <c r="U184" i="3"/>
  <c r="R184" i="3"/>
  <c r="Q184" i="3"/>
  <c r="U183" i="3"/>
  <c r="R183" i="3"/>
  <c r="Q183" i="3"/>
  <c r="U182" i="3"/>
  <c r="R182" i="3"/>
  <c r="Q182" i="3"/>
  <c r="U181" i="3"/>
  <c r="R181" i="3"/>
  <c r="Q181" i="3"/>
  <c r="U180" i="3"/>
  <c r="R180" i="3"/>
  <c r="Q180" i="3"/>
  <c r="U179" i="3"/>
  <c r="R179" i="3"/>
  <c r="Q179" i="3"/>
  <c r="U178" i="3"/>
  <c r="R178" i="3"/>
  <c r="Q178" i="3"/>
  <c r="U177" i="3"/>
  <c r="R177" i="3"/>
  <c r="Q177" i="3"/>
  <c r="U176" i="3"/>
  <c r="R176" i="3"/>
  <c r="Q176" i="3"/>
  <c r="U175" i="3"/>
  <c r="R175" i="3"/>
  <c r="Q175" i="3"/>
  <c r="U174" i="3"/>
  <c r="R174" i="3"/>
  <c r="Q174" i="3"/>
  <c r="U173" i="3"/>
  <c r="R173" i="3"/>
  <c r="Q173" i="3"/>
  <c r="U172" i="3"/>
  <c r="R172" i="3"/>
  <c r="Q172" i="3"/>
  <c r="U171" i="3"/>
  <c r="R171" i="3"/>
  <c r="Q171" i="3"/>
  <c r="U170" i="3"/>
  <c r="R170" i="3"/>
  <c r="Q170" i="3"/>
  <c r="U169" i="3"/>
  <c r="R169" i="3"/>
  <c r="Q169" i="3"/>
  <c r="U168" i="3"/>
  <c r="R168" i="3"/>
  <c r="Q168" i="3"/>
  <c r="U167" i="3"/>
  <c r="R167" i="3"/>
  <c r="Q167" i="3"/>
  <c r="U166" i="3"/>
  <c r="R166" i="3"/>
  <c r="Q166" i="3"/>
  <c r="U165" i="3"/>
  <c r="R165" i="3"/>
  <c r="Q165" i="3"/>
  <c r="U164" i="3"/>
  <c r="R164" i="3"/>
  <c r="Q164" i="3"/>
  <c r="U163" i="3"/>
  <c r="R163" i="3"/>
  <c r="Q163" i="3"/>
  <c r="U162" i="3"/>
  <c r="R162" i="3"/>
  <c r="Q162" i="3"/>
  <c r="U161" i="3"/>
  <c r="R161" i="3"/>
  <c r="Q161" i="3"/>
  <c r="U160" i="3"/>
  <c r="R160" i="3"/>
  <c r="Q160" i="3"/>
  <c r="U159" i="3"/>
  <c r="R159" i="3"/>
  <c r="Q159" i="3"/>
  <c r="U158" i="3"/>
  <c r="R158" i="3"/>
  <c r="Q158" i="3"/>
  <c r="U157" i="3"/>
  <c r="R157" i="3"/>
  <c r="Q157" i="3"/>
  <c r="U156" i="3"/>
  <c r="R156" i="3"/>
  <c r="Q156" i="3"/>
  <c r="U155" i="3"/>
  <c r="R155" i="3"/>
  <c r="Q155" i="3"/>
  <c r="U154" i="3"/>
  <c r="R154" i="3"/>
  <c r="Q154" i="3"/>
  <c r="U153" i="3"/>
  <c r="R153" i="3"/>
  <c r="Q153" i="3"/>
  <c r="U152" i="3"/>
  <c r="R152" i="3"/>
  <c r="Q152" i="3"/>
  <c r="U151" i="3"/>
  <c r="R151" i="3"/>
  <c r="Q151" i="3"/>
  <c r="U150" i="3"/>
  <c r="R150" i="3"/>
  <c r="Q150" i="3"/>
  <c r="U149" i="3"/>
  <c r="R149" i="3"/>
  <c r="Q149" i="3"/>
  <c r="U148" i="3"/>
  <c r="R148" i="3"/>
  <c r="Q148" i="3"/>
  <c r="U147" i="3"/>
  <c r="R147" i="3"/>
  <c r="Q147" i="3"/>
  <c r="U146" i="3"/>
  <c r="R146" i="3"/>
  <c r="Q146" i="3"/>
  <c r="U145" i="3"/>
  <c r="R145" i="3"/>
  <c r="Q145" i="3"/>
  <c r="U144" i="3"/>
  <c r="R144" i="3"/>
  <c r="Q144" i="3"/>
  <c r="U143" i="3"/>
  <c r="R143" i="3"/>
  <c r="Q143" i="3"/>
  <c r="U142" i="3"/>
  <c r="R142" i="3"/>
  <c r="Q142" i="3"/>
  <c r="U141" i="3"/>
  <c r="R141" i="3"/>
  <c r="Q141" i="3"/>
  <c r="U140" i="3"/>
  <c r="R140" i="3"/>
  <c r="Q140" i="3"/>
  <c r="U139" i="3"/>
  <c r="R139" i="3"/>
  <c r="Q139" i="3"/>
  <c r="U138" i="3"/>
  <c r="R138" i="3"/>
  <c r="Q138" i="3"/>
  <c r="U137" i="3"/>
  <c r="R137" i="3"/>
  <c r="Q137" i="3"/>
  <c r="U136" i="3"/>
  <c r="R136" i="3"/>
  <c r="Q136" i="3"/>
  <c r="U135" i="3"/>
  <c r="R135" i="3"/>
  <c r="Q135" i="3"/>
  <c r="U134" i="3"/>
  <c r="R134" i="3"/>
  <c r="Q134" i="3"/>
  <c r="U133" i="3"/>
  <c r="R133" i="3"/>
  <c r="Q133" i="3"/>
  <c r="U132" i="3"/>
  <c r="R132" i="3"/>
  <c r="Q132" i="3"/>
  <c r="U131" i="3"/>
  <c r="R131" i="3"/>
  <c r="Q131" i="3"/>
  <c r="U130" i="3"/>
  <c r="R130" i="3"/>
  <c r="Q130" i="3"/>
  <c r="U129" i="3"/>
  <c r="R129" i="3"/>
  <c r="Q129" i="3"/>
  <c r="U128" i="3"/>
  <c r="R128" i="3"/>
  <c r="Q128" i="3"/>
  <c r="U127" i="3"/>
  <c r="R127" i="3"/>
  <c r="Q127" i="3"/>
  <c r="U126" i="3"/>
  <c r="R126" i="3"/>
  <c r="Q126" i="3"/>
  <c r="U125" i="3"/>
  <c r="R125" i="3"/>
  <c r="Q125" i="3"/>
  <c r="U124" i="3"/>
  <c r="R124" i="3"/>
  <c r="Q124" i="3"/>
  <c r="U123" i="3"/>
  <c r="R123" i="3"/>
  <c r="Q123" i="3"/>
  <c r="U122" i="3"/>
  <c r="R122" i="3"/>
  <c r="Q122" i="3"/>
  <c r="U121" i="3"/>
  <c r="R121" i="3"/>
  <c r="Q121" i="3"/>
  <c r="U120" i="3"/>
  <c r="R120" i="3"/>
  <c r="Q120" i="3"/>
  <c r="U119" i="3"/>
  <c r="R119" i="3"/>
  <c r="Q119" i="3"/>
  <c r="U118" i="3"/>
  <c r="R118" i="3"/>
  <c r="Q118" i="3"/>
  <c r="U117" i="3"/>
  <c r="R117" i="3"/>
  <c r="Q117" i="3"/>
  <c r="U116" i="3"/>
  <c r="R116" i="3"/>
  <c r="Q116" i="3"/>
  <c r="U115" i="3"/>
  <c r="R115" i="3"/>
  <c r="Q115" i="3"/>
  <c r="U114" i="3"/>
  <c r="R114" i="3"/>
  <c r="Q114" i="3"/>
  <c r="U113" i="3"/>
  <c r="R113" i="3"/>
  <c r="Q113" i="3"/>
  <c r="U112" i="3"/>
  <c r="R112" i="3"/>
  <c r="Q112" i="3"/>
  <c r="U111" i="3"/>
  <c r="R111" i="3"/>
  <c r="Q111" i="3"/>
  <c r="U110" i="3"/>
  <c r="R110" i="3"/>
  <c r="Q110" i="3"/>
  <c r="U109" i="3"/>
  <c r="R109" i="3"/>
  <c r="Q109" i="3"/>
  <c r="U108" i="3"/>
  <c r="R108" i="3"/>
  <c r="Q108" i="3"/>
  <c r="U107" i="3"/>
  <c r="R107" i="3"/>
  <c r="Q107" i="3"/>
  <c r="U106" i="3"/>
  <c r="R106" i="3"/>
  <c r="Q106" i="3"/>
  <c r="U105" i="3"/>
  <c r="R105" i="3"/>
  <c r="Q105" i="3"/>
  <c r="U104" i="3"/>
  <c r="R104" i="3"/>
  <c r="Q104" i="3"/>
  <c r="U103" i="3"/>
  <c r="R103" i="3"/>
  <c r="Q103" i="3"/>
  <c r="U102" i="3"/>
  <c r="R102" i="3"/>
  <c r="Q102" i="3"/>
  <c r="U101" i="3"/>
  <c r="R101" i="3"/>
  <c r="Q101" i="3"/>
  <c r="U100" i="3"/>
  <c r="R100" i="3"/>
  <c r="Q100" i="3"/>
  <c r="U99" i="3"/>
  <c r="R99" i="3"/>
  <c r="Q99" i="3"/>
  <c r="U98" i="3"/>
  <c r="R98" i="3"/>
  <c r="Q98" i="3"/>
  <c r="U97" i="3"/>
  <c r="R97" i="3"/>
  <c r="Q97" i="3"/>
  <c r="U96" i="3"/>
  <c r="R96" i="3"/>
  <c r="Q96" i="3"/>
  <c r="U95" i="3"/>
  <c r="R95" i="3"/>
  <c r="Q95" i="3"/>
  <c r="U94" i="3"/>
  <c r="R94" i="3"/>
  <c r="Q94" i="3"/>
  <c r="U93" i="3"/>
  <c r="R93" i="3"/>
  <c r="Q93" i="3"/>
  <c r="U92" i="3"/>
  <c r="R92" i="3"/>
  <c r="Q92" i="3"/>
  <c r="U91" i="3"/>
  <c r="R91" i="3"/>
  <c r="Q91" i="3"/>
  <c r="U90" i="3"/>
  <c r="R90" i="3"/>
  <c r="Q90" i="3"/>
  <c r="U89" i="3"/>
  <c r="R89" i="3"/>
  <c r="Q89" i="3"/>
  <c r="U88" i="3"/>
  <c r="R88" i="3"/>
  <c r="Q88" i="3"/>
  <c r="U87" i="3"/>
  <c r="R87" i="3"/>
  <c r="Q87" i="3"/>
  <c r="U86" i="3"/>
  <c r="R86" i="3"/>
  <c r="Q86" i="3"/>
  <c r="U85" i="3"/>
  <c r="R85" i="3"/>
  <c r="Q85" i="3"/>
  <c r="U84" i="3"/>
  <c r="R84" i="3"/>
  <c r="Q84" i="3"/>
  <c r="U83" i="3"/>
  <c r="R83" i="3"/>
  <c r="Q83" i="3"/>
  <c r="U82" i="3"/>
  <c r="R82" i="3"/>
  <c r="Q82" i="3"/>
  <c r="U81" i="3"/>
  <c r="R81" i="3"/>
  <c r="Q81" i="3"/>
  <c r="U80" i="3"/>
  <c r="R80" i="3"/>
  <c r="Q80" i="3"/>
  <c r="U79" i="3"/>
  <c r="R79" i="3"/>
  <c r="Q79" i="3"/>
  <c r="U78" i="3"/>
  <c r="R78" i="3"/>
  <c r="Q78" i="3"/>
  <c r="U77" i="3"/>
  <c r="R77" i="3"/>
  <c r="Q77" i="3"/>
  <c r="U76" i="3"/>
  <c r="R76" i="3"/>
  <c r="Q76" i="3"/>
  <c r="U75" i="3"/>
  <c r="R75" i="3"/>
  <c r="Q75" i="3"/>
  <c r="U74" i="3"/>
  <c r="R74" i="3"/>
  <c r="Q74" i="3"/>
  <c r="U73" i="3"/>
  <c r="R73" i="3"/>
  <c r="Q73" i="3"/>
  <c r="U72" i="3"/>
  <c r="R72" i="3"/>
  <c r="Q72" i="3"/>
  <c r="U71" i="3"/>
  <c r="R71" i="3"/>
  <c r="Q71" i="3"/>
  <c r="U70" i="3"/>
  <c r="R70" i="3"/>
  <c r="Q70" i="3"/>
  <c r="U69" i="3"/>
  <c r="R69" i="3"/>
  <c r="Q69" i="3"/>
  <c r="U68" i="3"/>
  <c r="R68" i="3"/>
  <c r="Q68" i="3"/>
  <c r="U67" i="3"/>
  <c r="R67" i="3"/>
  <c r="Q67" i="3"/>
  <c r="U66" i="3"/>
  <c r="R66" i="3"/>
  <c r="Q66" i="3"/>
  <c r="U65" i="3"/>
  <c r="R65" i="3"/>
  <c r="Q65" i="3"/>
  <c r="U64" i="3"/>
  <c r="R64" i="3"/>
  <c r="Q64" i="3"/>
  <c r="U63" i="3"/>
  <c r="R63" i="3"/>
  <c r="Q63" i="3"/>
  <c r="U62" i="3"/>
  <c r="R62" i="3"/>
  <c r="Q62" i="3"/>
  <c r="U61" i="3"/>
  <c r="R61" i="3"/>
  <c r="Q61" i="3"/>
  <c r="U60" i="3"/>
  <c r="R60" i="3"/>
  <c r="Q60" i="3"/>
  <c r="U59" i="3"/>
  <c r="R59" i="3"/>
  <c r="Q59" i="3"/>
  <c r="U58" i="3"/>
  <c r="R58" i="3"/>
  <c r="Q58" i="3"/>
  <c r="U57" i="3"/>
  <c r="R57" i="3"/>
  <c r="Q57" i="3"/>
  <c r="U56" i="3"/>
  <c r="R56" i="3"/>
  <c r="Q56" i="3"/>
  <c r="U55" i="3"/>
  <c r="R55" i="3"/>
  <c r="Q55" i="3"/>
  <c r="U54" i="3"/>
  <c r="R54" i="3"/>
  <c r="Q54" i="3"/>
  <c r="U53" i="3"/>
  <c r="R53" i="3"/>
  <c r="Q53" i="3"/>
  <c r="U52" i="3"/>
  <c r="R52" i="3"/>
  <c r="Q52" i="3"/>
  <c r="U51" i="3"/>
  <c r="R51" i="3"/>
  <c r="Q51" i="3"/>
  <c r="U50" i="3"/>
  <c r="R50" i="3"/>
  <c r="Q50" i="3"/>
  <c r="U49" i="3"/>
  <c r="R49" i="3"/>
  <c r="Q49" i="3"/>
  <c r="U48" i="3"/>
  <c r="R48" i="3"/>
  <c r="Q48" i="3"/>
  <c r="U47" i="3"/>
  <c r="R47" i="3"/>
  <c r="Q47" i="3"/>
  <c r="U46" i="3"/>
  <c r="R46" i="3"/>
  <c r="Q46" i="3"/>
  <c r="U45" i="3"/>
  <c r="R45" i="3"/>
  <c r="Q45" i="3"/>
  <c r="U44" i="3"/>
  <c r="R44" i="3"/>
  <c r="Q44" i="3"/>
  <c r="U43" i="3"/>
  <c r="R43" i="3"/>
  <c r="Q43" i="3"/>
  <c r="U42" i="3"/>
  <c r="R42" i="3"/>
  <c r="Q42" i="3"/>
  <c r="U41" i="3"/>
  <c r="R41" i="3"/>
  <c r="Q41" i="3"/>
  <c r="U40" i="3"/>
  <c r="R40" i="3"/>
  <c r="Q40" i="3"/>
  <c r="U39" i="3"/>
  <c r="R39" i="3"/>
  <c r="Q39" i="3"/>
  <c r="U38" i="3"/>
  <c r="R38" i="3"/>
  <c r="Q38" i="3"/>
  <c r="U37" i="3"/>
  <c r="R37" i="3"/>
  <c r="Q37" i="3"/>
  <c r="U36" i="3"/>
  <c r="R36" i="3"/>
  <c r="U35" i="3"/>
  <c r="R35" i="3"/>
  <c r="Q35" i="3"/>
  <c r="U34" i="3"/>
  <c r="R34" i="3"/>
  <c r="Q34" i="3"/>
  <c r="U33" i="3"/>
  <c r="R33" i="3"/>
  <c r="Q33" i="3"/>
  <c r="U32" i="3"/>
  <c r="R32" i="3"/>
  <c r="Q32" i="3"/>
  <c r="U31" i="3"/>
  <c r="R31" i="3"/>
  <c r="Q31" i="3"/>
  <c r="U30" i="3"/>
  <c r="R30" i="3"/>
  <c r="Q30" i="3"/>
  <c r="U29" i="3"/>
  <c r="R29" i="3"/>
  <c r="Q29" i="3"/>
  <c r="U28" i="3"/>
  <c r="R28" i="3"/>
  <c r="Q28" i="3"/>
  <c r="U27" i="3"/>
  <c r="R27" i="3"/>
  <c r="Q27" i="3"/>
  <c r="U26" i="3"/>
  <c r="R26" i="3"/>
  <c r="Q26" i="3"/>
  <c r="U25" i="3"/>
  <c r="R25" i="3"/>
  <c r="Q25" i="3"/>
  <c r="U24" i="3"/>
  <c r="R24" i="3"/>
  <c r="Q24" i="3"/>
  <c r="U23" i="3"/>
  <c r="R23" i="3"/>
  <c r="Q23" i="3"/>
  <c r="U22" i="3"/>
  <c r="R22" i="3"/>
  <c r="Q22" i="3"/>
  <c r="U21" i="3"/>
  <c r="R21" i="3"/>
  <c r="Q21" i="3"/>
  <c r="U20" i="3"/>
  <c r="BB96" i="3"/>
  <c r="BA96" i="3"/>
  <c r="AZ96" i="3"/>
  <c r="AY96" i="3"/>
  <c r="BB95" i="3"/>
  <c r="BA95" i="3"/>
  <c r="AZ95" i="3"/>
  <c r="AY95" i="3"/>
  <c r="BB94" i="3"/>
  <c r="BA94" i="3"/>
  <c r="AZ94" i="3"/>
  <c r="AY94" i="3"/>
  <c r="BB93" i="3"/>
  <c r="BA93" i="3"/>
  <c r="AZ93" i="3"/>
  <c r="AY93" i="3"/>
  <c r="BB92" i="3"/>
  <c r="BA92" i="3"/>
  <c r="AZ92" i="3"/>
  <c r="AY92" i="3"/>
  <c r="BB91" i="3"/>
  <c r="BA91" i="3"/>
  <c r="AZ91" i="3"/>
  <c r="AY91" i="3"/>
  <c r="BB90" i="3"/>
  <c r="BA90" i="3"/>
  <c r="AZ90" i="3"/>
  <c r="AY90" i="3"/>
  <c r="BB89" i="3"/>
  <c r="BA89" i="3"/>
  <c r="AZ89" i="3"/>
  <c r="AY89" i="3"/>
  <c r="BB88" i="3"/>
  <c r="BA88" i="3"/>
  <c r="AZ88" i="3"/>
  <c r="AY88" i="3"/>
  <c r="BB87" i="3"/>
  <c r="BA87" i="3"/>
  <c r="AZ87" i="3"/>
  <c r="AY87" i="3"/>
  <c r="BB86" i="3"/>
  <c r="BA86" i="3"/>
  <c r="AZ86" i="3"/>
  <c r="AY86" i="3"/>
  <c r="BB85" i="3"/>
  <c r="BA85" i="3"/>
  <c r="AZ85" i="3"/>
  <c r="AY85" i="3"/>
  <c r="BB84" i="3"/>
  <c r="BA84" i="3"/>
  <c r="AZ84" i="3"/>
  <c r="AY84" i="3"/>
  <c r="BB83" i="3"/>
  <c r="BA83" i="3"/>
  <c r="AZ83" i="3"/>
  <c r="AY83" i="3"/>
  <c r="BB82" i="3"/>
  <c r="BA82" i="3"/>
  <c r="AZ82" i="3"/>
  <c r="AY82" i="3"/>
  <c r="BB81" i="3"/>
  <c r="BA81" i="3"/>
  <c r="AZ81" i="3"/>
  <c r="AY81" i="3"/>
  <c r="BB80" i="3"/>
  <c r="BA80" i="3"/>
  <c r="AZ80" i="3"/>
  <c r="AY80" i="3"/>
  <c r="BB79" i="3"/>
  <c r="BA79" i="3"/>
  <c r="AZ79" i="3"/>
  <c r="AY79" i="3"/>
  <c r="BB78" i="3"/>
  <c r="BA78" i="3"/>
  <c r="AZ78" i="3"/>
  <c r="AY78" i="3"/>
  <c r="BB77" i="3"/>
  <c r="BA77" i="3"/>
  <c r="AZ77" i="3"/>
  <c r="AY77" i="3"/>
  <c r="BB76" i="3"/>
  <c r="BA76" i="3"/>
  <c r="AZ76" i="3"/>
  <c r="AY76" i="3"/>
  <c r="BB75" i="3"/>
  <c r="BA75" i="3"/>
  <c r="AZ75" i="3"/>
  <c r="AY75" i="3"/>
  <c r="BB74" i="3"/>
  <c r="BA74" i="3"/>
  <c r="AZ74" i="3"/>
  <c r="AY74" i="3"/>
  <c r="BB73" i="3"/>
  <c r="BA73" i="3"/>
  <c r="AZ73" i="3"/>
  <c r="AY73" i="3"/>
  <c r="BB72" i="3"/>
  <c r="BA72" i="3"/>
  <c r="AZ72" i="3"/>
  <c r="AY72" i="3"/>
  <c r="BB71" i="3"/>
  <c r="BA71" i="3"/>
  <c r="AZ71" i="3"/>
  <c r="AY71" i="3"/>
  <c r="BB70" i="3"/>
  <c r="BA70" i="3"/>
  <c r="AZ70" i="3"/>
  <c r="AY70" i="3"/>
  <c r="BB69" i="3"/>
  <c r="BA69" i="3"/>
  <c r="AZ69" i="3"/>
  <c r="AY69" i="3"/>
  <c r="BB68" i="3"/>
  <c r="BA68" i="3"/>
  <c r="AZ68" i="3"/>
  <c r="AY68" i="3"/>
  <c r="BB67" i="3"/>
  <c r="BA67" i="3"/>
  <c r="AZ67" i="3"/>
  <c r="AY67" i="3"/>
  <c r="BB66" i="3"/>
  <c r="BA66" i="3"/>
  <c r="AZ66" i="3"/>
  <c r="AY66" i="3"/>
  <c r="BB65" i="3"/>
  <c r="BA65" i="3"/>
  <c r="AZ65" i="3"/>
  <c r="AY65" i="3"/>
  <c r="BB64" i="3"/>
  <c r="BA64" i="3"/>
  <c r="AZ64" i="3"/>
  <c r="AY64" i="3"/>
  <c r="BB63" i="3"/>
  <c r="BA63" i="3"/>
  <c r="AZ63" i="3"/>
  <c r="AY63" i="3"/>
  <c r="BB62" i="3"/>
  <c r="BA62" i="3"/>
  <c r="AZ62" i="3"/>
  <c r="AY62" i="3"/>
  <c r="BB61" i="3"/>
  <c r="BA61" i="3"/>
  <c r="AZ61" i="3"/>
  <c r="AY61" i="3"/>
  <c r="BB60" i="3"/>
  <c r="BA60" i="3"/>
  <c r="AZ60" i="3"/>
  <c r="AY60" i="3"/>
  <c r="BB59" i="3"/>
  <c r="BA59" i="3"/>
  <c r="AZ59" i="3"/>
  <c r="AY59" i="3"/>
  <c r="BB58" i="3"/>
  <c r="BA58" i="3"/>
  <c r="AZ58" i="3"/>
  <c r="AY58" i="3"/>
  <c r="BB57" i="3"/>
  <c r="BA57" i="3"/>
  <c r="AZ57" i="3"/>
  <c r="AY57" i="3"/>
  <c r="BB56" i="3"/>
  <c r="BA56" i="3"/>
  <c r="AZ56" i="3"/>
  <c r="AY56" i="3"/>
  <c r="BB55" i="3"/>
  <c r="BA55" i="3"/>
  <c r="AZ55" i="3"/>
  <c r="AY55" i="3"/>
  <c r="BB54" i="3"/>
  <c r="BA54" i="3"/>
  <c r="AZ54" i="3"/>
  <c r="AY54" i="3"/>
  <c r="BB53" i="3"/>
  <c r="BA53" i="3"/>
  <c r="AZ53" i="3"/>
  <c r="AY53" i="3"/>
  <c r="BB52" i="3"/>
  <c r="BA52" i="3"/>
  <c r="AZ52" i="3"/>
  <c r="AY52" i="3"/>
  <c r="BB51" i="3"/>
  <c r="BA51" i="3"/>
  <c r="AZ51" i="3"/>
  <c r="AY51" i="3"/>
  <c r="BB50" i="3"/>
  <c r="BA50" i="3"/>
  <c r="AZ50" i="3"/>
  <c r="AY50" i="3"/>
  <c r="BB49" i="3"/>
  <c r="BA49" i="3"/>
  <c r="AZ49" i="3"/>
  <c r="AY49" i="3"/>
  <c r="BB48" i="3"/>
  <c r="BA48" i="3"/>
  <c r="AZ48" i="3"/>
  <c r="AY48" i="3"/>
  <c r="BB47" i="3"/>
  <c r="BA47" i="3"/>
  <c r="AZ47" i="3"/>
  <c r="AY47" i="3"/>
  <c r="BB46" i="3"/>
  <c r="BA46" i="3"/>
  <c r="AZ46" i="3"/>
  <c r="AY46" i="3"/>
  <c r="BB45" i="3"/>
  <c r="BA45" i="3"/>
  <c r="AZ45" i="3"/>
  <c r="AY45" i="3"/>
  <c r="BB44" i="3"/>
  <c r="BA44" i="3"/>
  <c r="AZ44" i="3"/>
  <c r="AY44" i="3"/>
  <c r="BB43" i="3"/>
  <c r="BA43" i="3"/>
  <c r="AZ43" i="3"/>
  <c r="AY43" i="3"/>
  <c r="BB42" i="3"/>
  <c r="BA42" i="3"/>
  <c r="AZ42" i="3"/>
  <c r="AY42" i="3"/>
  <c r="BB41" i="3"/>
  <c r="BA41" i="3"/>
  <c r="AZ41" i="3"/>
  <c r="AY41" i="3"/>
  <c r="BB40" i="3"/>
  <c r="BA40" i="3"/>
  <c r="AZ40" i="3"/>
  <c r="AY40" i="3"/>
  <c r="BB39" i="3"/>
  <c r="BA39" i="3"/>
  <c r="AZ39" i="3"/>
  <c r="AY39" i="3"/>
  <c r="BB38" i="3"/>
  <c r="BA38" i="3"/>
  <c r="AZ38" i="3"/>
  <c r="AY38" i="3"/>
  <c r="BB37" i="3"/>
  <c r="BA37" i="3"/>
  <c r="AZ37" i="3"/>
  <c r="AY37" i="3"/>
  <c r="BB36" i="3"/>
  <c r="BA36" i="3"/>
  <c r="AZ36" i="3"/>
  <c r="AY36" i="3"/>
  <c r="BB35" i="3"/>
  <c r="BA35" i="3"/>
  <c r="AZ35" i="3"/>
  <c r="AY35" i="3"/>
  <c r="BB34" i="3"/>
  <c r="BA34" i="3"/>
  <c r="AZ34" i="3"/>
  <c r="AY34" i="3"/>
  <c r="BB33" i="3"/>
  <c r="BA33" i="3"/>
  <c r="AZ33" i="3"/>
  <c r="AY33" i="3"/>
  <c r="BB32" i="3"/>
  <c r="BA32" i="3"/>
  <c r="AZ32" i="3"/>
  <c r="AY32" i="3"/>
  <c r="BB31" i="3"/>
  <c r="BA31" i="3"/>
  <c r="AZ31" i="3"/>
  <c r="AY31" i="3"/>
  <c r="BB30" i="3"/>
  <c r="BA30" i="3"/>
  <c r="AZ30" i="3"/>
  <c r="AY30" i="3"/>
  <c r="BB29" i="3"/>
  <c r="BA29" i="3"/>
  <c r="AZ29" i="3"/>
  <c r="AY29" i="3"/>
  <c r="BB28" i="3"/>
  <c r="BA28" i="3"/>
  <c r="AZ28" i="3"/>
  <c r="AY28" i="3"/>
  <c r="BB27" i="3"/>
  <c r="BA27" i="3"/>
  <c r="AZ27" i="3"/>
  <c r="AY27" i="3"/>
  <c r="BB26" i="3"/>
  <c r="BA26" i="3"/>
  <c r="AZ26" i="3"/>
  <c r="AY26" i="3"/>
  <c r="BB25" i="3"/>
  <c r="BA25" i="3"/>
  <c r="AZ25" i="3"/>
  <c r="AY25" i="3"/>
  <c r="BB24" i="3"/>
  <c r="BA24" i="3"/>
  <c r="AZ24" i="3"/>
  <c r="AY24" i="3"/>
  <c r="BB23" i="3"/>
  <c r="BA23" i="3"/>
  <c r="AZ23" i="3"/>
  <c r="AY23" i="3"/>
  <c r="W19" i="3"/>
  <c r="V19" i="3"/>
  <c r="T19" i="3"/>
  <c r="S19" i="3"/>
  <c r="P19" i="3"/>
  <c r="O19" i="3"/>
  <c r="N19" i="3"/>
  <c r="M19" i="3"/>
  <c r="W18" i="3"/>
  <c r="V18" i="3"/>
  <c r="T18" i="3"/>
  <c r="S18" i="3"/>
  <c r="P18" i="3"/>
  <c r="O18" i="3"/>
  <c r="N18" i="3"/>
  <c r="M18" i="3"/>
  <c r="K18" i="3"/>
  <c r="J18" i="3"/>
  <c r="I18" i="3"/>
  <c r="H18" i="3"/>
  <c r="G18" i="3"/>
  <c r="F18" i="3"/>
  <c r="W17" i="3"/>
  <c r="V17" i="3"/>
  <c r="T17" i="3"/>
  <c r="S17" i="3"/>
  <c r="P17" i="3"/>
  <c r="O17" i="3"/>
  <c r="N17" i="3"/>
  <c r="M17" i="3"/>
  <c r="K17" i="3"/>
  <c r="J17" i="3"/>
  <c r="I17" i="3"/>
  <c r="H17" i="3"/>
  <c r="G17" i="3"/>
  <c r="F17" i="3"/>
  <c r="W15" i="3"/>
  <c r="W16" i="3" s="1"/>
  <c r="V15" i="3"/>
  <c r="V16" i="3" s="1"/>
  <c r="T15" i="3"/>
  <c r="T16" i="3" s="1"/>
  <c r="S15" i="3"/>
  <c r="S16" i="3" s="1"/>
  <c r="P15" i="3"/>
  <c r="P16" i="3" s="1"/>
  <c r="O15" i="3"/>
  <c r="O16" i="3" s="1"/>
  <c r="N15" i="3"/>
  <c r="N16" i="3" s="1"/>
  <c r="M15" i="3"/>
  <c r="M16" i="3" s="1"/>
  <c r="K15" i="3"/>
  <c r="K16" i="3" s="1"/>
  <c r="J15" i="3"/>
  <c r="J16" i="3" s="1"/>
  <c r="I15" i="3"/>
  <c r="I16" i="3" s="1"/>
  <c r="H15" i="3"/>
  <c r="H16" i="3" s="1"/>
  <c r="G15" i="3"/>
  <c r="G16" i="3" s="1"/>
  <c r="F15" i="3"/>
  <c r="F16" i="3" s="1"/>
  <c r="K13" i="3"/>
  <c r="J13" i="3"/>
  <c r="I13" i="3"/>
  <c r="H13" i="3"/>
  <c r="G13" i="3"/>
  <c r="F13" i="3"/>
  <c r="K11" i="3"/>
  <c r="J11" i="3"/>
  <c r="I11" i="3"/>
  <c r="H11" i="3"/>
  <c r="G11" i="3"/>
  <c r="F11" i="3"/>
  <c r="R7" i="3"/>
  <c r="F1" i="3"/>
  <c r="U81" i="1"/>
  <c r="R81" i="1"/>
  <c r="Q81" i="1"/>
  <c r="U80" i="1"/>
  <c r="R80" i="1"/>
  <c r="Q80" i="1"/>
  <c r="U79" i="1"/>
  <c r="R79" i="1"/>
  <c r="Q79" i="1"/>
  <c r="U78" i="1"/>
  <c r="R78" i="1"/>
  <c r="Q78" i="1"/>
  <c r="U77" i="1"/>
  <c r="R77" i="1"/>
  <c r="Q77" i="1"/>
  <c r="U76" i="1"/>
  <c r="R76" i="1"/>
  <c r="Q76" i="1"/>
  <c r="U75" i="1"/>
  <c r="R75" i="1"/>
  <c r="Q75" i="1"/>
  <c r="U74" i="1"/>
  <c r="R74" i="1"/>
  <c r="Q74" i="1"/>
  <c r="U73" i="1"/>
  <c r="R73" i="1"/>
  <c r="Q73" i="1"/>
  <c r="U72" i="1"/>
  <c r="R72" i="1"/>
  <c r="Q72" i="1"/>
  <c r="U71" i="1"/>
  <c r="R71" i="1"/>
  <c r="Q71" i="1"/>
  <c r="U70" i="1"/>
  <c r="R70" i="1"/>
  <c r="Q70" i="1"/>
  <c r="U69" i="1"/>
  <c r="R69" i="1"/>
  <c r="Q69" i="1"/>
  <c r="U68" i="1"/>
  <c r="R68" i="1"/>
  <c r="Q68" i="1"/>
  <c r="U67" i="1"/>
  <c r="R67" i="1"/>
  <c r="Q67" i="1"/>
  <c r="U66" i="1"/>
  <c r="R66" i="1"/>
  <c r="Q66" i="1"/>
  <c r="U65" i="1"/>
  <c r="R65" i="1"/>
  <c r="Q65" i="1"/>
  <c r="U64" i="1"/>
  <c r="R64" i="1"/>
  <c r="Q64" i="1"/>
  <c r="U63" i="1"/>
  <c r="R63" i="1"/>
  <c r="Q63" i="1"/>
  <c r="U62" i="1"/>
  <c r="R62" i="1"/>
  <c r="Q62" i="1"/>
  <c r="U61" i="1"/>
  <c r="R61" i="1"/>
  <c r="Q61" i="1"/>
  <c r="U60" i="1"/>
  <c r="R60" i="1"/>
  <c r="Q60" i="1"/>
  <c r="U59" i="1"/>
  <c r="R59" i="1"/>
  <c r="Q59" i="1"/>
  <c r="U58" i="1"/>
  <c r="R58" i="1"/>
  <c r="Q58" i="1"/>
  <c r="U57" i="1"/>
  <c r="R57" i="1"/>
  <c r="Q57" i="1"/>
  <c r="U56" i="1"/>
  <c r="R56" i="1"/>
  <c r="Q56" i="1"/>
  <c r="U55" i="1"/>
  <c r="R55" i="1"/>
  <c r="Q55" i="1"/>
  <c r="U54" i="1"/>
  <c r="R54" i="1"/>
  <c r="Q54" i="1"/>
  <c r="U53" i="1"/>
  <c r="R53" i="1"/>
  <c r="Q53" i="1"/>
  <c r="U52" i="1"/>
  <c r="R52" i="1"/>
  <c r="Q52" i="1"/>
  <c r="U51" i="1"/>
  <c r="R51" i="1"/>
  <c r="Q51" i="1"/>
  <c r="U50" i="1"/>
  <c r="R50" i="1"/>
  <c r="Q50" i="1"/>
  <c r="U49" i="1"/>
  <c r="R49" i="1"/>
  <c r="Q49" i="1"/>
  <c r="U48" i="1"/>
  <c r="R48" i="1"/>
  <c r="Q48" i="1"/>
  <c r="U47" i="1"/>
  <c r="R47" i="1"/>
  <c r="Q47" i="1"/>
  <c r="U46" i="1"/>
  <c r="R46" i="1"/>
  <c r="Q46" i="1"/>
  <c r="U45" i="1"/>
  <c r="R45" i="1"/>
  <c r="Q45" i="1"/>
  <c r="U44" i="1"/>
  <c r="R44" i="1"/>
  <c r="Q44" i="1"/>
  <c r="U43" i="1"/>
  <c r="R43" i="1"/>
  <c r="Q43" i="1"/>
  <c r="U42" i="1"/>
  <c r="R42" i="1"/>
  <c r="Q42" i="1"/>
  <c r="U41" i="1"/>
  <c r="R41" i="1"/>
  <c r="Q41" i="1"/>
  <c r="U40" i="1"/>
  <c r="R40" i="1"/>
  <c r="Q40" i="1"/>
  <c r="U39" i="1"/>
  <c r="R39" i="1"/>
  <c r="Q39" i="1"/>
  <c r="U38" i="1"/>
  <c r="R38" i="1"/>
  <c r="Q38" i="1"/>
  <c r="U37" i="1"/>
  <c r="R37" i="1"/>
  <c r="Q37" i="1"/>
  <c r="U36" i="1"/>
  <c r="R36" i="1"/>
  <c r="Q36" i="1"/>
  <c r="U35" i="1"/>
  <c r="R35" i="1"/>
  <c r="Q35" i="1"/>
  <c r="U34" i="1"/>
  <c r="R34" i="1"/>
  <c r="Q34" i="1"/>
  <c r="U33" i="1"/>
  <c r="R33" i="1"/>
  <c r="Q33" i="1"/>
  <c r="U32" i="1"/>
  <c r="R32" i="1"/>
  <c r="Q32" i="1"/>
  <c r="U31" i="1"/>
  <c r="R31" i="1"/>
  <c r="Q31" i="1"/>
  <c r="U30" i="1"/>
  <c r="R30" i="1"/>
  <c r="Q30" i="1"/>
  <c r="U29" i="1"/>
  <c r="R29" i="1"/>
  <c r="Q29" i="1"/>
  <c r="U28" i="1"/>
  <c r="R28" i="1"/>
  <c r="Q28" i="1"/>
  <c r="U27" i="1"/>
  <c r="R27" i="1"/>
  <c r="Q27" i="1"/>
  <c r="U26" i="1"/>
  <c r="R26" i="1"/>
  <c r="Q26" i="1"/>
  <c r="U25" i="1"/>
  <c r="R25" i="1"/>
  <c r="Q25" i="1"/>
  <c r="U24" i="1"/>
  <c r="R24" i="1"/>
  <c r="Q24" i="1"/>
  <c r="U23" i="1"/>
  <c r="R23" i="1"/>
  <c r="Q23" i="1"/>
  <c r="U22" i="1"/>
  <c r="R22" i="1"/>
  <c r="Q22" i="1"/>
  <c r="U21" i="1"/>
  <c r="R21" i="1"/>
  <c r="Q21" i="1"/>
  <c r="U20" i="1"/>
  <c r="R20" i="1"/>
  <c r="Q20" i="1"/>
  <c r="V20" i="1"/>
  <c r="W20" i="1"/>
  <c r="V19" i="5" l="1"/>
  <c r="V18" i="5"/>
  <c r="V17" i="5"/>
  <c r="Z20" i="5"/>
  <c r="Z15" i="5" s="1"/>
  <c r="Z16" i="5" s="1"/>
  <c r="R19" i="5"/>
  <c r="Q18" i="5"/>
  <c r="Y20" i="5"/>
  <c r="Y19" i="5" s="1"/>
  <c r="U19" i="6"/>
  <c r="U15" i="6"/>
  <c r="U16" i="6" s="1"/>
  <c r="L19" i="6"/>
  <c r="L18" i="6"/>
  <c r="L17" i="6"/>
  <c r="L15" i="6"/>
  <c r="L16" i="6" s="1"/>
  <c r="U17" i="6"/>
  <c r="R18" i="6"/>
  <c r="Z20" i="6"/>
  <c r="Y20" i="6"/>
  <c r="R17" i="6"/>
  <c r="R19" i="6"/>
  <c r="R15" i="6"/>
  <c r="R16" i="6" s="1"/>
  <c r="Q19" i="5"/>
  <c r="U18" i="5"/>
  <c r="R15" i="5"/>
  <c r="R16" i="5" s="1"/>
  <c r="Q17" i="5"/>
  <c r="U17" i="5"/>
  <c r="R18" i="5"/>
  <c r="Q15" i="5"/>
  <c r="Q16" i="5" s="1"/>
  <c r="U15" i="5"/>
  <c r="U16" i="5" s="1"/>
  <c r="Y15" i="5"/>
  <c r="Y16" i="5" s="1"/>
  <c r="L15" i="5"/>
  <c r="L16" i="5" s="1"/>
  <c r="L19" i="5"/>
  <c r="L17" i="5"/>
  <c r="X15" i="5"/>
  <c r="X16" i="5" s="1"/>
  <c r="X17" i="5"/>
  <c r="X19" i="5"/>
  <c r="X18" i="5"/>
  <c r="L17" i="3"/>
  <c r="L18" i="3"/>
  <c r="L15" i="3"/>
  <c r="L16" i="3" s="1"/>
  <c r="L19" i="3"/>
  <c r="U15" i="3"/>
  <c r="U16" i="3" s="1"/>
  <c r="U17" i="3"/>
  <c r="Q17" i="3"/>
  <c r="Q15" i="3"/>
  <c r="Q16" i="3" s="1"/>
  <c r="F19" i="3"/>
  <c r="Q19" i="3"/>
  <c r="G19" i="3"/>
  <c r="R18" i="3"/>
  <c r="Q18" i="3"/>
  <c r="R19" i="3"/>
  <c r="R17" i="3"/>
  <c r="R15" i="3"/>
  <c r="R16" i="3" s="1"/>
  <c r="U18" i="3"/>
  <c r="U19" i="3"/>
  <c r="Z15" i="3"/>
  <c r="Z16" i="3" s="1"/>
  <c r="Z17" i="3"/>
  <c r="Z18" i="3"/>
  <c r="Z19" i="3"/>
  <c r="AR49" i="3"/>
  <c r="K19" i="3"/>
  <c r="AR50" i="3"/>
  <c r="J19" i="3"/>
  <c r="AQ50" i="3"/>
  <c r="AQ51" i="3"/>
  <c r="AI49" i="3"/>
  <c r="AI50" i="3"/>
  <c r="I19" i="3"/>
  <c r="H19" i="3"/>
  <c r="AH51" i="3"/>
  <c r="AH50" i="3"/>
  <c r="AR52" i="3"/>
  <c r="AR48" i="3"/>
  <c r="AR51" i="3"/>
  <c r="AQ48" i="3"/>
  <c r="AQ49" i="3"/>
  <c r="AQ52" i="3"/>
  <c r="AI48" i="3"/>
  <c r="AI51" i="3"/>
  <c r="AI52" i="3"/>
  <c r="AH48" i="3"/>
  <c r="AH49" i="3"/>
  <c r="AH52" i="3"/>
  <c r="Z20" i="1"/>
  <c r="Z19" i="1" s="1"/>
  <c r="BB96" i="1"/>
  <c r="BA96" i="1"/>
  <c r="AZ96" i="1"/>
  <c r="AY96" i="1"/>
  <c r="BB95" i="1"/>
  <c r="BA95" i="1"/>
  <c r="AZ95" i="1"/>
  <c r="AY95" i="1"/>
  <c r="BB94" i="1"/>
  <c r="BA94" i="1"/>
  <c r="AZ94" i="1"/>
  <c r="AY94" i="1"/>
  <c r="BB93" i="1"/>
  <c r="BA93" i="1"/>
  <c r="AZ93" i="1"/>
  <c r="AY93" i="1"/>
  <c r="BB92" i="1"/>
  <c r="BA92" i="1"/>
  <c r="AZ92" i="1"/>
  <c r="AY92" i="1"/>
  <c r="BB91" i="1"/>
  <c r="BA91" i="1"/>
  <c r="AZ91" i="1"/>
  <c r="AY91" i="1"/>
  <c r="BB90" i="1"/>
  <c r="BA90" i="1"/>
  <c r="AZ90" i="1"/>
  <c r="AY90" i="1"/>
  <c r="BB89" i="1"/>
  <c r="BA89" i="1"/>
  <c r="AZ89" i="1"/>
  <c r="AY89" i="1"/>
  <c r="BB88" i="1"/>
  <c r="BA88" i="1"/>
  <c r="AZ88" i="1"/>
  <c r="AY88" i="1"/>
  <c r="BB87" i="1"/>
  <c r="BA87" i="1"/>
  <c r="AZ87" i="1"/>
  <c r="AY87" i="1"/>
  <c r="BB86" i="1"/>
  <c r="BA86" i="1"/>
  <c r="AZ86" i="1"/>
  <c r="AY86" i="1"/>
  <c r="BB85" i="1"/>
  <c r="BA85" i="1"/>
  <c r="AZ85" i="1"/>
  <c r="AY85" i="1"/>
  <c r="BB84" i="1"/>
  <c r="BA84" i="1"/>
  <c r="AZ84" i="1"/>
  <c r="AY84" i="1"/>
  <c r="BB83" i="1"/>
  <c r="BA83" i="1"/>
  <c r="AZ83" i="1"/>
  <c r="AY83" i="1"/>
  <c r="BB82" i="1"/>
  <c r="BA82" i="1"/>
  <c r="AZ82" i="1"/>
  <c r="AY82" i="1"/>
  <c r="BB81" i="1"/>
  <c r="BA81" i="1"/>
  <c r="AZ81" i="1"/>
  <c r="AY81" i="1"/>
  <c r="BB80" i="1"/>
  <c r="BA80" i="1"/>
  <c r="AZ80" i="1"/>
  <c r="AY80" i="1"/>
  <c r="BB79" i="1"/>
  <c r="BA79" i="1"/>
  <c r="AZ79" i="1"/>
  <c r="AY79" i="1"/>
  <c r="BB78" i="1"/>
  <c r="BA78" i="1"/>
  <c r="AZ78" i="1"/>
  <c r="AY78" i="1"/>
  <c r="BB77" i="1"/>
  <c r="BA77" i="1"/>
  <c r="AZ77" i="1"/>
  <c r="AY77" i="1"/>
  <c r="BB76" i="1"/>
  <c r="BA76" i="1"/>
  <c r="AZ76" i="1"/>
  <c r="AY76" i="1"/>
  <c r="BB75" i="1"/>
  <c r="BA75" i="1"/>
  <c r="AZ75" i="1"/>
  <c r="AY75" i="1"/>
  <c r="BB74" i="1"/>
  <c r="BA74" i="1"/>
  <c r="AZ74" i="1"/>
  <c r="AY74" i="1"/>
  <c r="BB73" i="1"/>
  <c r="BA73" i="1"/>
  <c r="AZ73" i="1"/>
  <c r="AY73" i="1"/>
  <c r="BB72" i="1"/>
  <c r="BA72" i="1"/>
  <c r="AZ72" i="1"/>
  <c r="AY72" i="1"/>
  <c r="BB71" i="1"/>
  <c r="BA71" i="1"/>
  <c r="AZ71" i="1"/>
  <c r="AY71" i="1"/>
  <c r="BB70" i="1"/>
  <c r="BA70" i="1"/>
  <c r="AZ70" i="1"/>
  <c r="AY70" i="1"/>
  <c r="BB69" i="1"/>
  <c r="BA69" i="1"/>
  <c r="AZ69" i="1"/>
  <c r="AY69" i="1"/>
  <c r="BB68" i="1"/>
  <c r="BA68" i="1"/>
  <c r="AZ68" i="1"/>
  <c r="AY68" i="1"/>
  <c r="BB67" i="1"/>
  <c r="BA67" i="1"/>
  <c r="AZ67" i="1"/>
  <c r="AY67" i="1"/>
  <c r="BB66" i="1"/>
  <c r="BA66" i="1"/>
  <c r="AZ66" i="1"/>
  <c r="AY66" i="1"/>
  <c r="BB65" i="1"/>
  <c r="BA65" i="1"/>
  <c r="AZ65" i="1"/>
  <c r="AY65" i="1"/>
  <c r="BB64" i="1"/>
  <c r="BA64" i="1"/>
  <c r="AZ64" i="1"/>
  <c r="AY64" i="1"/>
  <c r="BB63" i="1"/>
  <c r="BA63" i="1"/>
  <c r="AZ63" i="1"/>
  <c r="AY63" i="1"/>
  <c r="BB62" i="1"/>
  <c r="BA62" i="1"/>
  <c r="AZ62" i="1"/>
  <c r="AY62" i="1"/>
  <c r="BB61" i="1"/>
  <c r="BA61" i="1"/>
  <c r="AZ61" i="1"/>
  <c r="AY61" i="1"/>
  <c r="BB60" i="1"/>
  <c r="BA60" i="1"/>
  <c r="AZ60" i="1"/>
  <c r="AY60" i="1"/>
  <c r="BB59" i="1"/>
  <c r="BA59" i="1"/>
  <c r="AZ59" i="1"/>
  <c r="AY59" i="1"/>
  <c r="BB58" i="1"/>
  <c r="BA58" i="1"/>
  <c r="AZ58" i="1"/>
  <c r="AY58" i="1"/>
  <c r="BB57" i="1"/>
  <c r="BA57" i="1"/>
  <c r="AZ57" i="1"/>
  <c r="AY57" i="1"/>
  <c r="BB56" i="1"/>
  <c r="BA56" i="1"/>
  <c r="AZ56" i="1"/>
  <c r="AY56" i="1"/>
  <c r="BB55" i="1"/>
  <c r="BA55" i="1"/>
  <c r="AZ55" i="1"/>
  <c r="AY55" i="1"/>
  <c r="BB54" i="1"/>
  <c r="BA54" i="1"/>
  <c r="AZ54" i="1"/>
  <c r="AY54" i="1"/>
  <c r="BB53" i="1"/>
  <c r="BA53" i="1"/>
  <c r="AZ53" i="1"/>
  <c r="AY53" i="1"/>
  <c r="BB52" i="1"/>
  <c r="BA52" i="1"/>
  <c r="AZ52" i="1"/>
  <c r="AY52" i="1"/>
  <c r="BB51" i="1"/>
  <c r="BA51" i="1"/>
  <c r="AZ51" i="1"/>
  <c r="AY51" i="1"/>
  <c r="BB50" i="1"/>
  <c r="BA50" i="1"/>
  <c r="AZ50" i="1"/>
  <c r="AY50" i="1"/>
  <c r="BB49" i="1"/>
  <c r="BA49" i="1"/>
  <c r="AZ49" i="1"/>
  <c r="AY49" i="1"/>
  <c r="BB48" i="1"/>
  <c r="BA48" i="1"/>
  <c r="AZ48" i="1"/>
  <c r="AY48" i="1"/>
  <c r="BB47" i="1"/>
  <c r="BA47" i="1"/>
  <c r="AZ47" i="1"/>
  <c r="AY47" i="1"/>
  <c r="BB46" i="1"/>
  <c r="BA46" i="1"/>
  <c r="AZ46" i="1"/>
  <c r="AY46" i="1"/>
  <c r="BB45" i="1"/>
  <c r="BA45" i="1"/>
  <c r="AZ45" i="1"/>
  <c r="AY45" i="1"/>
  <c r="BB44" i="1"/>
  <c r="BA44" i="1"/>
  <c r="AZ44" i="1"/>
  <c r="AY44" i="1"/>
  <c r="BB43" i="1"/>
  <c r="BA43" i="1"/>
  <c r="AZ43" i="1"/>
  <c r="AY43" i="1"/>
  <c r="BB42" i="1"/>
  <c r="BA42" i="1"/>
  <c r="AZ42" i="1"/>
  <c r="AY42" i="1"/>
  <c r="BB41" i="1"/>
  <c r="BA41" i="1"/>
  <c r="AZ41" i="1"/>
  <c r="AY41" i="1"/>
  <c r="BB40" i="1"/>
  <c r="BA40" i="1"/>
  <c r="AZ40" i="1"/>
  <c r="AY40" i="1"/>
  <c r="BB39" i="1"/>
  <c r="BA39" i="1"/>
  <c r="AZ39" i="1"/>
  <c r="AY39" i="1"/>
  <c r="BB38" i="1"/>
  <c r="BA38" i="1"/>
  <c r="AZ38" i="1"/>
  <c r="AY38" i="1"/>
  <c r="BB37" i="1"/>
  <c r="BA37" i="1"/>
  <c r="AZ37" i="1"/>
  <c r="AY37" i="1"/>
  <c r="BB36" i="1"/>
  <c r="BA36" i="1"/>
  <c r="AZ36" i="1"/>
  <c r="AY36" i="1"/>
  <c r="BB35" i="1"/>
  <c r="BA35" i="1"/>
  <c r="AZ35" i="1"/>
  <c r="AY35" i="1"/>
  <c r="BB34" i="1"/>
  <c r="BA34" i="1"/>
  <c r="AZ34" i="1"/>
  <c r="AY34" i="1"/>
  <c r="BB33" i="1"/>
  <c r="BA33" i="1"/>
  <c r="AZ33" i="1"/>
  <c r="AY33" i="1"/>
  <c r="BB32" i="1"/>
  <c r="BA32" i="1"/>
  <c r="AZ32" i="1"/>
  <c r="AY32" i="1"/>
  <c r="BB31" i="1"/>
  <c r="BA31" i="1"/>
  <c r="AZ31" i="1"/>
  <c r="AY31" i="1"/>
  <c r="BB30" i="1"/>
  <c r="BA30" i="1"/>
  <c r="AZ30" i="1"/>
  <c r="AY30" i="1"/>
  <c r="BB29" i="1"/>
  <c r="BA29" i="1"/>
  <c r="AZ29" i="1"/>
  <c r="AY29" i="1"/>
  <c r="BB28" i="1"/>
  <c r="BA28" i="1"/>
  <c r="AZ28" i="1"/>
  <c r="AY28" i="1"/>
  <c r="BB27" i="1"/>
  <c r="BA27" i="1"/>
  <c r="AZ27" i="1"/>
  <c r="AY27" i="1"/>
  <c r="BB26" i="1"/>
  <c r="BA26" i="1"/>
  <c r="AZ26" i="1"/>
  <c r="AY26" i="1"/>
  <c r="BB25" i="1"/>
  <c r="BA25" i="1"/>
  <c r="AZ25" i="1"/>
  <c r="AY25" i="1"/>
  <c r="BB24" i="1"/>
  <c r="BA24" i="1"/>
  <c r="AZ24" i="1"/>
  <c r="AY24" i="1"/>
  <c r="BB23" i="1"/>
  <c r="BA23" i="1"/>
  <c r="AZ23" i="1"/>
  <c r="AY23" i="1"/>
  <c r="W19" i="1"/>
  <c r="V19" i="1"/>
  <c r="U19" i="1"/>
  <c r="T19" i="1"/>
  <c r="S19" i="1"/>
  <c r="P19" i="1"/>
  <c r="O19" i="1"/>
  <c r="N19" i="1"/>
  <c r="M19" i="1"/>
  <c r="L19" i="1"/>
  <c r="W18" i="1"/>
  <c r="V18" i="1"/>
  <c r="U18" i="1"/>
  <c r="T18" i="1"/>
  <c r="S18" i="1"/>
  <c r="P18" i="1"/>
  <c r="O18" i="1"/>
  <c r="N18" i="1"/>
  <c r="M18" i="1"/>
  <c r="L18" i="1"/>
  <c r="K18" i="1"/>
  <c r="J18" i="1"/>
  <c r="I18" i="1"/>
  <c r="H18" i="1"/>
  <c r="G18" i="1"/>
  <c r="F18" i="1"/>
  <c r="W17" i="1"/>
  <c r="V17" i="1"/>
  <c r="U17" i="1"/>
  <c r="T17" i="1"/>
  <c r="S17" i="1"/>
  <c r="P17" i="1"/>
  <c r="O17" i="1"/>
  <c r="N17" i="1"/>
  <c r="M17" i="1"/>
  <c r="L17" i="1"/>
  <c r="K17" i="1"/>
  <c r="J17" i="1"/>
  <c r="I17" i="1"/>
  <c r="H17" i="1"/>
  <c r="G17" i="1"/>
  <c r="F17" i="1"/>
  <c r="W15" i="1"/>
  <c r="W16" i="1" s="1"/>
  <c r="V15" i="1"/>
  <c r="V16" i="1" s="1"/>
  <c r="U15" i="1"/>
  <c r="U16" i="1" s="1"/>
  <c r="T15" i="1"/>
  <c r="T16" i="1" s="1"/>
  <c r="S15" i="1"/>
  <c r="S16" i="1" s="1"/>
  <c r="P15" i="1"/>
  <c r="P16" i="1" s="1"/>
  <c r="O15" i="1"/>
  <c r="O16" i="1" s="1"/>
  <c r="N15" i="1"/>
  <c r="N16" i="1" s="1"/>
  <c r="M15" i="1"/>
  <c r="M16" i="1" s="1"/>
  <c r="L15" i="1"/>
  <c r="L16" i="1" s="1"/>
  <c r="K15" i="1"/>
  <c r="K16" i="1" s="1"/>
  <c r="J15" i="1"/>
  <c r="J16" i="1" s="1"/>
  <c r="I15" i="1"/>
  <c r="I16" i="1" s="1"/>
  <c r="H15" i="1"/>
  <c r="H16" i="1" s="1"/>
  <c r="G15" i="1"/>
  <c r="G16" i="1" s="1"/>
  <c r="F15" i="1"/>
  <c r="F16" i="1" s="1"/>
  <c r="K13" i="1"/>
  <c r="J13" i="1"/>
  <c r="I13" i="1"/>
  <c r="H13" i="1"/>
  <c r="G13" i="1"/>
  <c r="F13" i="1"/>
  <c r="K11" i="1"/>
  <c r="J11" i="1"/>
  <c r="I11" i="1"/>
  <c r="H11" i="1"/>
  <c r="G11" i="1"/>
  <c r="F11" i="1"/>
  <c r="R7" i="1"/>
  <c r="F1" i="1"/>
  <c r="Z19" i="5" l="1"/>
  <c r="Y17" i="5"/>
  <c r="Z17" i="5"/>
  <c r="Z18" i="5"/>
  <c r="Y18" i="5"/>
  <c r="Y17" i="6"/>
  <c r="Y19" i="6"/>
  <c r="Y15" i="6"/>
  <c r="Y16" i="6" s="1"/>
  <c r="Y18" i="6"/>
  <c r="Z19" i="6"/>
  <c r="Z15" i="6"/>
  <c r="Z16" i="6" s="1"/>
  <c r="Z17" i="6"/>
  <c r="Z18" i="6"/>
  <c r="X15" i="3"/>
  <c r="X16" i="3" s="1"/>
  <c r="X17" i="3"/>
  <c r="X18" i="3"/>
  <c r="X19" i="3"/>
  <c r="Y15" i="3"/>
  <c r="Y16" i="3" s="1"/>
  <c r="Y17" i="3"/>
  <c r="Y18" i="3"/>
  <c r="Y19" i="3"/>
  <c r="Z15" i="1"/>
  <c r="Z16" i="1" s="1"/>
  <c r="Z17" i="1"/>
  <c r="Z18" i="1"/>
  <c r="X20" i="1"/>
  <c r="Y20" i="1"/>
  <c r="G19" i="1"/>
  <c r="F19" i="1"/>
  <c r="Q19" i="1"/>
  <c r="Q18" i="1"/>
  <c r="Q17" i="1"/>
  <c r="Q15" i="1"/>
  <c r="Q16" i="1" s="1"/>
  <c r="R18" i="1"/>
  <c r="R15" i="1"/>
  <c r="R16" i="1" s="1"/>
  <c r="R17" i="1"/>
  <c r="R19" i="1"/>
  <c r="K19" i="1"/>
  <c r="AR50" i="1"/>
  <c r="AR49" i="1"/>
  <c r="J19" i="1"/>
  <c r="AQ50" i="1"/>
  <c r="AQ51" i="1"/>
  <c r="AI50" i="1"/>
  <c r="I19" i="1"/>
  <c r="AI49" i="1"/>
  <c r="AH50" i="1"/>
  <c r="AH51" i="1"/>
  <c r="H19" i="1"/>
  <c r="AR51" i="1"/>
  <c r="AR52" i="1"/>
  <c r="AR48" i="1"/>
  <c r="AQ48" i="1"/>
  <c r="AQ49" i="1"/>
  <c r="AQ52" i="1"/>
  <c r="AI48" i="1"/>
  <c r="AI51" i="1"/>
  <c r="AI52" i="1"/>
  <c r="AH48" i="1"/>
  <c r="AH52" i="1"/>
  <c r="AH49" i="1"/>
  <c r="Y18" i="1" l="1"/>
  <c r="Y17" i="1"/>
  <c r="Y15" i="1"/>
  <c r="Y16" i="1" s="1"/>
  <c r="Y19" i="1"/>
  <c r="X17" i="1"/>
  <c r="X15" i="1"/>
  <c r="X16" i="1" s="1"/>
  <c r="X19" i="1"/>
  <c r="X18" i="1"/>
</calcChain>
</file>

<file path=xl/sharedStrings.xml><?xml version="1.0" encoding="utf-8"?>
<sst xmlns="http://schemas.openxmlformats.org/spreadsheetml/2006/main" count="2692" uniqueCount="928">
  <si>
    <t>• Cut. Model :</t>
    <phoneticPr fontId="3" type="noConversion"/>
  </si>
  <si>
    <t>WINE</t>
    <phoneticPr fontId="3" type="noConversion"/>
  </si>
  <si>
    <t>• Model :</t>
    <phoneticPr fontId="3" type="noConversion"/>
  </si>
  <si>
    <t>VDA129BLAC01</t>
    <phoneticPr fontId="3" type="noConversion"/>
  </si>
  <si>
    <t>• Event :</t>
    <phoneticPr fontId="3" type="noConversion"/>
  </si>
  <si>
    <t xml:space="preserve">• Date : </t>
    <phoneticPr fontId="3" type="noConversion"/>
  </si>
  <si>
    <t xml:space="preserve">• Measure M/C : </t>
    <phoneticPr fontId="3" type="noConversion"/>
  </si>
  <si>
    <t>CA-410</t>
    <phoneticPr fontId="3" type="noConversion"/>
  </si>
  <si>
    <t xml:space="preserve">• Measure Q'ty : </t>
    <phoneticPr fontId="3" type="noConversion"/>
  </si>
  <si>
    <t>No.</t>
    <phoneticPr fontId="3" type="noConversion"/>
  </si>
  <si>
    <t>구분</t>
    <phoneticPr fontId="3" type="noConversion"/>
  </si>
  <si>
    <t>RED</t>
    <phoneticPr fontId="3" type="noConversion"/>
  </si>
  <si>
    <t>GREEN</t>
    <phoneticPr fontId="3" type="noConversion"/>
  </si>
  <si>
    <t>BLUE</t>
    <phoneticPr fontId="3" type="noConversion"/>
  </si>
  <si>
    <t>색재현율</t>
    <phoneticPr fontId="3" type="noConversion"/>
  </si>
  <si>
    <t>White</t>
    <phoneticPr fontId="3" type="noConversion"/>
  </si>
  <si>
    <t>Black</t>
    <phoneticPr fontId="3" type="noConversion"/>
  </si>
  <si>
    <t>CR</t>
    <phoneticPr fontId="3" type="noConversion"/>
  </si>
  <si>
    <t>GCS</t>
    <phoneticPr fontId="3" type="noConversion"/>
  </si>
  <si>
    <t>Uniformity</t>
    <phoneticPr fontId="3" type="noConversion"/>
  </si>
  <si>
    <t>CCT</t>
    <phoneticPr fontId="3" type="noConversion"/>
  </si>
  <si>
    <t>ADIM</t>
    <phoneticPr fontId="3" type="noConversion"/>
  </si>
  <si>
    <t>Color</t>
    <phoneticPr fontId="3" type="noConversion"/>
  </si>
  <si>
    <t>HEX</t>
    <phoneticPr fontId="3" type="noConversion"/>
  </si>
  <si>
    <t>Remark</t>
    <phoneticPr fontId="3" type="noConversion"/>
  </si>
  <si>
    <t>Lot ID</t>
    <phoneticPr fontId="3" type="noConversion"/>
  </si>
  <si>
    <t>FOG</t>
    <phoneticPr fontId="3" type="noConversion"/>
  </si>
  <si>
    <t>CAL</t>
    <phoneticPr fontId="3" type="noConversion"/>
  </si>
  <si>
    <t>X</t>
    <phoneticPr fontId="3" type="noConversion"/>
  </si>
  <si>
    <t>Y</t>
    <phoneticPr fontId="3" type="noConversion"/>
  </si>
  <si>
    <t>Luminance</t>
    <phoneticPr fontId="3" type="noConversion"/>
  </si>
  <si>
    <t>Hex</t>
    <phoneticPr fontId="3" type="noConversion"/>
  </si>
  <si>
    <t>Spec. Min</t>
    <phoneticPr fontId="3" type="noConversion"/>
  </si>
  <si>
    <t>Spec. Typ</t>
    <phoneticPr fontId="3" type="noConversion"/>
  </si>
  <si>
    <t>Spec. Max</t>
    <phoneticPr fontId="3" type="noConversion"/>
  </si>
  <si>
    <t>Spec. Tol.</t>
    <phoneticPr fontId="3" type="noConversion"/>
  </si>
  <si>
    <t>Avg.</t>
    <phoneticPr fontId="3" type="noConversion"/>
  </si>
  <si>
    <t>Shift</t>
    <phoneticPr fontId="3" type="noConversion"/>
  </si>
  <si>
    <t>Min.</t>
    <phoneticPr fontId="3" type="noConversion"/>
  </si>
  <si>
    <t>Max.</t>
    <phoneticPr fontId="3" type="noConversion"/>
  </si>
  <si>
    <t>Spec 표기 해당 영역 측정 수 만큼 수정</t>
    <phoneticPr fontId="3" type="noConversion"/>
  </si>
  <si>
    <t>CPK</t>
    <phoneticPr fontId="3" type="noConversion"/>
  </si>
  <si>
    <t>색재현율 Spec</t>
    <phoneticPr fontId="3" type="noConversion"/>
  </si>
  <si>
    <t>휘도 Spec</t>
    <phoneticPr fontId="3" type="noConversion"/>
  </si>
  <si>
    <t>CR Spec</t>
    <phoneticPr fontId="3" type="noConversion"/>
  </si>
  <si>
    <t>GCS Spec</t>
    <phoneticPr fontId="3" type="noConversion"/>
  </si>
  <si>
    <t>#1</t>
    <phoneticPr fontId="3" type="noConversion"/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</si>
  <si>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</si>
  <si>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</si>
  <si>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</si>
  <si>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</si>
  <si>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</si>
  <si>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</si>
  <si>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</si>
  <si>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</si>
  <si>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</si>
  <si>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</si>
  <si>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</si>
  <si>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</si>
  <si>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</si>
  <si>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</si>
  <si>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</si>
  <si>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</si>
  <si>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</si>
  <si>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</si>
  <si>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</si>
  <si>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</si>
  <si>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</si>
  <si>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</si>
  <si>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</si>
  <si>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</si>
  <si>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</si>
  <si>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</si>
  <si>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</si>
  <si>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</si>
  <si>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</si>
  <si>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</si>
  <si>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</si>
  <si>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</si>
  <si>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(Auto  Update)</t>
    <phoneticPr fontId="3" type="noConversion"/>
  </si>
  <si>
    <t>#35</t>
  </si>
  <si>
    <t>#36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</si>
  <si>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</si>
  <si>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</si>
  <si>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</si>
  <si>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</si>
  <si>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</si>
  <si>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</si>
  <si>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</si>
  <si>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</si>
  <si>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</si>
  <si>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</si>
  <si>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</si>
  <si>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</si>
  <si>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</si>
  <si>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</si>
  <si>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</si>
  <si>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</si>
  <si>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</si>
  <si>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</si>
  <si>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</si>
  <si>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</si>
  <si>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</si>
  <si>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</si>
  <si>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</si>
  <si>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</si>
  <si>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</si>
  <si>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</si>
  <si>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</si>
  <si>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</si>
  <si>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</si>
  <si>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</si>
  <si>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</si>
  <si>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</si>
  <si>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</si>
  <si>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</si>
  <si>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</si>
  <si>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</si>
  <si>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</si>
  <si>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</si>
  <si>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</si>
  <si>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</si>
  <si>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</si>
  <si>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</si>
  <si>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</si>
  <si>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</si>
  <si>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</si>
  <si>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</si>
  <si>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</si>
  <si>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</si>
  <si>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</si>
  <si>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</si>
  <si>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</si>
  <si>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</si>
  <si>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</si>
  <si>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</si>
  <si>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</si>
  <si>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</si>
  <si>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</si>
  <si>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</si>
  <si>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</si>
  <si>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</si>
  <si>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</si>
  <si>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</si>
  <si>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</si>
  <si>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</si>
  <si>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</si>
  <si>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</si>
  <si>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</si>
  <si>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</si>
  <si>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</si>
  <si>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</si>
  <si>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</si>
  <si>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</si>
  <si>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</si>
  <si>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</si>
  <si>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</si>
  <si>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</si>
  <si>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</si>
  <si>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</si>
  <si>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</si>
  <si>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</si>
  <si>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</si>
  <si>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</si>
  <si>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</si>
  <si>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</si>
  <si>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</si>
  <si>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</si>
  <si>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</si>
  <si>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</si>
  <si>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</si>
  <si>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</si>
  <si>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</si>
  <si>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</si>
  <si>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</si>
  <si>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</si>
  <si>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</si>
  <si>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</si>
  <si>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</si>
  <si>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</si>
  <si>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</si>
  <si>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</si>
  <si>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</si>
  <si>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</si>
  <si>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</si>
  <si>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</si>
  <si>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</si>
  <si>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</si>
  <si>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</si>
  <si>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</si>
  <si>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</si>
  <si>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</si>
  <si>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</si>
  <si>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</si>
  <si>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</si>
  <si>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</si>
  <si>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</si>
  <si>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</si>
  <si>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</si>
  <si>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</si>
  <si>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</si>
  <si>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</si>
  <si>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</si>
  <si>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</si>
  <si>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</si>
  <si>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</si>
  <si>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</si>
  <si>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</si>
  <si>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</si>
  <si>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</si>
  <si>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</si>
  <si>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</si>
  <si>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</si>
  <si>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</si>
  <si>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</si>
  <si>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</si>
  <si>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</si>
  <si>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</si>
  <si>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</si>
  <si>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</si>
  <si>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</si>
  <si>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</si>
  <si>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</si>
  <si>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</si>
  <si>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</si>
  <si>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</si>
  <si>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</si>
  <si>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</si>
  <si>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</si>
  <si>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</si>
  <si>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</si>
  <si>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</si>
  <si>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</si>
  <si>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</si>
  <si>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</si>
  <si>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</si>
  <si>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</si>
  <si>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</si>
  <si>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</si>
  <si>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</si>
  <si>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</si>
  <si>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</si>
  <si>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</si>
  <si>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</si>
  <si>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</si>
  <si>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</si>
  <si>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</si>
  <si>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</si>
  <si>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</si>
  <si>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</si>
  <si>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</si>
  <si>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</si>
  <si>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</si>
  <si>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</si>
  <si>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</si>
  <si>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</si>
  <si>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</si>
  <si>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</si>
  <si>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</si>
  <si>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</si>
  <si>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</si>
  <si>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</si>
  <si>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</si>
  <si>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</si>
  <si>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</si>
  <si>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</si>
  <si>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</si>
  <si>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</si>
  <si>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</si>
  <si>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</si>
  <si>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</si>
  <si>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</si>
  <si>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</si>
  <si>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</si>
  <si>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</si>
  <si>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</si>
  <si>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</si>
  <si>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</si>
  <si>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</si>
  <si>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</si>
  <si>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</si>
  <si>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</si>
  <si>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</si>
  <si>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</si>
  <si>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</si>
  <si>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</si>
  <si>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</si>
  <si>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</si>
  <si>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</si>
  <si>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</si>
  <si>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</si>
  <si>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</si>
  <si>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</si>
  <si>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</si>
  <si>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</si>
  <si>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</si>
  <si>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</si>
  <si>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</si>
  <si>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</si>
  <si>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</si>
  <si>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</si>
  <si>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</si>
  <si>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</si>
  <si>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</si>
  <si>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</si>
  <si>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</si>
  <si>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</si>
  <si>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</si>
  <si>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</si>
  <si>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</si>
  <si>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</si>
  <si>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</si>
  <si>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</si>
  <si>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</si>
  <si>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</si>
  <si>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</si>
  <si>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</si>
  <si>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</si>
  <si>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</si>
  <si>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</si>
  <si>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</si>
  <si>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</si>
  <si>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</si>
  <si>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</si>
  <si>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</si>
  <si>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</si>
  <si>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</si>
  <si>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</si>
  <si>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</si>
  <si>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</si>
  <si>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</si>
  <si>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</si>
  <si>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</si>
  <si>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</si>
  <si>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</si>
  <si>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</si>
  <si>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</si>
  <si>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</si>
  <si>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</si>
  <si>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</si>
  <si>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</si>
  <si>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</si>
  <si>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</si>
  <si>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</si>
  <si>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</si>
  <si>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</si>
  <si>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</si>
  <si>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</si>
  <si>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</si>
  <si>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</si>
  <si>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</si>
  <si>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</si>
  <si>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</si>
  <si>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</si>
  <si>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</si>
  <si>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</si>
  <si>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</si>
  <si>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</si>
  <si>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</si>
  <si>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</si>
  <si>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</si>
  <si>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</si>
  <si>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</si>
  <si>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</si>
  <si>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</si>
  <si>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</si>
  <si>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</si>
  <si>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</si>
  <si>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</si>
  <si>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</si>
  <si>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</si>
  <si>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</si>
  <si>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</si>
  <si>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</si>
  <si>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</si>
  <si>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</si>
  <si>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</si>
  <si>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</si>
  <si>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</si>
  <si>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</si>
  <si>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</si>
  <si>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</si>
  <si>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</si>
  <si>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</si>
  <si>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</si>
  <si>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</si>
  <si>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</si>
  <si>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</si>
  <si>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</si>
  <si>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</si>
  <si>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</si>
  <si>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</si>
  <si>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</si>
  <si>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</si>
  <si>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</si>
  <si>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</si>
  <si>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</si>
  <si>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</si>
  <si>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</si>
  <si>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</si>
  <si>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</si>
  <si>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</si>
  <si>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</si>
  <si>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</si>
  <si>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</si>
  <si>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</si>
  <si>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</si>
  <si>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</si>
  <si>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</si>
  <si>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</si>
  <si>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</si>
  <si>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</si>
  <si>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</si>
  <si>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</si>
  <si>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</si>
  <si>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</si>
  <si>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</si>
  <si>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</si>
  <si>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</si>
  <si>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</si>
  <si>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</si>
  <si>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</si>
  <si>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</si>
  <si>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</si>
  <si>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</si>
  <si>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</si>
  <si>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</si>
  <si>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</si>
  <si>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</si>
  <si>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</si>
  <si>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</si>
  <si>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</si>
  <si>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</si>
  <si>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</si>
  <si>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</si>
  <si>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</si>
  <si>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</si>
  <si>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</si>
  <si>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</si>
  <si>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</si>
  <si>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</si>
  <si>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</si>
  <si>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</si>
  <si>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</si>
  <si>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</si>
  <si>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</si>
  <si>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</si>
  <si>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</si>
  <si>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</si>
  <si>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</si>
  <si>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</si>
  <si>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</si>
  <si>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</si>
  <si>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</si>
  <si>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</si>
  <si>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</si>
  <si>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</si>
  <si>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</si>
  <si>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</si>
  <si>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</si>
  <si>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</si>
  <si>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</si>
  <si>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</si>
  <si>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</si>
  <si>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</si>
  <si>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</si>
  <si>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</si>
  <si>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</si>
  <si>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</si>
  <si>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</si>
  <si>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</si>
  <si>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</si>
  <si>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</si>
  <si>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</si>
  <si>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</si>
  <si>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</si>
  <si>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</si>
  <si>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</si>
  <si>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</si>
  <si>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</si>
  <si>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</si>
  <si>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</si>
  <si>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</si>
  <si>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</si>
  <si>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</si>
  <si>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</si>
  <si>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</si>
  <si>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</si>
  <si>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</si>
  <si>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</si>
  <si>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</si>
  <si>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</si>
  <si>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</si>
  <si>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</si>
  <si>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</si>
  <si>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</si>
  <si>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</si>
  <si>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</si>
  <si>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</si>
  <si>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</si>
  <si>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</si>
  <si>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</si>
  <si>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</si>
  <si>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</si>
  <si>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#2</t>
    <phoneticPr fontId="3" type="noConversion"/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</si>
  <si>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</si>
  <si>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</si>
  <si>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</si>
  <si>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</si>
  <si>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</si>
  <si>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</si>
  <si>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</si>
  <si>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</si>
  <si>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</si>
  <si>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</si>
  <si>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</si>
  <si>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</si>
  <si>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</si>
  <si>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</si>
  <si>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</si>
  <si>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</si>
  <si>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</si>
  <si>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</si>
  <si>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</si>
  <si>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</si>
  <si>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</si>
  <si>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</si>
  <si>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</si>
  <si>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</si>
  <si>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</si>
  <si>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</si>
  <si>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</si>
  <si>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</si>
  <si>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</si>
  <si>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</si>
  <si>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</si>
  <si>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</si>
  <si>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</si>
  <si>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</si>
  <si>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</si>
  <si>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</si>
  <si>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</si>
  <si>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</si>
  <si>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</si>
  <si>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</si>
  <si>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</si>
  <si>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</si>
  <si>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</si>
  <si>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</si>
  <si>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</si>
  <si>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</si>
  <si>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</si>
  <si>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</si>
  <si>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</si>
  <si>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</si>
  <si>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</si>
  <si>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</si>
  <si>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</si>
  <si>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</si>
  <si>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LMK_Judge</t>
  </si>
  <si>
    <t>BU_TSP_Judge</t>
    <phoneticPr fontId="3" type="noConversion"/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</si>
  <si>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</si>
  <si>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</si>
  <si>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</si>
  <si>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</si>
  <si>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</si>
  <si>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</si>
  <si>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</si>
  <si>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</si>
  <si>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</si>
  <si>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</si>
  <si>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</si>
  <si>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</si>
  <si>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</si>
  <si>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</si>
  <si>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</si>
  <si>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</si>
  <si>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</si>
  <si>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</si>
  <si>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</si>
  <si>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</si>
  <si>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</si>
  <si>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</si>
  <si>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</si>
  <si>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</si>
  <si>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</si>
  <si>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</si>
  <si>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</si>
  <si>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</si>
  <si>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</si>
  <si>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</si>
  <si>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</si>
  <si>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</si>
  <si>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</si>
  <si>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</si>
  <si>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</si>
  <si>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</si>
  <si>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</si>
  <si>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</si>
  <si>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</si>
  <si>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</si>
  <si>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</si>
  <si>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</si>
  <si>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</si>
  <si>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</si>
  <si>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</si>
  <si>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</si>
  <si>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</si>
  <si>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</si>
  <si>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</si>
  <si>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</si>
  <si>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</si>
  <si>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</si>
  <si>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</si>
  <si>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</si>
  <si>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</si>
  <si>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</si>
  <si>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</si>
  <si>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</si>
  <si>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</si>
  <si>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</si>
  <si>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</si>
  <si>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</si>
  <si>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</si>
  <si>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</si>
  <si>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</si>
  <si>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</si>
  <si>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</si>
  <si>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</si>
  <si>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</si>
  <si>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</si>
  <si>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</si>
  <si>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</si>
  <si>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</si>
  <si>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</si>
  <si>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</si>
  <si>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</si>
  <si>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</si>
  <si>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</si>
  <si>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</si>
  <si>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</si>
  <si>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</si>
  <si>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</si>
  <si>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</si>
  <si>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</si>
  <si>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</si>
  <si>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</si>
  <si>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</si>
  <si>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</si>
  <si>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</si>
  <si>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</si>
  <si>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</si>
  <si>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</si>
  <si>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</si>
  <si>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</si>
  <si>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</si>
  <si>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</si>
  <si>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</si>
  <si>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</si>
  <si>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</si>
  <si>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</si>
  <si>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</si>
  <si>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</si>
  <si>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</si>
  <si>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</si>
  <si>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</si>
  <si>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</si>
  <si>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</si>
  <si>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</si>
  <si>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</si>
  <si>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</si>
  <si>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</si>
  <si>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</si>
  <si>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</si>
  <si>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</si>
  <si>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</si>
  <si>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</si>
  <si>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</si>
  <si>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</si>
  <si>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</si>
  <si>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</si>
  <si>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</si>
  <si>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</si>
  <si>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</si>
  <si>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</si>
  <si>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</si>
  <si>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</si>
  <si>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</si>
  <si>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</si>
  <si>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</si>
  <si>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</si>
  <si>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</si>
  <si>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</si>
  <si>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</si>
  <si>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</si>
  <si>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</si>
  <si>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</si>
  <si>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</si>
  <si>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</si>
  <si>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</si>
  <si>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</si>
  <si>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</si>
  <si>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</si>
  <si>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</si>
  <si>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</si>
  <si>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</si>
  <si>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</si>
  <si>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</si>
  <si>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</si>
  <si>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</si>
  <si>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</si>
  <si>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</si>
  <si>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</si>
  <si>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</si>
  <si>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</si>
  <si>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</si>
  <si>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</si>
  <si>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</si>
  <si>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</si>
  <si>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</si>
  <si>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</si>
  <si>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</si>
  <si>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</si>
  <si>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</si>
  <si>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</si>
  <si>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</si>
  <si>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</si>
  <si>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GJ96111000VMA129BLAC01260202A00004</t>
  </si>
  <si>
    <t>GJ96111000VMA129BLAC01260202A00005</t>
  </si>
  <si>
    <t>GJ96111000VMA129BLAC01260202A00006</t>
  </si>
  <si>
    <t>GJ96111000VMA129BLAC01260202A00007</t>
  </si>
  <si>
    <t>GJ96111000VMA129BLAC01260202A00009</t>
  </si>
  <si>
    <t>GJ96111000VMA129BLAC01260202A00010</t>
  </si>
  <si>
    <t>GJ96111000VMA129BLAC01260202A00011</t>
  </si>
  <si>
    <t>GJ96111000VMA129BLAC01260202A00012</t>
  </si>
  <si>
    <t>GJ96111000VMA129BLAC01260202A00014</t>
  </si>
  <si>
    <t>GJ96111000VMA129BLAC01260202A00015</t>
  </si>
  <si>
    <t>GJ96111000VMA129BLAC01260202A00016</t>
  </si>
  <si>
    <t>GJ96111000VMA129BLAC01260202A00017</t>
  </si>
  <si>
    <t>GJ96111000VMA129BLAC01260202A00018</t>
  </si>
  <si>
    <t>GJ96111000VMA129BLAC01260202A00019</t>
  </si>
  <si>
    <t>GJ96111000VMA129BLAC01260202A00021</t>
  </si>
  <si>
    <t>GJ96111000VMA129BLAC01260202A00022</t>
  </si>
  <si>
    <t>GJ96111000VMA129BLAC01260202A00023</t>
  </si>
  <si>
    <t>GJ96111000VMA129BLAC01260202A00024</t>
  </si>
  <si>
    <t>GJ96111000VMA129BLAC01260202A00025</t>
  </si>
  <si>
    <t>GJ96111000VMA129BLAC01260202A00026</t>
  </si>
  <si>
    <t>GJ96111000VMA129BLAC01260202A00027</t>
  </si>
  <si>
    <t>GJ96111000VMA129BLAC01260202A00028</t>
  </si>
  <si>
    <t>GJ96111000VMA129BLAC01260202A00029</t>
  </si>
  <si>
    <t>GJ96111000VMA129BLAC01260202A00030</t>
  </si>
  <si>
    <t>GJ96111000VMA129BLAC01260202A00031</t>
  </si>
  <si>
    <t>GJ96111000VMA129BLAC01260202A00032</t>
  </si>
  <si>
    <t>GJ96111000VMA129BLAC01260202A00034</t>
  </si>
  <si>
    <t>GJ96111000VMA129BLAC01260202A00036</t>
  </si>
  <si>
    <t>GJ96111000VMA129BLAC01260202A00037</t>
  </si>
  <si>
    <t>GJ96111000VMA129BLAC01260202A00038</t>
  </si>
  <si>
    <t>GJ96111000VMA129BLAC01260202A00039</t>
  </si>
  <si>
    <t>GJ96111000VMA129BLAC01260202A00040</t>
  </si>
  <si>
    <t>GJ96111000VMA129BLAC01260202A00041</t>
  </si>
  <si>
    <t>GJ96111000VMA129BLAC01260202A00042</t>
  </si>
  <si>
    <t>GJ96111000VMA129BLAC01260202A00044</t>
  </si>
  <si>
    <t>GJ96111000VMA129BLAC01260202A00045</t>
  </si>
  <si>
    <t>GJ96111000VMA129BLAC01260202A00046</t>
  </si>
  <si>
    <t>GJ96111000VMA129BLAC01260202A00047</t>
  </si>
  <si>
    <t>GJ96111000VMA129BLAC01260202A00051</t>
  </si>
  <si>
    <t>GJ96111000VMA129BLAC01260202A00052</t>
  </si>
  <si>
    <t>GJ96111000VMA129BLAC01260202A00053</t>
  </si>
  <si>
    <t>GJ96111000VMA129BLAC01260202A00055</t>
  </si>
  <si>
    <t>GJ96111000VMA129BLAC01260202A00057</t>
  </si>
  <si>
    <t>GJ96111000VMA129BLAC01260202A00058</t>
  </si>
  <si>
    <t>GJ96111000VMA129BLAC01260202A00059</t>
  </si>
  <si>
    <t>GJ96111000VMA129BLAC01260202A00060</t>
  </si>
  <si>
    <t>GJ96111000VMA129BLAC01260202A00061</t>
  </si>
  <si>
    <t>GJ96111000VMA129BLAC01260202A00062</t>
  </si>
  <si>
    <t>GJ96111000VMA129BLAC01260202A00063</t>
  </si>
  <si>
    <t>GJ96111000VMA129BLAC01260202A00064</t>
  </si>
  <si>
    <t>GJ96111000VMA129BLAC01260202A00065</t>
  </si>
  <si>
    <t>GJ96111000VMA129BLAC01260202A00070</t>
  </si>
  <si>
    <t>GJ96111000VMA129BLAC01260202A00071</t>
  </si>
  <si>
    <t>GJ96111000VMA129BLAC01260202A00072</t>
  </si>
  <si>
    <t>GJ96111000VMA129BLAC01260202A00073</t>
  </si>
  <si>
    <t>GJ96111000VMA129BLAC01260202A00077</t>
  </si>
  <si>
    <t>GJ96111000VMA129BLAC01260202A00079</t>
  </si>
  <si>
    <t>GJ96111000VMA129BLAC01260202A00081</t>
  </si>
  <si>
    <t>GJ96111000VMA129BLAC01260202A00082</t>
  </si>
  <si>
    <t>GJ96111000VMA129BLAC01260202A00083</t>
  </si>
  <si>
    <t>GJ96111000VMA129BLAC01260202A00084</t>
  </si>
  <si>
    <t>GJ96111000VMA129BLAC01260202A00085</t>
  </si>
  <si>
    <t>GJ96111000VMA129BLAC01260202A00086</t>
  </si>
  <si>
    <t>GJ96111000VMA129BLAC01260202A00087</t>
  </si>
  <si>
    <t>GJ96111000VMA129BLAC01260202A00089</t>
  </si>
  <si>
    <t>GJ96111000VMA129BLAC01260202A00090</t>
  </si>
  <si>
    <t>GJ96111000VMA129BLAC01260202A00091</t>
  </si>
  <si>
    <t>GJ96111000VMA129BLAC01260202A00093</t>
  </si>
  <si>
    <t>GJ96111000VMA129BLAC01260202A00094</t>
  </si>
  <si>
    <t>GJ96111000VMA129BLAC01260202A00095</t>
  </si>
  <si>
    <t>GJ96111000VMA129BLAC01260202A00096</t>
  </si>
  <si>
    <t>GJ96111000VMA129BLAC01260202A00097</t>
  </si>
  <si>
    <t>GJ96111000VMA129BLAC01260202A00098</t>
  </si>
  <si>
    <t>GJ96111000VMA129BLAC01260202A00099</t>
  </si>
  <si>
    <t>GJ96111000VMA129BLAC01260202A00100</t>
  </si>
  <si>
    <t>GJ96111000VMA129BLAC01260202A00101</t>
  </si>
  <si>
    <t>GJ96111000VMA129BLAC01260202A00102</t>
  </si>
  <si>
    <t>GJ96111000VMA129BLAC01260202A00104</t>
  </si>
  <si>
    <t>GJ96111000VMA129BLAC01260202A00106</t>
  </si>
  <si>
    <t>GJ96111000VMA129BLAC01260202A00107</t>
  </si>
  <si>
    <t>GJ96111000VMA129BLAC01260202A00110</t>
  </si>
  <si>
    <t>GJ96111000VMA129BLAC01260202A00111</t>
  </si>
  <si>
    <t>GJ96111000VMA129BLAC01260202A00112</t>
  </si>
  <si>
    <t>GJ96111000VMA129BLAC01260202A00113</t>
  </si>
  <si>
    <t>GJ96111000VMA129BLAC01260202A00114</t>
  </si>
  <si>
    <t>GJ96111000VMA129BLAC01260202A00115</t>
  </si>
  <si>
    <t>GJ96111000VMA129BLAC01260202A00117</t>
  </si>
  <si>
    <t>GJ96111000VMA129BLAC01260202A00118</t>
  </si>
  <si>
    <t>GJ96111000VMA129BLAC01260202A00119</t>
  </si>
  <si>
    <t>GJ96111000VMA129BLAC01260202A00120</t>
  </si>
  <si>
    <t>GJ96111000VMA129BLAC01260202A00123</t>
  </si>
  <si>
    <t>GJ96111000VMA129BLAC01260202A00124</t>
  </si>
  <si>
    <t>GJ96111000VMA129BLAC01260202A00125</t>
  </si>
  <si>
    <t>GJ96111000VMA129BLAC01260202A00126</t>
  </si>
  <si>
    <t>GJ96111000VMA129BLAC01260202A00128</t>
  </si>
  <si>
    <t>GJ96111000VMA129BLAC01260202A00129</t>
  </si>
  <si>
    <t>GJ96111000VMA129BLAC01260202A00130</t>
  </si>
  <si>
    <t>GJ96111000VMA129BLAC01260202A00131</t>
  </si>
  <si>
    <t>GJ96111000VMA129BLAC01260202A00132</t>
  </si>
  <si>
    <t>GJ96111000VMA129BLAC01260202A00133</t>
  </si>
  <si>
    <t>GJ96111000VMA129BLAC01260202A00134</t>
  </si>
  <si>
    <t>GJ96111000VMA129BLAC01260202A00135</t>
  </si>
  <si>
    <t>GJ96111000VMA129BLAC01260202A00136</t>
  </si>
  <si>
    <t>GJ96111000VMA129BLAC01260202A00137</t>
  </si>
  <si>
    <t>GJ96111000VMA129BLAC01260202A00138</t>
  </si>
  <si>
    <t>GJ96111000VMA129BLAC01260202A00139</t>
  </si>
  <si>
    <t>GJ96111000VMA129BLAC01260202A00140</t>
  </si>
  <si>
    <t>GJ96111000VMA129BLAC01260202A00141</t>
  </si>
  <si>
    <t>GJ96111000VMA129BLAC01260202A00142</t>
  </si>
  <si>
    <t>GJ96111000VMA129BLAC01260202A00143</t>
  </si>
  <si>
    <t>GJ96111000VMA129BLAC01260202A00145</t>
  </si>
  <si>
    <t>GJ96111000VMA129BLAC01260202A00146</t>
  </si>
  <si>
    <t>GJ96111000VMA129BLAC01260202A00148</t>
  </si>
  <si>
    <t>GJ96111000VMA129BLAC01260202A00149</t>
  </si>
  <si>
    <t>GJ96111000VMA129BLAC01260202A00152</t>
  </si>
  <si>
    <t>GJ96111000VMA129BLAC01260202A00153</t>
  </si>
  <si>
    <t>GJ96111000VMA129BLAC01260202A00155</t>
  </si>
  <si>
    <t>GJ96111000VMA129BLAC01260202A00156</t>
  </si>
  <si>
    <t>GJ96111000VMA129BLAC01260202A00157</t>
  </si>
  <si>
    <t>GJ96111000VMA129BLAC01260202A00159</t>
  </si>
  <si>
    <t>GJ96111000VMA129BLAC01260202A00160</t>
  </si>
  <si>
    <t>GJ96111000VMA129BLAC01260202A00161</t>
  </si>
  <si>
    <t>GJ96111000VMA129BLAC01260202A00163</t>
  </si>
  <si>
    <t>GJ96111000VMA129BLAC01260202A00164</t>
  </si>
  <si>
    <t>GJ96111000VMA129BLAC01260202A00165</t>
  </si>
  <si>
    <t>GJ96111000VMA129BLAC01260202A00167</t>
  </si>
  <si>
    <t>GJ96111000VMA129BLAC01260202A00168</t>
  </si>
  <si>
    <t>GJ96111000VMA129BLAC01260202A00169</t>
  </si>
  <si>
    <t>GJ96111000VMA129BLAC01260202A00171</t>
  </si>
  <si>
    <t>GJ96111000VMA129BLAC01260202A00173</t>
  </si>
  <si>
    <t>GJ96111000VMA129BLAC01260202A00175</t>
  </si>
  <si>
    <t>GJ96111000VMA129BLAC01260202A00176</t>
  </si>
  <si>
    <t>GJ96111000VMA129BLAC01260202A00178</t>
  </si>
  <si>
    <t>GJ96111000VMA129BLAC01260202A00179</t>
  </si>
  <si>
    <t>GJ96111000VMA129BLAC01260202A00180</t>
  </si>
  <si>
    <t>GJ96111000VMA129BLAC01260202A00181</t>
  </si>
  <si>
    <t>GJ96111000VMA129BLAC01260202A00182</t>
  </si>
  <si>
    <t>GJ96111000VMA129BLAC01260202A00183</t>
  </si>
  <si>
    <t>GJ96111000VMA129BLAC01260202A00184</t>
  </si>
  <si>
    <t>GJ96111000VMA129BLAC01260202A00185</t>
  </si>
  <si>
    <t>GJ96111000VMA129BLAC01260202A00186</t>
  </si>
  <si>
    <t>GJ96111000VMA129BLAC01260202A00187</t>
  </si>
  <si>
    <t>GJ96111000VMA129BLAC01260202A00189</t>
  </si>
  <si>
    <t>GJ96111000VMA129BLAC01260202A00190</t>
  </si>
  <si>
    <t>GJ96111000VMA129BLAC01260202A00191</t>
  </si>
  <si>
    <t>GJ96111000VMA129BLAC01260202A00192</t>
  </si>
  <si>
    <t>GJ96111000VMA129BLAC01260202A00193</t>
  </si>
  <si>
    <t>GJ96111000VMA129BLAC01260202A00195</t>
  </si>
  <si>
    <t>GJ96111000VMA129BLAC01260202A00197</t>
  </si>
  <si>
    <t>GJ96111000VMA129BLAC01260202A00198</t>
  </si>
  <si>
    <t>GJ96111000VMA129BLAC01260202A00199</t>
  </si>
  <si>
    <t>GJ96111000VMA129BLAC01260202A00200</t>
  </si>
  <si>
    <t>GJ96111000VMA129BLAC01260202A00201</t>
  </si>
  <si>
    <t>GJ96111000VMA129BLAC01260202A00203</t>
  </si>
  <si>
    <t>GJ96111000VMA129BLAC01260202A00204</t>
  </si>
  <si>
    <t>GJ96111000VMA129BLAC01260202A00206</t>
  </si>
  <si>
    <t>GJ96111000VMA129BLAC01260202A00207</t>
  </si>
  <si>
    <t>GJ96111000VMA129BLAC01260202A00208</t>
  </si>
  <si>
    <t>GJ96111000VMA129BLAC01260202A00209</t>
  </si>
  <si>
    <t>GJ96111000VMA129BLAC01260202A00210</t>
  </si>
  <si>
    <t>GJ96111000VMA129BLAC01260202A00211</t>
  </si>
  <si>
    <t>GJ96111000VMA129BLAC01260202A00212</t>
  </si>
  <si>
    <t>GJ96111000VMA129BLAC01260202A00213</t>
  </si>
  <si>
    <t>GJ96111000VMA129BLAC01260202A00214</t>
  </si>
  <si>
    <t>GJ96111000VMA129BLAC01260202A00217</t>
  </si>
  <si>
    <t>GJ96111000VMA129BLAC01260202A00218</t>
  </si>
  <si>
    <t>GJ96111000VMA129BLAC01260202A00219</t>
  </si>
  <si>
    <t>GJ96111000VMA129BLAC01260202A00222</t>
  </si>
  <si>
    <t>GJ96111000VMA129BLAC01260202A00223</t>
  </si>
  <si>
    <t>GJ96111000VMA129BLAC01260202A00224</t>
  </si>
  <si>
    <t>GJ96111000VMA129BLAC01260202A00225</t>
  </si>
  <si>
    <t>GJ96111000VMA129BLAC01260202A00226</t>
  </si>
  <si>
    <t>GJ96111000VMA129BLAC01260202A00228</t>
  </si>
  <si>
    <t>GJ96111000VMA129BLAC01260202A00229</t>
  </si>
  <si>
    <t>GJ96111000VMA129BLAC01260202A00230</t>
  </si>
  <si>
    <t>GJ96111000VMA129BLAC01260202A00231</t>
  </si>
  <si>
    <t>GJ96111000VMA129BLAC01260202A00233</t>
  </si>
  <si>
    <t>GJ96111000VMA129BLAC01260202A00234</t>
  </si>
  <si>
    <t>GJ96111000VMA129BLAC01260202A00235</t>
  </si>
  <si>
    <t>GJ96111000VMA129BLAC01260202A00236</t>
  </si>
  <si>
    <t>GJ96111000VMA129BLAC01260202A00237</t>
  </si>
  <si>
    <t>GJ96111000VMA129BLAC01260202A00238</t>
  </si>
  <si>
    <t>GJ96111000VMA129BLAC01260202A00239</t>
  </si>
  <si>
    <t>GJ96111000VMA129BLAC01260202A00240</t>
  </si>
  <si>
    <t>GJ96111000VMA129BLAC01260202A00241</t>
  </si>
  <si>
    <t>GJ96111000VMA129BLAC01260202A00242</t>
  </si>
  <si>
    <t>GJ96111000VMA129BLAC01260202A00243</t>
  </si>
  <si>
    <t>GJ96111000VMA129BLAC01260202A00244</t>
  </si>
  <si>
    <t>GJ96111000VMA129BLAC01260202A00245</t>
  </si>
  <si>
    <t>GJ96111000VMA129BLAC01260202A00246</t>
  </si>
  <si>
    <t>GJ96111000VMA129BLAC01260202A00247</t>
  </si>
  <si>
    <t>GJ96111000VMA129BLAC01260202A00248</t>
  </si>
  <si>
    <t>GJ96111000VMA129BLAC01260202A00251</t>
  </si>
  <si>
    <t>GJ96111000VMA129BLAC01260202A00252</t>
  </si>
  <si>
    <t>GJ96111000VMA129BLAC01260202A00253</t>
  </si>
  <si>
    <t>GJ96111000VMA129BLAC01260202A00255</t>
  </si>
  <si>
    <t>GJ96111000VMA129BLAC01260202A00256</t>
  </si>
  <si>
    <t>GJ96111000VMA129BLAC01260202A00257</t>
  </si>
  <si>
    <t>GJ96111000VMA129BLAC01260202A00259</t>
  </si>
  <si>
    <t>GJ96111000VMA129BLAC01260202A00260</t>
  </si>
  <si>
    <t>2026-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</si>
</sst>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000_);[Red]\(0.0000\)"/>
    <numFmt numFmtId="177" formatCode="0.000_);[Red]\(0.000\)"/>
    <numFmt numFmtId="178" formatCode="0.0_);[Red]\(0.0\)"/>
    <numFmt numFmtId="179" formatCode="0.000"/>
    <numFmt numFmtId="180" formatCode="0.0"/>
    <numFmt numFmtId="181" formatCode="0.0000_ ;[Red]\-0.0000\ "/>
    <numFmt numFmtId="182" formatCode="0.0_ "/>
    <numFmt numFmtId="183" formatCode="0_);[Red]\(0\)"/>
    <numFmt numFmtId="184" formatCode="0.00_);[Red]\(0.00\)"/>
    <numFmt numFmtId="185" formatCode="0.0000"/>
    <numFmt numFmtId="186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2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0">
    <xf numFmtId="0" fontId="0" fillId="0" borderId="0" xfId="0">
      <alignment vertical="center"/>
    </xf>
    <xf numFmtId="0" fontId="2" fillId="0" borderId="0" xfId="2" applyAlignment="1">
      <alignment horizontal="center" vertical="center"/>
    </xf>
    <xf numFmtId="0" fontId="4" fillId="0" borderId="0" xfId="2" applyFont="1" applyAlignment="1">
      <alignment vertical="top"/>
    </xf>
    <xf numFmtId="0" fontId="4" fillId="0" borderId="0" xfId="2" applyFont="1" applyAlignment="1">
      <alignment horizontal="center" vertical="top"/>
    </xf>
    <xf numFmtId="0" fontId="4" fillId="0" borderId="0" xfId="2" applyFont="1">
      <alignment vertical="center"/>
    </xf>
    <xf numFmtId="0" fontId="5" fillId="0" borderId="0" xfId="0" applyFont="1">
      <alignment vertical="center"/>
    </xf>
    <xf numFmtId="0" fontId="6" fillId="2" borderId="0" xfId="2" applyFont="1" applyFill="1" applyAlignment="1">
      <alignment horizontal="left" vertical="center"/>
    </xf>
    <xf numFmtId="0" fontId="4" fillId="2" borderId="0" xfId="2" applyFont="1" applyFill="1" applyAlignment="1">
      <alignment vertical="top"/>
    </xf>
    <xf numFmtId="0" fontId="6" fillId="0" borderId="0" xfId="2" applyFont="1" applyAlignment="1">
      <alignment horizontal="left" vertical="center"/>
    </xf>
    <xf numFmtId="0" fontId="2" fillId="2" borderId="0" xfId="2" applyFill="1" applyAlignment="1">
      <alignment horizontal="center" vertical="center"/>
    </xf>
    <xf numFmtId="0" fontId="7" fillId="0" borderId="0" xfId="2" applyFont="1" applyAlignment="1">
      <alignment horizontal="center" vertical="top"/>
    </xf>
    <xf numFmtId="14" fontId="6" fillId="2" borderId="0" xfId="2" applyNumberFormat="1" applyFont="1" applyFill="1" applyAlignment="1">
      <alignment horizontal="left" vertical="center"/>
    </xf>
    <xf numFmtId="0" fontId="4" fillId="0" borderId="1" xfId="2" applyFont="1" applyBorder="1" applyAlignment="1">
      <alignment horizontal="center" vertical="top"/>
    </xf>
    <xf numFmtId="0" fontId="7" fillId="0" borderId="1" xfId="2" applyFont="1" applyBorder="1" applyAlignment="1">
      <alignment horizontal="center" vertical="top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9" fillId="5" borderId="5" xfId="2" applyFont="1" applyFill="1" applyBorder="1" applyAlignment="1">
      <alignment horizontal="center" vertical="center"/>
    </xf>
    <xf numFmtId="0" fontId="9" fillId="6" borderId="5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176" fontId="8" fillId="8" borderId="5" xfId="2" applyNumberFormat="1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 wrapText="1"/>
    </xf>
    <xf numFmtId="177" fontId="2" fillId="0" borderId="0" xfId="2" applyNumberFormat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7" borderId="2" xfId="2" applyFont="1" applyFill="1" applyBorder="1" applyAlignment="1">
      <alignment horizontal="center" vertical="center"/>
    </xf>
    <xf numFmtId="178" fontId="8" fillId="7" borderId="2" xfId="2" applyNumberFormat="1" applyFont="1" applyFill="1" applyBorder="1" applyAlignment="1">
      <alignment horizontal="center" vertical="center"/>
    </xf>
    <xf numFmtId="176" fontId="8" fillId="8" borderId="2" xfId="2" applyNumberFormat="1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177" fontId="8" fillId="0" borderId="2" xfId="2" applyNumberFormat="1" applyFont="1" applyBorder="1" applyAlignment="1">
      <alignment horizontal="center" vertical="center"/>
    </xf>
    <xf numFmtId="178" fontId="8" fillId="2" borderId="2" xfId="2" applyNumberFormat="1" applyFont="1" applyFill="1" applyBorder="1" applyAlignment="1">
      <alignment horizontal="center" vertical="center"/>
    </xf>
    <xf numFmtId="179" fontId="10" fillId="9" borderId="6" xfId="2" applyNumberFormat="1" applyFont="1" applyFill="1" applyBorder="1" applyAlignment="1">
      <alignment horizontal="center" vertical="center"/>
    </xf>
    <xf numFmtId="176" fontId="8" fillId="9" borderId="2" xfId="2" applyNumberFormat="1" applyFont="1" applyFill="1" applyBorder="1" applyAlignment="1">
      <alignment horizontal="center" vertical="center"/>
    </xf>
    <xf numFmtId="41" fontId="8" fillId="2" borderId="2" xfId="1" applyFont="1" applyFill="1" applyBorder="1" applyAlignment="1">
      <alignment horizontal="center" vertical="center"/>
    </xf>
    <xf numFmtId="180" fontId="10" fillId="9" borderId="6" xfId="2" applyNumberFormat="1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177" fontId="11" fillId="2" borderId="5" xfId="2" applyNumberFormat="1" applyFont="1" applyFill="1" applyBorder="1" applyAlignment="1">
      <alignment horizontal="center" vertical="center"/>
    </xf>
    <xf numFmtId="176" fontId="10" fillId="9" borderId="5" xfId="2" applyNumberFormat="1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180" fontId="8" fillId="3" borderId="6" xfId="2" applyNumberFormat="1" applyFont="1" applyFill="1" applyBorder="1" applyAlignment="1">
      <alignment horizontal="center" vertical="center"/>
    </xf>
    <xf numFmtId="176" fontId="10" fillId="9" borderId="6" xfId="2" applyNumberFormat="1" applyFont="1" applyFill="1" applyBorder="1" applyAlignment="1">
      <alignment horizontal="center" vertical="center"/>
    </xf>
    <xf numFmtId="177" fontId="8" fillId="2" borderId="2" xfId="2" applyNumberFormat="1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181" fontId="8" fillId="0" borderId="5" xfId="2" applyNumberFormat="1" applyFont="1" applyBorder="1" applyAlignment="1">
      <alignment horizontal="center" vertical="center"/>
    </xf>
    <xf numFmtId="41" fontId="8" fillId="0" borderId="5" xfId="1" applyFont="1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181" fontId="11" fillId="0" borderId="5" xfId="2" applyNumberFormat="1" applyFont="1" applyBorder="1" applyAlignment="1">
      <alignment horizontal="center" vertical="center"/>
    </xf>
    <xf numFmtId="181" fontId="14" fillId="0" borderId="5" xfId="2" applyNumberFormat="1" applyFont="1" applyBorder="1" applyAlignment="1">
      <alignment horizontal="center" vertical="center"/>
    </xf>
    <xf numFmtId="41" fontId="11" fillId="0" borderId="5" xfId="1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177" fontId="8" fillId="0" borderId="0" xfId="2" applyNumberFormat="1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77" fontId="8" fillId="10" borderId="5" xfId="2" applyNumberFormat="1" applyFont="1" applyFill="1" applyBorder="1" applyAlignment="1">
      <alignment horizontal="center" vertical="center"/>
    </xf>
    <xf numFmtId="0" fontId="8" fillId="10" borderId="5" xfId="2" applyFont="1" applyFill="1" applyBorder="1" applyAlignment="1">
      <alignment horizontal="center" vertical="center"/>
    </xf>
    <xf numFmtId="0" fontId="2" fillId="2" borderId="3" xfId="2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176" fontId="2" fillId="2" borderId="5" xfId="2" applyNumberFormat="1" applyFill="1" applyBorder="1" applyAlignment="1">
      <alignment horizontal="center" vertical="center"/>
    </xf>
    <xf numFmtId="182" fontId="2" fillId="0" borderId="5" xfId="2" applyNumberFormat="1" applyBorder="1" applyAlignment="1">
      <alignment horizontal="center" vertical="center"/>
    </xf>
    <xf numFmtId="183" fontId="2" fillId="0" borderId="5" xfId="2" applyNumberFormat="1" applyBorder="1" applyAlignment="1">
      <alignment horizontal="center" vertical="center"/>
    </xf>
    <xf numFmtId="176" fontId="2" fillId="0" borderId="5" xfId="2" applyNumberFormat="1" applyBorder="1" applyAlignment="1">
      <alignment horizontal="center" vertical="center"/>
    </xf>
    <xf numFmtId="180" fontId="2" fillId="0" borderId="5" xfId="2" applyNumberFormat="1" applyBorder="1" applyAlignment="1">
      <alignment horizontal="center" vertical="center"/>
    </xf>
    <xf numFmtId="178" fontId="2" fillId="0" borderId="5" xfId="2" applyNumberFormat="1" applyBorder="1" applyAlignment="1">
      <alignment horizontal="center" vertical="center"/>
    </xf>
    <xf numFmtId="177" fontId="2" fillId="0" borderId="5" xfId="2" applyNumberFormat="1" applyBorder="1" applyAlignment="1">
      <alignment horizontal="center" vertical="center"/>
    </xf>
    <xf numFmtId="49" fontId="2" fillId="0" borderId="5" xfId="2" applyNumberFormat="1" applyBorder="1" applyAlignment="1">
      <alignment horizontal="center" vertical="center"/>
    </xf>
    <xf numFmtId="178" fontId="2" fillId="0" borderId="0" xfId="2" applyNumberFormat="1" applyAlignment="1">
      <alignment horizontal="center" vertical="center"/>
    </xf>
    <xf numFmtId="0" fontId="15" fillId="2" borderId="3" xfId="2" applyFont="1" applyFill="1" applyBorder="1" applyAlignment="1">
      <alignment horizontal="center" vertical="center"/>
    </xf>
    <xf numFmtId="176" fontId="15" fillId="2" borderId="5" xfId="2" applyNumberFormat="1" applyFont="1" applyFill="1" applyBorder="1" applyAlignment="1">
      <alignment horizontal="center" vertical="center"/>
    </xf>
    <xf numFmtId="177" fontId="15" fillId="4" borderId="0" xfId="2" applyNumberFormat="1" applyFont="1" applyFill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178" fontId="17" fillId="0" borderId="5" xfId="2" applyNumberFormat="1" applyFont="1" applyBorder="1" applyAlignment="1">
      <alignment horizontal="center" vertical="center"/>
    </xf>
    <xf numFmtId="177" fontId="17" fillId="0" borderId="5" xfId="2" applyNumberFormat="1" applyFont="1" applyBorder="1" applyAlignment="1">
      <alignment horizontal="center" vertical="center"/>
    </xf>
    <xf numFmtId="49" fontId="17" fillId="0" borderId="5" xfId="2" applyNumberFormat="1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178" fontId="15" fillId="0" borderId="5" xfId="2" applyNumberFormat="1" applyFont="1" applyBorder="1" applyAlignment="1">
      <alignment horizontal="center" vertical="center"/>
    </xf>
    <xf numFmtId="177" fontId="15" fillId="0" borderId="5" xfId="2" applyNumberFormat="1" applyFont="1" applyBorder="1" applyAlignment="1">
      <alignment horizontal="center" vertical="center"/>
    </xf>
    <xf numFmtId="49" fontId="15" fillId="0" borderId="5" xfId="2" applyNumberFormat="1" applyFont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177" fontId="20" fillId="11" borderId="0" xfId="2" applyNumberFormat="1" applyFont="1" applyFill="1" applyAlignment="1">
      <alignment horizontal="center" vertical="center"/>
    </xf>
    <xf numFmtId="177" fontId="20" fillId="6" borderId="0" xfId="2" applyNumberFormat="1" applyFont="1" applyFill="1" applyAlignment="1">
      <alignment horizontal="center" vertical="center"/>
    </xf>
    <xf numFmtId="184" fontId="15" fillId="2" borderId="5" xfId="2" applyNumberFormat="1" applyFont="1" applyFill="1" applyBorder="1" applyAlignment="1">
      <alignment horizontal="center" vertical="center"/>
    </xf>
    <xf numFmtId="186" fontId="16" fillId="2" borderId="3" xfId="2" applyNumberFormat="1" applyFont="1" applyFill="1" applyBorder="1" applyAlignment="1">
      <alignment horizontal="center" vertical="center"/>
    </xf>
    <xf numFmtId="176" fontId="2" fillId="0" borderId="0" xfId="2" applyNumberFormat="1" applyAlignment="1">
      <alignment horizontal="center" vertical="center"/>
    </xf>
    <xf numFmtId="0" fontId="21" fillId="0" borderId="0" xfId="2" applyFont="1" applyAlignment="1">
      <alignment vertical="top"/>
    </xf>
    <xf numFmtId="0" fontId="21" fillId="0" borderId="0" xfId="2" applyFont="1" applyAlignment="1">
      <alignment horizontal="center" vertical="top"/>
    </xf>
    <xf numFmtId="0" fontId="21" fillId="0" borderId="1" xfId="2" applyFont="1" applyBorder="1" applyAlignment="1">
      <alignment horizontal="center" vertical="top"/>
    </xf>
    <xf numFmtId="0" fontId="11" fillId="3" borderId="2" xfId="2" applyFont="1" applyFill="1" applyBorder="1" applyAlignment="1">
      <alignment horizontal="center" vertical="center"/>
    </xf>
    <xf numFmtId="0" fontId="22" fillId="2" borderId="3" xfId="2" applyFont="1" applyFill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3" fillId="2" borderId="3" xfId="2" applyFont="1" applyFill="1" applyBorder="1" applyAlignment="1">
      <alignment horizontal="center" vertical="center"/>
    </xf>
    <xf numFmtId="176" fontId="22" fillId="2" borderId="5" xfId="2" applyNumberFormat="1" applyFont="1" applyFill="1" applyBorder="1" applyAlignment="1">
      <alignment horizontal="center" vertical="center"/>
    </xf>
    <xf numFmtId="186" fontId="23" fillId="2" borderId="3" xfId="2" applyNumberFormat="1" applyFont="1" applyFill="1" applyBorder="1" applyAlignment="1">
      <alignment horizontal="center" vertical="center"/>
    </xf>
    <xf numFmtId="0" fontId="22" fillId="2" borderId="5" xfId="2" applyFont="1" applyFill="1" applyBorder="1" applyAlignment="1">
      <alignment horizontal="center" vertical="center"/>
    </xf>
    <xf numFmtId="177" fontId="20" fillId="0" borderId="0" xfId="2" applyNumberFormat="1" applyFont="1" applyAlignment="1">
      <alignment horizontal="center" vertical="center"/>
    </xf>
    <xf numFmtId="0" fontId="15" fillId="2" borderId="5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83" fontId="15" fillId="0" borderId="5" xfId="2" applyNumberFormat="1" applyFont="1" applyBorder="1" applyAlignment="1">
      <alignment horizontal="center" vertical="center"/>
    </xf>
    <xf numFmtId="176" fontId="15" fillId="0" borderId="5" xfId="2" applyNumberFormat="1" applyFont="1" applyBorder="1" applyAlignment="1">
      <alignment horizontal="center" vertical="center"/>
    </xf>
    <xf numFmtId="180" fontId="15" fillId="0" borderId="5" xfId="2" applyNumberFormat="1" applyFont="1" applyBorder="1" applyAlignment="1">
      <alignment horizontal="center" vertical="center"/>
    </xf>
    <xf numFmtId="185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9" fillId="5" borderId="5" xfId="2" applyFont="1" applyFill="1" applyBorder="1" applyAlignment="1">
      <alignment horizontal="center" vertical="center"/>
    </xf>
    <xf numFmtId="0" fontId="9" fillId="6" borderId="5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7" borderId="5" xfId="2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10 2" xfId="2" xr:uid="{F2B5D8C0-019A-4332-89AF-59469E5D3F45}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RED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'Daily_BU설비데이터 '!$F$20:$F$330</c:f>
              <c:numCache>
                <c:formatCode>0.0000_);[Red]\(0.0000\)</c:formatCode>
                <c:ptCount val="311"/>
              </c:numCache>
            </c:numRef>
          </c:xVal>
          <c:yVal>
            <c:numRef>
              <c:f>'Daily_BU설비데이터 '!$G$20:$G$330</c:f>
              <c:numCache>
                <c:formatCode>0.0000_);[Red]\(0.0000\)</c:formatCode>
                <c:ptCount val="3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6-4FFE-B229-DF5E3E77F5C2}"/>
            </c:ext>
          </c:extLst>
        </c:ser>
        <c:ser>
          <c:idx val="3"/>
          <c:order val="1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'Daily_BU설비데이터 '!$F$12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'Daily_BU설비데이터 '!$G$12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36-4FFE-B229-DF5E3E77F5C2}"/>
            </c:ext>
          </c:extLst>
        </c:ser>
        <c:ser>
          <c:idx val="1"/>
          <c:order val="2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'Daily_BU설비데이터 '!$F$12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'Daily_BU설비데이터 '!$G$12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36-4FFE-B229-DF5E3E77F5C2}"/>
            </c:ext>
          </c:extLst>
        </c:ser>
        <c:ser>
          <c:idx val="4"/>
          <c:order val="3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'Daily_BU설비데이터 '!$AQ$30:$AQ$34</c:f>
              <c:numCache>
                <c:formatCode>0.000_);[Red]\(0.000\)</c:formatCode>
                <c:ptCount val="5"/>
                <c:pt idx="0">
                  <c:v>0.61</c:v>
                </c:pt>
                <c:pt idx="1">
                  <c:v>0.61</c:v>
                </c:pt>
                <c:pt idx="2">
                  <c:v>0.67</c:v>
                </c:pt>
                <c:pt idx="3">
                  <c:v>0.67</c:v>
                </c:pt>
                <c:pt idx="4">
                  <c:v>0.61</c:v>
                </c:pt>
              </c:numCache>
            </c:numRef>
          </c:xVal>
          <c:yVal>
            <c:numRef>
              <c:f>'Daily_BU설비데이터 '!$AR$30:$AR$34</c:f>
              <c:numCache>
                <c:formatCode>0.000_);[Red]\(0.000\)</c:formatCode>
                <c:ptCount val="5"/>
                <c:pt idx="0">
                  <c:v>0.32099999999999995</c:v>
                </c:pt>
                <c:pt idx="1">
                  <c:v>0.38100000000000001</c:v>
                </c:pt>
                <c:pt idx="2">
                  <c:v>0.38100000000000001</c:v>
                </c:pt>
                <c:pt idx="3">
                  <c:v>0.32099999999999995</c:v>
                </c:pt>
                <c:pt idx="4">
                  <c:v>0.32099999999999995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36-4FFE-B229-DF5E3E77F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482272"/>
        <c:axId val="687480312"/>
      </c:scatterChart>
      <c:valAx>
        <c:axId val="68748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0312"/>
        <c:crosses val="autoZero"/>
        <c:crossBetween val="midCat"/>
      </c:valAx>
      <c:valAx>
        <c:axId val="687480312"/>
        <c:scaling>
          <c:orientation val="minMax"/>
          <c:min val="0.31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22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GREEN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'Daily_BU설비데이터 '!$H$20:$H$330</c:f>
              <c:numCache>
                <c:formatCode>0.0000_);[Red]\(0.0000\)</c:formatCode>
                <c:ptCount val="311"/>
              </c:numCache>
            </c:numRef>
          </c:xVal>
          <c:yVal>
            <c:numRef>
              <c:f>'Daily_BU설비데이터 '!$I$20:$I$330</c:f>
              <c:numCache>
                <c:formatCode>0.0000_);[Red]\(0.0000\)</c:formatCode>
                <c:ptCount val="3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A-4BB1-BAC6-BA2F6AB425D7}"/>
            </c:ext>
          </c:extLst>
        </c:ser>
        <c:ser>
          <c:idx val="1"/>
          <c:order val="1"/>
          <c:tx>
            <c:v>GREEN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'Daily_BU설비데이터 '!$H$12</c:f>
              <c:numCache>
                <c:formatCode>0.000_);[Red]\(0.000\)</c:formatCode>
                <c:ptCount val="1"/>
                <c:pt idx="0">
                  <c:v>0.29199999999999998</c:v>
                </c:pt>
              </c:numCache>
            </c:numRef>
          </c:xVal>
          <c:yVal>
            <c:numRef>
              <c:f>'Daily_BU설비데이터 '!$I$12</c:f>
              <c:numCache>
                <c:formatCode>0.000_);[Red]\(0.000\)</c:formatCode>
                <c:ptCount val="1"/>
                <c:pt idx="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A-4BB1-BAC6-BA2F6AB425D7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'Daily_BU설비데이터 '!$AH$48:$AH$52</c:f>
              <c:numCache>
                <c:formatCode>0.000_);[Red]\(0.000\)</c:formatCode>
                <c:ptCount val="5"/>
                <c:pt idx="0">
                  <c:v>0.26200000000000001</c:v>
                </c:pt>
                <c:pt idx="1">
                  <c:v>0.26200000000000001</c:v>
                </c:pt>
                <c:pt idx="2">
                  <c:v>0.32199999999999995</c:v>
                </c:pt>
                <c:pt idx="3">
                  <c:v>0.32199999999999995</c:v>
                </c:pt>
                <c:pt idx="4">
                  <c:v>0.26200000000000001</c:v>
                </c:pt>
              </c:numCache>
            </c:numRef>
          </c:xVal>
          <c:yVal>
            <c:numRef>
              <c:f>'Daily_BU설비데이터 '!$AI$48:$AI$52</c:f>
              <c:numCache>
                <c:formatCode>0.000_);[Red]\(0.000\)</c:formatCode>
                <c:ptCount val="5"/>
                <c:pt idx="0">
                  <c:v>0.61699999999999999</c:v>
                </c:pt>
                <c:pt idx="1">
                  <c:v>0.67700000000000005</c:v>
                </c:pt>
                <c:pt idx="2">
                  <c:v>0.67700000000000005</c:v>
                </c:pt>
                <c:pt idx="3">
                  <c:v>0.61699999999999999</c:v>
                </c:pt>
                <c:pt idx="4">
                  <c:v>0.61699999999999999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A-4BB1-BAC6-BA2F6AB42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58512"/>
        <c:axId val="679362040"/>
      </c:scatterChart>
      <c:valAx>
        <c:axId val="679358512"/>
        <c:scaling>
          <c:orientation val="minMax"/>
          <c:max val="0.33000000000000007"/>
          <c:min val="0.2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2040"/>
        <c:crosses val="autoZero"/>
        <c:crossBetween val="midCat"/>
        <c:majorUnit val="5.000000000000001E-3"/>
      </c:valAx>
      <c:valAx>
        <c:axId val="679362040"/>
        <c:scaling>
          <c:orientation val="minMax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58512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BLUE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'Daily_BU설비데이터 '!$J$20:$J$330</c:f>
              <c:numCache>
                <c:formatCode>0.0000_);[Red]\(0.0000\)</c:formatCode>
                <c:ptCount val="311"/>
              </c:numCache>
            </c:numRef>
          </c:xVal>
          <c:yVal>
            <c:numRef>
              <c:f>'Daily_BU설비데이터 '!$K$20:$K$330</c:f>
              <c:numCache>
                <c:formatCode>0.0000_);[Red]\(0.0000\)</c:formatCode>
                <c:ptCount val="3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A-4B6F-BB90-4D89C6974914}"/>
            </c:ext>
          </c:extLst>
        </c:ser>
        <c:ser>
          <c:idx val="1"/>
          <c:order val="1"/>
          <c:tx>
            <c:v>BLUE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'Daily_BU설비데이터 '!$J$12</c:f>
              <c:numCache>
                <c:formatCode>0.000_);[Red]\(0.000\)</c:formatCode>
                <c:ptCount val="1"/>
                <c:pt idx="0">
                  <c:v>0.15</c:v>
                </c:pt>
              </c:numCache>
            </c:numRef>
          </c:xVal>
          <c:yVal>
            <c:numRef>
              <c:f>'Daily_BU설비데이터 '!$K$12</c:f>
              <c:numCache>
                <c:formatCode>0.000_);[Red]\(0.000\)</c:formatCode>
                <c:ptCount val="1"/>
                <c:pt idx="0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A-4B6F-BB90-4D89C6974914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'Daily_BU설비데이터 '!$AQ$48:$AQ$52</c:f>
              <c:numCache>
                <c:formatCode>0.000_);[Red]\(0.000\)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0.18</c:v>
                </c:pt>
                <c:pt idx="3">
                  <c:v>0.18</c:v>
                </c:pt>
                <c:pt idx="4">
                  <c:v>0.12</c:v>
                </c:pt>
              </c:numCache>
            </c:numRef>
          </c:xVal>
          <c:yVal>
            <c:numRef>
              <c:f>'Daily_BU설비데이터 '!$AR$48:$AR$52</c:f>
              <c:numCache>
                <c:formatCode>0.000_);[Red]\(0.000\)</c:formatCode>
                <c:ptCount val="5"/>
                <c:pt idx="0">
                  <c:v>0.03</c:v>
                </c:pt>
                <c:pt idx="1">
                  <c:v>0.09</c:v>
                </c:pt>
                <c:pt idx="2">
                  <c:v>0.09</c:v>
                </c:pt>
                <c:pt idx="3">
                  <c:v>0.03</c:v>
                </c:pt>
                <c:pt idx="4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DA-4B6F-BB90-4D89C6974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60864"/>
        <c:axId val="679361256"/>
      </c:scatterChart>
      <c:valAx>
        <c:axId val="679360864"/>
        <c:scaling>
          <c:orientation val="minMax"/>
          <c:min val="0.115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1256"/>
        <c:crosses val="autoZero"/>
        <c:crossBetween val="midCat"/>
        <c:majorUnit val="5.000000000000001E-3"/>
      </c:valAx>
      <c:valAx>
        <c:axId val="679361256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0864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휘도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'!$O$20:$O$96</c:f>
              <c:numCache>
                <c:formatCode>0.0000_);[Red]\(0.0000\)</c:formatCode>
                <c:ptCount val="7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F-4A38-9B5B-59D2F6A7BA87}"/>
            </c:ext>
          </c:extLst>
        </c:ser>
        <c:ser>
          <c:idx val="1"/>
          <c:order val="1"/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'!$AZ$20:$AZ$96</c:f>
              <c:numCache>
                <c:formatCode>0.0_);[Red]\(0.0\)</c:formatCode>
                <c:ptCount val="77"/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F-4A38-9B5B-59D2F6A7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ax val="11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  <c:majorUnit val="50"/>
        <c:min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CR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'!$Q$20:$Q$96</c:f>
              <c:numCache>
                <c:formatCode>0_);[Red]\(0\)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0-4693-9BD1-AFADBD0BCF09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'!$Q$20:$Q$96</c:f>
              <c:numCache>
                <c:formatCode>0_);[Red]\(0\)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0-4693-9BD1-AFADBD0BCF09}"/>
            </c:ext>
          </c:extLst>
        </c:ser>
        <c:ser>
          <c:idx val="2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'!$BA$20:$BA$96</c:f>
              <c:numCache>
                <c:formatCode>0.0_);[Red]\(0.0\)</c:formatCode>
                <c:ptCount val="77"/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20-4693-9BD1-AFADBD0BC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색재현율</a:t>
            </a:r>
            <a:r>
              <a:rPr lang="en-US" altLang="ko-KR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</a:t>
            </a:r>
            <a:r>
              <a:rPr lang="ko-KR" altLang="en-US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측정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'Daily_BU설비데이터 '!$B$20:$B$329</c:f>
              <c:strCache>
                <c:ptCount val="310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  <c:pt idx="206">
                  <c:v>#207</c:v>
                </c:pt>
                <c:pt idx="207">
                  <c:v>#208</c:v>
                </c:pt>
                <c:pt idx="208">
                  <c:v>#209</c:v>
                </c:pt>
                <c:pt idx="209">
                  <c:v>#210</c:v>
                </c:pt>
                <c:pt idx="210">
                  <c:v>#211</c:v>
                </c:pt>
                <c:pt idx="211">
                  <c:v>#212</c:v>
                </c:pt>
                <c:pt idx="212">
                  <c:v>#213</c:v>
                </c:pt>
                <c:pt idx="213">
                  <c:v>#214</c:v>
                </c:pt>
                <c:pt idx="214">
                  <c:v>#215</c:v>
                </c:pt>
                <c:pt idx="215">
                  <c:v>#216</c:v>
                </c:pt>
                <c:pt idx="216">
                  <c:v>#217</c:v>
                </c:pt>
                <c:pt idx="217">
                  <c:v>#218</c:v>
                </c:pt>
                <c:pt idx="218">
                  <c:v>#219</c:v>
                </c:pt>
                <c:pt idx="219">
                  <c:v>#220</c:v>
                </c:pt>
                <c:pt idx="220">
                  <c:v>#221</c:v>
                </c:pt>
                <c:pt idx="221">
                  <c:v>#222</c:v>
                </c:pt>
                <c:pt idx="222">
                  <c:v>#223</c:v>
                </c:pt>
                <c:pt idx="223">
                  <c:v>#224</c:v>
                </c:pt>
                <c:pt idx="224">
                  <c:v>#225</c:v>
                </c:pt>
                <c:pt idx="225">
                  <c:v>#226</c:v>
                </c:pt>
                <c:pt idx="226">
                  <c:v>#227</c:v>
                </c:pt>
                <c:pt idx="227">
                  <c:v>#228</c:v>
                </c:pt>
                <c:pt idx="228">
                  <c:v>#229</c:v>
                </c:pt>
                <c:pt idx="229">
                  <c:v>#230</c:v>
                </c:pt>
                <c:pt idx="230">
                  <c:v>#231</c:v>
                </c:pt>
                <c:pt idx="231">
                  <c:v>#232</c:v>
                </c:pt>
                <c:pt idx="232">
                  <c:v>#233</c:v>
                </c:pt>
                <c:pt idx="233">
                  <c:v>#234</c:v>
                </c:pt>
                <c:pt idx="234">
                  <c:v>#235</c:v>
                </c:pt>
                <c:pt idx="235">
                  <c:v>#236</c:v>
                </c:pt>
                <c:pt idx="236">
                  <c:v>#237</c:v>
                </c:pt>
                <c:pt idx="237">
                  <c:v>#238</c:v>
                </c:pt>
                <c:pt idx="238">
                  <c:v>#239</c:v>
                </c:pt>
                <c:pt idx="239">
                  <c:v>#240</c:v>
                </c:pt>
                <c:pt idx="240">
                  <c:v>#241</c:v>
                </c:pt>
                <c:pt idx="241">
                  <c:v>#242</c:v>
                </c:pt>
                <c:pt idx="242">
                  <c:v>#243</c:v>
                </c:pt>
                <c:pt idx="243">
                  <c:v>#244</c:v>
                </c:pt>
                <c:pt idx="244">
                  <c:v>#245</c:v>
                </c:pt>
                <c:pt idx="245">
                  <c:v>#246</c:v>
                </c:pt>
                <c:pt idx="246">
                  <c:v>#247</c:v>
                </c:pt>
                <c:pt idx="247">
                  <c:v>#248</c:v>
                </c:pt>
                <c:pt idx="248">
                  <c:v>#249</c:v>
                </c:pt>
                <c:pt idx="249">
                  <c:v>#250</c:v>
                </c:pt>
                <c:pt idx="250">
                  <c:v>#251</c:v>
                </c:pt>
                <c:pt idx="251">
                  <c:v>#252</c:v>
                </c:pt>
                <c:pt idx="252">
                  <c:v>#253</c:v>
                </c:pt>
                <c:pt idx="253">
                  <c:v>#254</c:v>
                </c:pt>
                <c:pt idx="254">
                  <c:v>#255</c:v>
                </c:pt>
                <c:pt idx="255">
                  <c:v>#256</c:v>
                </c:pt>
                <c:pt idx="256">
                  <c:v>#257</c:v>
                </c:pt>
                <c:pt idx="257">
                  <c:v>#258</c:v>
                </c:pt>
                <c:pt idx="258">
                  <c:v>#259</c:v>
                </c:pt>
                <c:pt idx="259">
                  <c:v>#260</c:v>
                </c:pt>
                <c:pt idx="260">
                  <c:v>#261</c:v>
                </c:pt>
                <c:pt idx="261">
                  <c:v>#262</c:v>
                </c:pt>
                <c:pt idx="262">
                  <c:v>#263</c:v>
                </c:pt>
                <c:pt idx="263">
                  <c:v>#264</c:v>
                </c:pt>
                <c:pt idx="264">
                  <c:v>#265</c:v>
                </c:pt>
                <c:pt idx="265">
                  <c:v>#266</c:v>
                </c:pt>
                <c:pt idx="266">
                  <c:v>#267</c:v>
                </c:pt>
                <c:pt idx="267">
                  <c:v>#268</c:v>
                </c:pt>
                <c:pt idx="268">
                  <c:v>#269</c:v>
                </c:pt>
                <c:pt idx="269">
                  <c:v>#270</c:v>
                </c:pt>
                <c:pt idx="270">
                  <c:v>#271</c:v>
                </c:pt>
                <c:pt idx="271">
                  <c:v>#272</c:v>
                </c:pt>
                <c:pt idx="272">
                  <c:v>#273</c:v>
                </c:pt>
                <c:pt idx="273">
                  <c:v>#274</c:v>
                </c:pt>
                <c:pt idx="274">
                  <c:v>#275</c:v>
                </c:pt>
                <c:pt idx="275">
                  <c:v>#276</c:v>
                </c:pt>
                <c:pt idx="276">
                  <c:v>#277</c:v>
                </c:pt>
                <c:pt idx="277">
                  <c:v>#278</c:v>
                </c:pt>
                <c:pt idx="278">
                  <c:v>#279</c:v>
                </c:pt>
                <c:pt idx="279">
                  <c:v>#280</c:v>
                </c:pt>
                <c:pt idx="280">
                  <c:v>#281</c:v>
                </c:pt>
                <c:pt idx="281">
                  <c:v>#282</c:v>
                </c:pt>
                <c:pt idx="282">
                  <c:v>#283</c:v>
                </c:pt>
                <c:pt idx="283">
                  <c:v>#284</c:v>
                </c:pt>
                <c:pt idx="284">
                  <c:v>#285</c:v>
                </c:pt>
                <c:pt idx="285">
                  <c:v>#286</c:v>
                </c:pt>
                <c:pt idx="286">
                  <c:v>#287</c:v>
                </c:pt>
                <c:pt idx="287">
                  <c:v>#288</c:v>
                </c:pt>
                <c:pt idx="288">
                  <c:v>#289</c:v>
                </c:pt>
                <c:pt idx="289">
                  <c:v>#290</c:v>
                </c:pt>
                <c:pt idx="290">
                  <c:v>#291</c:v>
                </c:pt>
                <c:pt idx="291">
                  <c:v>#292</c:v>
                </c:pt>
                <c:pt idx="292">
                  <c:v>#293</c:v>
                </c:pt>
                <c:pt idx="293">
                  <c:v>#294</c:v>
                </c:pt>
                <c:pt idx="294">
                  <c:v>#295</c:v>
                </c:pt>
                <c:pt idx="295">
                  <c:v>#296</c:v>
                </c:pt>
                <c:pt idx="296">
                  <c:v>#297</c:v>
                </c:pt>
                <c:pt idx="297">
                  <c:v>#298</c:v>
                </c:pt>
                <c:pt idx="298">
                  <c:v>#299</c:v>
                </c:pt>
                <c:pt idx="299">
                  <c:v>#300</c:v>
                </c:pt>
                <c:pt idx="300">
                  <c:v>#301</c:v>
                </c:pt>
                <c:pt idx="301">
                  <c:v>#302</c:v>
                </c:pt>
                <c:pt idx="302">
                  <c:v>#303</c:v>
                </c:pt>
                <c:pt idx="303">
                  <c:v>#304</c:v>
                </c:pt>
                <c:pt idx="304">
                  <c:v>#305</c:v>
                </c:pt>
                <c:pt idx="305">
                  <c:v>#306</c:v>
                </c:pt>
                <c:pt idx="306">
                  <c:v>#307</c:v>
                </c:pt>
                <c:pt idx="307">
                  <c:v>#308</c:v>
                </c:pt>
                <c:pt idx="308">
                  <c:v>#309</c:v>
                </c:pt>
                <c:pt idx="309">
                  <c:v>#310</c:v>
                </c:pt>
              </c:strCache>
            </c:strRef>
          </c:cat>
          <c:val>
            <c:numRef>
              <c:f>'Daily_BU설비데이터 '!$L$20:$L$96</c:f>
              <c:numCache>
                <c:formatCode>0.0_ 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7-4D0E-931D-298B3ED07B35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'Daily_BU설비데이터 '!$B$20:$B$329</c:f>
              <c:strCache>
                <c:ptCount val="310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  <c:pt idx="206">
                  <c:v>#207</c:v>
                </c:pt>
                <c:pt idx="207">
                  <c:v>#208</c:v>
                </c:pt>
                <c:pt idx="208">
                  <c:v>#209</c:v>
                </c:pt>
                <c:pt idx="209">
                  <c:v>#210</c:v>
                </c:pt>
                <c:pt idx="210">
                  <c:v>#211</c:v>
                </c:pt>
                <c:pt idx="211">
                  <c:v>#212</c:v>
                </c:pt>
                <c:pt idx="212">
                  <c:v>#213</c:v>
                </c:pt>
                <c:pt idx="213">
                  <c:v>#214</c:v>
                </c:pt>
                <c:pt idx="214">
                  <c:v>#215</c:v>
                </c:pt>
                <c:pt idx="215">
                  <c:v>#216</c:v>
                </c:pt>
                <c:pt idx="216">
                  <c:v>#217</c:v>
                </c:pt>
                <c:pt idx="217">
                  <c:v>#218</c:v>
                </c:pt>
                <c:pt idx="218">
                  <c:v>#219</c:v>
                </c:pt>
                <c:pt idx="219">
                  <c:v>#220</c:v>
                </c:pt>
                <c:pt idx="220">
                  <c:v>#221</c:v>
                </c:pt>
                <c:pt idx="221">
                  <c:v>#222</c:v>
                </c:pt>
                <c:pt idx="222">
                  <c:v>#223</c:v>
                </c:pt>
                <c:pt idx="223">
                  <c:v>#224</c:v>
                </c:pt>
                <c:pt idx="224">
                  <c:v>#225</c:v>
                </c:pt>
                <c:pt idx="225">
                  <c:v>#226</c:v>
                </c:pt>
                <c:pt idx="226">
                  <c:v>#227</c:v>
                </c:pt>
                <c:pt idx="227">
                  <c:v>#228</c:v>
                </c:pt>
                <c:pt idx="228">
                  <c:v>#229</c:v>
                </c:pt>
                <c:pt idx="229">
                  <c:v>#230</c:v>
                </c:pt>
                <c:pt idx="230">
                  <c:v>#231</c:v>
                </c:pt>
                <c:pt idx="231">
                  <c:v>#232</c:v>
                </c:pt>
                <c:pt idx="232">
                  <c:v>#233</c:v>
                </c:pt>
                <c:pt idx="233">
                  <c:v>#234</c:v>
                </c:pt>
                <c:pt idx="234">
                  <c:v>#235</c:v>
                </c:pt>
                <c:pt idx="235">
                  <c:v>#236</c:v>
                </c:pt>
                <c:pt idx="236">
                  <c:v>#237</c:v>
                </c:pt>
                <c:pt idx="237">
                  <c:v>#238</c:v>
                </c:pt>
                <c:pt idx="238">
                  <c:v>#239</c:v>
                </c:pt>
                <c:pt idx="239">
                  <c:v>#240</c:v>
                </c:pt>
                <c:pt idx="240">
                  <c:v>#241</c:v>
                </c:pt>
                <c:pt idx="241">
                  <c:v>#242</c:v>
                </c:pt>
                <c:pt idx="242">
                  <c:v>#243</c:v>
                </c:pt>
                <c:pt idx="243">
                  <c:v>#244</c:v>
                </c:pt>
                <c:pt idx="244">
                  <c:v>#245</c:v>
                </c:pt>
                <c:pt idx="245">
                  <c:v>#246</c:v>
                </c:pt>
                <c:pt idx="246">
                  <c:v>#247</c:v>
                </c:pt>
                <c:pt idx="247">
                  <c:v>#248</c:v>
                </c:pt>
                <c:pt idx="248">
                  <c:v>#249</c:v>
                </c:pt>
                <c:pt idx="249">
                  <c:v>#250</c:v>
                </c:pt>
                <c:pt idx="250">
                  <c:v>#251</c:v>
                </c:pt>
                <c:pt idx="251">
                  <c:v>#252</c:v>
                </c:pt>
                <c:pt idx="252">
                  <c:v>#253</c:v>
                </c:pt>
                <c:pt idx="253">
                  <c:v>#254</c:v>
                </c:pt>
                <c:pt idx="254">
                  <c:v>#255</c:v>
                </c:pt>
                <c:pt idx="255">
                  <c:v>#256</c:v>
                </c:pt>
                <c:pt idx="256">
                  <c:v>#257</c:v>
                </c:pt>
                <c:pt idx="257">
                  <c:v>#258</c:v>
                </c:pt>
                <c:pt idx="258">
                  <c:v>#259</c:v>
                </c:pt>
                <c:pt idx="259">
                  <c:v>#260</c:v>
                </c:pt>
                <c:pt idx="260">
                  <c:v>#261</c:v>
                </c:pt>
                <c:pt idx="261">
                  <c:v>#262</c:v>
                </c:pt>
                <c:pt idx="262">
                  <c:v>#263</c:v>
                </c:pt>
                <c:pt idx="263">
                  <c:v>#264</c:v>
                </c:pt>
                <c:pt idx="264">
                  <c:v>#265</c:v>
                </c:pt>
                <c:pt idx="265">
                  <c:v>#266</c:v>
                </c:pt>
                <c:pt idx="266">
                  <c:v>#267</c:v>
                </c:pt>
                <c:pt idx="267">
                  <c:v>#268</c:v>
                </c:pt>
                <c:pt idx="268">
                  <c:v>#269</c:v>
                </c:pt>
                <c:pt idx="269">
                  <c:v>#270</c:v>
                </c:pt>
                <c:pt idx="270">
                  <c:v>#271</c:v>
                </c:pt>
                <c:pt idx="271">
                  <c:v>#272</c:v>
                </c:pt>
                <c:pt idx="272">
                  <c:v>#273</c:v>
                </c:pt>
                <c:pt idx="273">
                  <c:v>#274</c:v>
                </c:pt>
                <c:pt idx="274">
                  <c:v>#275</c:v>
                </c:pt>
                <c:pt idx="275">
                  <c:v>#276</c:v>
                </c:pt>
                <c:pt idx="276">
                  <c:v>#277</c:v>
                </c:pt>
                <c:pt idx="277">
                  <c:v>#278</c:v>
                </c:pt>
                <c:pt idx="278">
                  <c:v>#279</c:v>
                </c:pt>
                <c:pt idx="279">
                  <c:v>#280</c:v>
                </c:pt>
                <c:pt idx="280">
                  <c:v>#281</c:v>
                </c:pt>
                <c:pt idx="281">
                  <c:v>#282</c:v>
                </c:pt>
                <c:pt idx="282">
                  <c:v>#283</c:v>
                </c:pt>
                <c:pt idx="283">
                  <c:v>#284</c:v>
                </c:pt>
                <c:pt idx="284">
                  <c:v>#285</c:v>
                </c:pt>
                <c:pt idx="285">
                  <c:v>#286</c:v>
                </c:pt>
                <c:pt idx="286">
                  <c:v>#287</c:v>
                </c:pt>
                <c:pt idx="287">
                  <c:v>#288</c:v>
                </c:pt>
                <c:pt idx="288">
                  <c:v>#289</c:v>
                </c:pt>
                <c:pt idx="289">
                  <c:v>#290</c:v>
                </c:pt>
                <c:pt idx="290">
                  <c:v>#291</c:v>
                </c:pt>
                <c:pt idx="291">
                  <c:v>#292</c:v>
                </c:pt>
                <c:pt idx="292">
                  <c:v>#293</c:v>
                </c:pt>
                <c:pt idx="293">
                  <c:v>#294</c:v>
                </c:pt>
                <c:pt idx="294">
                  <c:v>#295</c:v>
                </c:pt>
                <c:pt idx="295">
                  <c:v>#296</c:v>
                </c:pt>
                <c:pt idx="296">
                  <c:v>#297</c:v>
                </c:pt>
                <c:pt idx="297">
                  <c:v>#298</c:v>
                </c:pt>
                <c:pt idx="298">
                  <c:v>#299</c:v>
                </c:pt>
                <c:pt idx="299">
                  <c:v>#300</c:v>
                </c:pt>
                <c:pt idx="300">
                  <c:v>#301</c:v>
                </c:pt>
                <c:pt idx="301">
                  <c:v>#302</c:v>
                </c:pt>
                <c:pt idx="302">
                  <c:v>#303</c:v>
                </c:pt>
                <c:pt idx="303">
                  <c:v>#304</c:v>
                </c:pt>
                <c:pt idx="304">
                  <c:v>#305</c:v>
                </c:pt>
                <c:pt idx="305">
                  <c:v>#306</c:v>
                </c:pt>
                <c:pt idx="306">
                  <c:v>#307</c:v>
                </c:pt>
                <c:pt idx="307">
                  <c:v>#308</c:v>
                </c:pt>
                <c:pt idx="308">
                  <c:v>#309</c:v>
                </c:pt>
                <c:pt idx="309">
                  <c:v>#310</c:v>
                </c:pt>
              </c:strCache>
            </c:strRef>
          </c:cat>
          <c:val>
            <c:numRef>
              <c:f>'Daily_BU설비데이터 '!$L$20:$L$96</c:f>
              <c:numCache>
                <c:formatCode>0.0_ 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47-4D0E-931D-298B3ED07B35}"/>
            </c:ext>
          </c:extLst>
        </c:ser>
        <c:ser>
          <c:idx val="4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'Daily_BU설비데이터 '!$AY$20:$AY$96</c:f>
              <c:numCache>
                <c:formatCode>0.0_);[Red]\(0.0\)</c:formatCode>
                <c:ptCount val="77"/>
                <c:pt idx="3">
                  <c:v>70.8</c:v>
                </c:pt>
                <c:pt idx="4">
                  <c:v>70.8</c:v>
                </c:pt>
                <c:pt idx="5">
                  <c:v>70.8</c:v>
                </c:pt>
                <c:pt idx="6">
                  <c:v>70.8</c:v>
                </c:pt>
                <c:pt idx="7">
                  <c:v>70.8</c:v>
                </c:pt>
                <c:pt idx="8">
                  <c:v>70.8</c:v>
                </c:pt>
                <c:pt idx="9">
                  <c:v>70.8</c:v>
                </c:pt>
                <c:pt idx="10">
                  <c:v>70.8</c:v>
                </c:pt>
                <c:pt idx="11">
                  <c:v>70.8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70.8</c:v>
                </c:pt>
                <c:pt idx="17">
                  <c:v>70.8</c:v>
                </c:pt>
                <c:pt idx="18">
                  <c:v>70.8</c:v>
                </c:pt>
                <c:pt idx="19">
                  <c:v>70.8</c:v>
                </c:pt>
                <c:pt idx="20">
                  <c:v>70.8</c:v>
                </c:pt>
                <c:pt idx="21">
                  <c:v>70.8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70.8</c:v>
                </c:pt>
                <c:pt idx="26">
                  <c:v>70.8</c:v>
                </c:pt>
                <c:pt idx="27">
                  <c:v>70.8</c:v>
                </c:pt>
                <c:pt idx="28">
                  <c:v>70.8</c:v>
                </c:pt>
                <c:pt idx="29">
                  <c:v>70.8</c:v>
                </c:pt>
                <c:pt idx="30">
                  <c:v>70.8</c:v>
                </c:pt>
                <c:pt idx="31">
                  <c:v>70.8</c:v>
                </c:pt>
                <c:pt idx="32">
                  <c:v>70.8</c:v>
                </c:pt>
                <c:pt idx="33">
                  <c:v>70.8</c:v>
                </c:pt>
                <c:pt idx="34">
                  <c:v>70.8</c:v>
                </c:pt>
                <c:pt idx="35">
                  <c:v>70.8</c:v>
                </c:pt>
                <c:pt idx="36">
                  <c:v>70.8</c:v>
                </c:pt>
                <c:pt idx="37">
                  <c:v>70.8</c:v>
                </c:pt>
                <c:pt idx="38">
                  <c:v>70.8</c:v>
                </c:pt>
                <c:pt idx="39">
                  <c:v>70.8</c:v>
                </c:pt>
                <c:pt idx="40">
                  <c:v>70.8</c:v>
                </c:pt>
                <c:pt idx="41">
                  <c:v>70.8</c:v>
                </c:pt>
                <c:pt idx="42">
                  <c:v>70.8</c:v>
                </c:pt>
                <c:pt idx="43">
                  <c:v>70.8</c:v>
                </c:pt>
                <c:pt idx="44">
                  <c:v>70.8</c:v>
                </c:pt>
                <c:pt idx="45">
                  <c:v>70.8</c:v>
                </c:pt>
                <c:pt idx="46">
                  <c:v>70.8</c:v>
                </c:pt>
                <c:pt idx="47">
                  <c:v>70.8</c:v>
                </c:pt>
                <c:pt idx="48">
                  <c:v>70.8</c:v>
                </c:pt>
                <c:pt idx="49">
                  <c:v>70.8</c:v>
                </c:pt>
                <c:pt idx="50">
                  <c:v>70.8</c:v>
                </c:pt>
                <c:pt idx="51">
                  <c:v>70.8</c:v>
                </c:pt>
                <c:pt idx="52">
                  <c:v>70.8</c:v>
                </c:pt>
                <c:pt idx="53">
                  <c:v>70.8</c:v>
                </c:pt>
                <c:pt idx="54">
                  <c:v>70.8</c:v>
                </c:pt>
                <c:pt idx="55">
                  <c:v>70.8</c:v>
                </c:pt>
                <c:pt idx="56">
                  <c:v>70.8</c:v>
                </c:pt>
                <c:pt idx="57">
                  <c:v>70.8</c:v>
                </c:pt>
                <c:pt idx="58">
                  <c:v>70.8</c:v>
                </c:pt>
                <c:pt idx="59">
                  <c:v>70.8</c:v>
                </c:pt>
                <c:pt idx="60">
                  <c:v>70.8</c:v>
                </c:pt>
                <c:pt idx="61">
                  <c:v>70.8</c:v>
                </c:pt>
                <c:pt idx="62">
                  <c:v>70.8</c:v>
                </c:pt>
                <c:pt idx="63">
                  <c:v>70.8</c:v>
                </c:pt>
                <c:pt idx="64">
                  <c:v>70.8</c:v>
                </c:pt>
                <c:pt idx="65">
                  <c:v>70.8</c:v>
                </c:pt>
                <c:pt idx="66">
                  <c:v>70.8</c:v>
                </c:pt>
                <c:pt idx="67">
                  <c:v>70.8</c:v>
                </c:pt>
                <c:pt idx="68">
                  <c:v>70.8</c:v>
                </c:pt>
                <c:pt idx="69">
                  <c:v>70.8</c:v>
                </c:pt>
                <c:pt idx="70">
                  <c:v>70.8</c:v>
                </c:pt>
                <c:pt idx="71">
                  <c:v>70.8</c:v>
                </c:pt>
                <c:pt idx="72">
                  <c:v>70.8</c:v>
                </c:pt>
                <c:pt idx="73">
                  <c:v>70.8</c:v>
                </c:pt>
                <c:pt idx="74">
                  <c:v>70.8</c:v>
                </c:pt>
                <c:pt idx="75">
                  <c:v>70.8</c:v>
                </c:pt>
                <c:pt idx="76">
                  <c:v>70.8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47-4D0E-931D-298B3ED0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GCS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09F-417B-B732-69B65C49786D}"/>
              </c:ext>
            </c:extLst>
          </c:dPt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'!$R$20:$R$96</c:f>
              <c:numCache>
                <c:formatCode>0.0000_);[Red]\(0.0000\)</c:formatCode>
                <c:ptCount val="77"/>
                <c:pt idx="0">
                  <c:v>0.43387671059875982</c:v>
                </c:pt>
                <c:pt idx="1">
                  <c:v>0.43387671059875982</c:v>
                </c:pt>
                <c:pt idx="2">
                  <c:v>0.43387671059875982</c:v>
                </c:pt>
                <c:pt idx="3">
                  <c:v>0.43387671059875982</c:v>
                </c:pt>
                <c:pt idx="4">
                  <c:v>0.43387671059875982</c:v>
                </c:pt>
                <c:pt idx="5">
                  <c:v>0.43387671059875982</c:v>
                </c:pt>
                <c:pt idx="6">
                  <c:v>0.43387671059875982</c:v>
                </c:pt>
                <c:pt idx="7">
                  <c:v>0.43387671059875982</c:v>
                </c:pt>
                <c:pt idx="8">
                  <c:v>0.43387671059875982</c:v>
                </c:pt>
                <c:pt idx="9">
                  <c:v>0.43387671059875982</c:v>
                </c:pt>
                <c:pt idx="10">
                  <c:v>0.43387671059875982</c:v>
                </c:pt>
                <c:pt idx="11">
                  <c:v>0.43387671059875982</c:v>
                </c:pt>
                <c:pt idx="12">
                  <c:v>0.43387671059875982</c:v>
                </c:pt>
                <c:pt idx="13">
                  <c:v>0.43387671059875982</c:v>
                </c:pt>
                <c:pt idx="14">
                  <c:v>0.43387671059875982</c:v>
                </c:pt>
                <c:pt idx="15">
                  <c:v>0.43387671059875982</c:v>
                </c:pt>
                <c:pt idx="16">
                  <c:v>0.43387671059875982</c:v>
                </c:pt>
                <c:pt idx="17">
                  <c:v>0.43387671059875982</c:v>
                </c:pt>
                <c:pt idx="18">
                  <c:v>0.43387671059875982</c:v>
                </c:pt>
                <c:pt idx="19">
                  <c:v>0.43387671059875982</c:v>
                </c:pt>
                <c:pt idx="20">
                  <c:v>0.43387671059875982</c:v>
                </c:pt>
                <c:pt idx="21">
                  <c:v>0.43387671059875982</c:v>
                </c:pt>
                <c:pt idx="22">
                  <c:v>0.43387671059875982</c:v>
                </c:pt>
                <c:pt idx="23">
                  <c:v>0.43387671059875982</c:v>
                </c:pt>
                <c:pt idx="24">
                  <c:v>0.43387671059875982</c:v>
                </c:pt>
                <c:pt idx="25">
                  <c:v>0.43387671059875982</c:v>
                </c:pt>
                <c:pt idx="26">
                  <c:v>0.43387671059875982</c:v>
                </c:pt>
                <c:pt idx="27">
                  <c:v>0.43387671059875982</c:v>
                </c:pt>
                <c:pt idx="28">
                  <c:v>0.43387671059875982</c:v>
                </c:pt>
                <c:pt idx="29">
                  <c:v>0.43387671059875982</c:v>
                </c:pt>
                <c:pt idx="30">
                  <c:v>0.43387671059875982</c:v>
                </c:pt>
                <c:pt idx="31">
                  <c:v>0.43387671059875982</c:v>
                </c:pt>
                <c:pt idx="32">
                  <c:v>0.43387671059875982</c:v>
                </c:pt>
                <c:pt idx="33">
                  <c:v>0.43387671059875982</c:v>
                </c:pt>
                <c:pt idx="34">
                  <c:v>0.43387671059875982</c:v>
                </c:pt>
                <c:pt idx="35">
                  <c:v>0.43387671059875982</c:v>
                </c:pt>
                <c:pt idx="36">
                  <c:v>0.43387671059875982</c:v>
                </c:pt>
                <c:pt idx="37">
                  <c:v>0.43387671059875982</c:v>
                </c:pt>
                <c:pt idx="38">
                  <c:v>0.43387671059875982</c:v>
                </c:pt>
                <c:pt idx="39">
                  <c:v>0.43387671059875982</c:v>
                </c:pt>
                <c:pt idx="40">
                  <c:v>0.43387671059875982</c:v>
                </c:pt>
                <c:pt idx="41">
                  <c:v>0.43387671059875982</c:v>
                </c:pt>
                <c:pt idx="42">
                  <c:v>0.43387671059875982</c:v>
                </c:pt>
                <c:pt idx="43">
                  <c:v>0.43387671059875982</c:v>
                </c:pt>
                <c:pt idx="44">
                  <c:v>0.43387671059875982</c:v>
                </c:pt>
                <c:pt idx="45">
                  <c:v>0.43387671059875982</c:v>
                </c:pt>
                <c:pt idx="46">
                  <c:v>0.43387671059875982</c:v>
                </c:pt>
                <c:pt idx="47">
                  <c:v>0.43387671059875982</c:v>
                </c:pt>
                <c:pt idx="48">
                  <c:v>0.43387671059875982</c:v>
                </c:pt>
                <c:pt idx="49">
                  <c:v>0.43387671059875982</c:v>
                </c:pt>
                <c:pt idx="50">
                  <c:v>0.43387671059875982</c:v>
                </c:pt>
                <c:pt idx="51">
                  <c:v>0.43387671059875982</c:v>
                </c:pt>
                <c:pt idx="52">
                  <c:v>0.43387671059875982</c:v>
                </c:pt>
                <c:pt idx="53">
                  <c:v>0.43387671059875982</c:v>
                </c:pt>
                <c:pt idx="54">
                  <c:v>0.43387671059875982</c:v>
                </c:pt>
                <c:pt idx="55">
                  <c:v>0.43387671059875982</c:v>
                </c:pt>
                <c:pt idx="56">
                  <c:v>0.43387671059875982</c:v>
                </c:pt>
                <c:pt idx="57">
                  <c:v>0.43387671059875982</c:v>
                </c:pt>
                <c:pt idx="58">
                  <c:v>0.43387671059875982</c:v>
                </c:pt>
                <c:pt idx="59">
                  <c:v>0.43387671059875982</c:v>
                </c:pt>
                <c:pt idx="60">
                  <c:v>0.43387671059875982</c:v>
                </c:pt>
                <c:pt idx="61">
                  <c:v>0.43387671059875982</c:v>
                </c:pt>
                <c:pt idx="62">
                  <c:v>0.43387671059875982</c:v>
                </c:pt>
                <c:pt idx="63">
                  <c:v>0.43387671059875982</c:v>
                </c:pt>
                <c:pt idx="64">
                  <c:v>0.43387671059875982</c:v>
                </c:pt>
                <c:pt idx="65">
                  <c:v>0.43387671059875982</c:v>
                </c:pt>
                <c:pt idx="66">
                  <c:v>0.43387671059875982</c:v>
                </c:pt>
                <c:pt idx="67">
                  <c:v>0.43387671059875982</c:v>
                </c:pt>
                <c:pt idx="68">
                  <c:v>0.43387671059875982</c:v>
                </c:pt>
                <c:pt idx="69">
                  <c:v>0.43387671059875982</c:v>
                </c:pt>
                <c:pt idx="70">
                  <c:v>0.43387671059875982</c:v>
                </c:pt>
                <c:pt idx="71">
                  <c:v>0.43387671059875982</c:v>
                </c:pt>
                <c:pt idx="72">
                  <c:v>0.43387671059875982</c:v>
                </c:pt>
                <c:pt idx="73">
                  <c:v>0.43387671059875982</c:v>
                </c:pt>
                <c:pt idx="74">
                  <c:v>0.43387671059875982</c:v>
                </c:pt>
                <c:pt idx="75">
                  <c:v>0.43387671059875982</c:v>
                </c:pt>
                <c:pt idx="76">
                  <c:v>0.43387671059875982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F-417B-B732-69B65C49786D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'Daily_BU설비데이터 '!$B$20:$B$96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'Daily_BU설비데이터 '!$BB$20:$BB$96</c:f>
              <c:numCache>
                <c:formatCode>0.000_);[Red]\(0.000\)</c:formatCode>
                <c:ptCount val="77"/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5.0000000000000001E-3</c:v>
                </c:pt>
                <c:pt idx="75">
                  <c:v>5.0000000000000001E-3</c:v>
                </c:pt>
                <c:pt idx="7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9F-417B-B732-69B65C497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699887"/>
        <c:axId val="1378698927"/>
      </c:lineChart>
      <c:catAx>
        <c:axId val="13786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8927"/>
        <c:crosses val="autoZero"/>
        <c:auto val="1"/>
        <c:lblAlgn val="ctr"/>
        <c:lblOffset val="100"/>
        <c:noMultiLvlLbl val="0"/>
      </c:catAx>
      <c:valAx>
        <c:axId val="13786989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White </a:t>
            </a:r>
            <a:r>
              <a:rPr lang="ko-KR" altLang="en-US"/>
              <a:t>색좌표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1571881330388631E-2"/>
          <c:y val="8.1482053375550728E-2"/>
          <c:w val="0.93281620324413483"/>
          <c:h val="0.88497729470358744"/>
        </c:manualLayout>
      </c:layout>
      <c:scatterChart>
        <c:scatterStyle val="lineMarker"/>
        <c:varyColors val="0"/>
        <c:ser>
          <c:idx val="0"/>
          <c:order val="0"/>
          <c:tx>
            <c:v>spec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[1]EVENT_YYMMDD_Optical!$AV$21:$AV$381</c:f>
              <c:numCache>
                <c:formatCode>General</c:formatCode>
                <c:ptCount val="361"/>
                <c:pt idx="0">
                  <c:v>0.29799999999999999</c:v>
                </c:pt>
                <c:pt idx="1">
                  <c:v>0.29799923847578191</c:v>
                </c:pt>
                <c:pt idx="2">
                  <c:v>0.29799695413509547</c:v>
                </c:pt>
                <c:pt idx="3">
                  <c:v>0.29799314767377283</c:v>
                </c:pt>
                <c:pt idx="4">
                  <c:v>0.29798782025129911</c:v>
                </c:pt>
                <c:pt idx="5">
                  <c:v>0.29798097349045871</c:v>
                </c:pt>
                <c:pt idx="6">
                  <c:v>0.29797260947684134</c:v>
                </c:pt>
                <c:pt idx="7">
                  <c:v>0.29796273075820662</c:v>
                </c:pt>
                <c:pt idx="8">
                  <c:v>0.29795134034370785</c:v>
                </c:pt>
                <c:pt idx="9">
                  <c:v>0.29793844170297568</c:v>
                </c:pt>
                <c:pt idx="10">
                  <c:v>0.29792403876506102</c:v>
                </c:pt>
                <c:pt idx="11">
                  <c:v>0.2979081359172383</c:v>
                </c:pt>
                <c:pt idx="12">
                  <c:v>0.297890738003669</c:v>
                </c:pt>
                <c:pt idx="13">
                  <c:v>0.29787185032392616</c:v>
                </c:pt>
                <c:pt idx="14">
                  <c:v>0.29785147863137995</c:v>
                </c:pt>
                <c:pt idx="15">
                  <c:v>0.29782962913144534</c:v>
                </c:pt>
                <c:pt idx="16">
                  <c:v>0.29780630847969158</c:v>
                </c:pt>
                <c:pt idx="17">
                  <c:v>0.29778152377981515</c:v>
                </c:pt>
                <c:pt idx="18">
                  <c:v>0.29775528258147577</c:v>
                </c:pt>
                <c:pt idx="19">
                  <c:v>0.29772759287799655</c:v>
                </c:pt>
                <c:pt idx="20">
                  <c:v>0.2976984631039295</c:v>
                </c:pt>
                <c:pt idx="21">
                  <c:v>0.29766790213248601</c:v>
                </c:pt>
                <c:pt idx="22">
                  <c:v>0.29763591927283389</c:v>
                </c:pt>
                <c:pt idx="23">
                  <c:v>0.29760252426726219</c:v>
                </c:pt>
                <c:pt idx="24">
                  <c:v>0.29756772728821301</c:v>
                </c:pt>
                <c:pt idx="25">
                  <c:v>0.29753153893518325</c:v>
                </c:pt>
                <c:pt idx="26">
                  <c:v>0.29749397023149582</c:v>
                </c:pt>
                <c:pt idx="27">
                  <c:v>0.29745503262094181</c:v>
                </c:pt>
                <c:pt idx="28">
                  <c:v>0.29741473796429463</c:v>
                </c:pt>
                <c:pt idx="29">
                  <c:v>0.29737309853569693</c:v>
                </c:pt>
                <c:pt idx="30">
                  <c:v>0.2973301270189222</c:v>
                </c:pt>
                <c:pt idx="31">
                  <c:v>0.29728583650351054</c:v>
                </c:pt>
                <c:pt idx="32">
                  <c:v>0.29724024048078213</c:v>
                </c:pt>
                <c:pt idx="33">
                  <c:v>0.29719335283972709</c:v>
                </c:pt>
                <c:pt idx="34">
                  <c:v>0.29714518786277522</c:v>
                </c:pt>
                <c:pt idx="35">
                  <c:v>0.29709576022144496</c:v>
                </c:pt>
                <c:pt idx="36">
                  <c:v>0.29704508497187471</c:v>
                </c:pt>
                <c:pt idx="37">
                  <c:v>0.29699317755023646</c:v>
                </c:pt>
                <c:pt idx="38">
                  <c:v>0.29694005376803362</c:v>
                </c:pt>
                <c:pt idx="39">
                  <c:v>0.29688572980728484</c:v>
                </c:pt>
                <c:pt idx="40">
                  <c:v>0.29683022221559485</c:v>
                </c:pt>
                <c:pt idx="41">
                  <c:v>0.29677354790111382</c:v>
                </c:pt>
                <c:pt idx="42">
                  <c:v>0.29671572412738695</c:v>
                </c:pt>
                <c:pt idx="43">
                  <c:v>0.29665676850809586</c:v>
                </c:pt>
                <c:pt idx="44">
                  <c:v>0.29659669900169322</c:v>
                </c:pt>
                <c:pt idx="45">
                  <c:v>0.29653553390593274</c:v>
                </c:pt>
                <c:pt idx="46">
                  <c:v>0.29647329185229498</c:v>
                </c:pt>
                <c:pt idx="47">
                  <c:v>0.29640999180031247</c:v>
                </c:pt>
                <c:pt idx="48">
                  <c:v>0.29634565303179428</c:v>
                </c:pt>
                <c:pt idx="49">
                  <c:v>0.29628029514495252</c:v>
                </c:pt>
                <c:pt idx="50">
                  <c:v>0.29621393804843266</c:v>
                </c:pt>
                <c:pt idx="51">
                  <c:v>0.29614660195524917</c:v>
                </c:pt>
                <c:pt idx="52">
                  <c:v>0.29607830737662827</c:v>
                </c:pt>
                <c:pt idx="53">
                  <c:v>0.29600907511576025</c:v>
                </c:pt>
                <c:pt idx="54">
                  <c:v>0.29593892626146234</c:v>
                </c:pt>
                <c:pt idx="55">
                  <c:v>0.29586788218175519</c:v>
                </c:pt>
                <c:pt idx="56">
                  <c:v>0.29579596451735374</c:v>
                </c:pt>
                <c:pt idx="57">
                  <c:v>0.29572319517507512</c:v>
                </c:pt>
                <c:pt idx="58">
                  <c:v>0.295649596321166</c:v>
                </c:pt>
                <c:pt idx="59">
                  <c:v>0.29557519037455027</c:v>
                </c:pt>
                <c:pt idx="60">
                  <c:v>0.29549999999999998</c:v>
                </c:pt>
                <c:pt idx="61">
                  <c:v>0.29542404810123168</c:v>
                </c:pt>
                <c:pt idx="62">
                  <c:v>0.29534735781392946</c:v>
                </c:pt>
                <c:pt idx="63">
                  <c:v>0.2952699524986977</c:v>
                </c:pt>
                <c:pt idx="64">
                  <c:v>0.29519185573394535</c:v>
                </c:pt>
                <c:pt idx="65">
                  <c:v>0.2951130913087035</c:v>
                </c:pt>
                <c:pt idx="66">
                  <c:v>0.29503368321537898</c:v>
                </c:pt>
                <c:pt idx="67">
                  <c:v>0.29495365564244636</c:v>
                </c:pt>
                <c:pt idx="68">
                  <c:v>0.29487303296707956</c:v>
                </c:pt>
                <c:pt idx="69">
                  <c:v>0.29479183974772649</c:v>
                </c:pt>
                <c:pt idx="70">
                  <c:v>0.29471010071662834</c:v>
                </c:pt>
                <c:pt idx="71">
                  <c:v>0.29462784077228577</c:v>
                </c:pt>
                <c:pt idx="72">
                  <c:v>0.2945450849718747</c:v>
                </c:pt>
                <c:pt idx="73">
                  <c:v>0.29446185852361367</c:v>
                </c:pt>
                <c:pt idx="74">
                  <c:v>0.294378186779085</c:v>
                </c:pt>
                <c:pt idx="75">
                  <c:v>0.29429409522551259</c:v>
                </c:pt>
                <c:pt idx="76">
                  <c:v>0.29420960947799835</c:v>
                </c:pt>
                <c:pt idx="77">
                  <c:v>0.29412475527171933</c:v>
                </c:pt>
                <c:pt idx="78">
                  <c:v>0.2940395584540888</c:v>
                </c:pt>
                <c:pt idx="79">
                  <c:v>0.29395404497688271</c:v>
                </c:pt>
                <c:pt idx="80">
                  <c:v>0.29386824088833463</c:v>
                </c:pt>
                <c:pt idx="81">
                  <c:v>0.29378217232520115</c:v>
                </c:pt>
                <c:pt idx="82">
                  <c:v>0.29369586550480031</c:v>
                </c:pt>
                <c:pt idx="83">
                  <c:v>0.29360934671702571</c:v>
                </c:pt>
                <c:pt idx="84">
                  <c:v>0.29352264231633823</c:v>
                </c:pt>
                <c:pt idx="85">
                  <c:v>0.29343577871373827</c:v>
                </c:pt>
                <c:pt idx="86">
                  <c:v>0.29334878236872058</c:v>
                </c:pt>
                <c:pt idx="87">
                  <c:v>0.2932616797812147</c:v>
                </c:pt>
                <c:pt idx="88">
                  <c:v>0.29317449748351249</c:v>
                </c:pt>
                <c:pt idx="89">
                  <c:v>0.29308726203218638</c:v>
                </c:pt>
                <c:pt idx="90">
                  <c:v>0.29299999999999998</c:v>
                </c:pt>
                <c:pt idx="91">
                  <c:v>0.29291273796781359</c:v>
                </c:pt>
                <c:pt idx="92">
                  <c:v>0.29282550251648748</c:v>
                </c:pt>
                <c:pt idx="93">
                  <c:v>0.29273832021878526</c:v>
                </c:pt>
                <c:pt idx="94">
                  <c:v>0.29265121763127938</c:v>
                </c:pt>
                <c:pt idx="95">
                  <c:v>0.29256422128626169</c:v>
                </c:pt>
                <c:pt idx="96">
                  <c:v>0.29247735768366173</c:v>
                </c:pt>
                <c:pt idx="97">
                  <c:v>0.29239065328297426</c:v>
                </c:pt>
                <c:pt idx="98">
                  <c:v>0.29230413449519965</c:v>
                </c:pt>
                <c:pt idx="99">
                  <c:v>0.29221782767479881</c:v>
                </c:pt>
                <c:pt idx="100">
                  <c:v>0.29213175911166533</c:v>
                </c:pt>
                <c:pt idx="101">
                  <c:v>0.29204595502311725</c:v>
                </c:pt>
                <c:pt idx="102">
                  <c:v>0.29196044154591116</c:v>
                </c:pt>
                <c:pt idx="103">
                  <c:v>0.29187524472828064</c:v>
                </c:pt>
                <c:pt idx="104">
                  <c:v>0.29179039052200162</c:v>
                </c:pt>
                <c:pt idx="105">
                  <c:v>0.29170590477448738</c:v>
                </c:pt>
                <c:pt idx="106">
                  <c:v>0.29162181322091496</c:v>
                </c:pt>
                <c:pt idx="107">
                  <c:v>0.29153814147638629</c:v>
                </c:pt>
                <c:pt idx="108">
                  <c:v>0.29145491502812526</c:v>
                </c:pt>
                <c:pt idx="109">
                  <c:v>0.2913721592277142</c:v>
                </c:pt>
                <c:pt idx="110">
                  <c:v>0.29128989928337162</c:v>
                </c:pt>
                <c:pt idx="111">
                  <c:v>0.29120816025227347</c:v>
                </c:pt>
                <c:pt idx="112">
                  <c:v>0.2911269670329204</c:v>
                </c:pt>
                <c:pt idx="113">
                  <c:v>0.29104634435755361</c:v>
                </c:pt>
                <c:pt idx="114">
                  <c:v>0.29096631678462098</c:v>
                </c:pt>
                <c:pt idx="115">
                  <c:v>0.29088690869129646</c:v>
                </c:pt>
                <c:pt idx="116">
                  <c:v>0.29080814426605461</c:v>
                </c:pt>
                <c:pt idx="117">
                  <c:v>0.29073004750130227</c:v>
                </c:pt>
                <c:pt idx="118">
                  <c:v>0.29065264218607051</c:v>
                </c:pt>
                <c:pt idx="119">
                  <c:v>0.29057595189876828</c:v>
                </c:pt>
                <c:pt idx="120">
                  <c:v>0.29049999999999998</c:v>
                </c:pt>
                <c:pt idx="121">
                  <c:v>0.2904248096254497</c:v>
                </c:pt>
                <c:pt idx="122">
                  <c:v>0.29035040367883397</c:v>
                </c:pt>
                <c:pt idx="123">
                  <c:v>0.29027680482492485</c:v>
                </c:pt>
                <c:pt idx="124">
                  <c:v>0.29020403548264623</c:v>
                </c:pt>
                <c:pt idx="125">
                  <c:v>0.29013211781824477</c:v>
                </c:pt>
                <c:pt idx="126">
                  <c:v>0.29006107373853762</c:v>
                </c:pt>
                <c:pt idx="127">
                  <c:v>0.28999092488423972</c:v>
                </c:pt>
                <c:pt idx="128">
                  <c:v>0.2899216926233717</c:v>
                </c:pt>
                <c:pt idx="129">
                  <c:v>0.2898533980447508</c:v>
                </c:pt>
                <c:pt idx="130">
                  <c:v>0.28978606195156731</c:v>
                </c:pt>
                <c:pt idx="131">
                  <c:v>0.28971970485504744</c:v>
                </c:pt>
                <c:pt idx="132">
                  <c:v>0.28965434696820569</c:v>
                </c:pt>
                <c:pt idx="133">
                  <c:v>0.2895900081996875</c:v>
                </c:pt>
                <c:pt idx="134">
                  <c:v>0.28952670814770498</c:v>
                </c:pt>
                <c:pt idx="135">
                  <c:v>0.28946446609406723</c:v>
                </c:pt>
                <c:pt idx="136">
                  <c:v>0.28940330099830675</c:v>
                </c:pt>
                <c:pt idx="137">
                  <c:v>0.28934323149190411</c:v>
                </c:pt>
                <c:pt idx="138">
                  <c:v>0.28928427587261302</c:v>
                </c:pt>
                <c:pt idx="139">
                  <c:v>0.28922645209888614</c:v>
                </c:pt>
                <c:pt idx="140">
                  <c:v>0.28916977778440511</c:v>
                </c:pt>
                <c:pt idx="141">
                  <c:v>0.28911427019271513</c:v>
                </c:pt>
                <c:pt idx="142">
                  <c:v>0.28905994623196635</c:v>
                </c:pt>
                <c:pt idx="143">
                  <c:v>0.2890068224497635</c:v>
                </c:pt>
                <c:pt idx="144">
                  <c:v>0.28895491502812526</c:v>
                </c:pt>
                <c:pt idx="145">
                  <c:v>0.28890423977855501</c:v>
                </c:pt>
                <c:pt idx="146">
                  <c:v>0.28885481213722475</c:v>
                </c:pt>
                <c:pt idx="147">
                  <c:v>0.28880664716027288</c:v>
                </c:pt>
                <c:pt idx="148">
                  <c:v>0.28875975951921784</c:v>
                </c:pt>
                <c:pt idx="149">
                  <c:v>0.28871416349648943</c:v>
                </c:pt>
                <c:pt idx="150">
                  <c:v>0.28866987298107777</c:v>
                </c:pt>
                <c:pt idx="151">
                  <c:v>0.28862690146430303</c:v>
                </c:pt>
                <c:pt idx="152">
                  <c:v>0.28858526203570534</c:v>
                </c:pt>
                <c:pt idx="153">
                  <c:v>0.28854496737905816</c:v>
                </c:pt>
                <c:pt idx="154">
                  <c:v>0.28850602976850415</c:v>
                </c:pt>
                <c:pt idx="155">
                  <c:v>0.28846846106481672</c:v>
                </c:pt>
                <c:pt idx="156">
                  <c:v>0.28843227271178695</c:v>
                </c:pt>
                <c:pt idx="157">
                  <c:v>0.28839747573273777</c:v>
                </c:pt>
                <c:pt idx="158">
                  <c:v>0.28836408072716607</c:v>
                </c:pt>
                <c:pt idx="159">
                  <c:v>0.28833209786751396</c:v>
                </c:pt>
                <c:pt idx="160">
                  <c:v>0.28830153689607046</c:v>
                </c:pt>
                <c:pt idx="161">
                  <c:v>0.28827240712200342</c:v>
                </c:pt>
                <c:pt idx="162">
                  <c:v>0.2882447174185242</c:v>
                </c:pt>
                <c:pt idx="163">
                  <c:v>0.28821847622018482</c:v>
                </c:pt>
                <c:pt idx="164">
                  <c:v>0.28819369152030838</c:v>
                </c:pt>
                <c:pt idx="165">
                  <c:v>0.28817037086855463</c:v>
                </c:pt>
                <c:pt idx="166">
                  <c:v>0.28814852136862001</c:v>
                </c:pt>
                <c:pt idx="167">
                  <c:v>0.28812814967607381</c:v>
                </c:pt>
                <c:pt idx="168">
                  <c:v>0.28810926199633097</c:v>
                </c:pt>
                <c:pt idx="169">
                  <c:v>0.28809186408276166</c:v>
                </c:pt>
                <c:pt idx="170">
                  <c:v>0.28807596123493895</c:v>
                </c:pt>
                <c:pt idx="171">
                  <c:v>0.28806155829702429</c:v>
                </c:pt>
                <c:pt idx="172">
                  <c:v>0.28804865965629212</c:v>
                </c:pt>
                <c:pt idx="173">
                  <c:v>0.28803726924179335</c:v>
                </c:pt>
                <c:pt idx="174">
                  <c:v>0.28802739052315862</c:v>
                </c:pt>
                <c:pt idx="175">
                  <c:v>0.28801902650954125</c:v>
                </c:pt>
                <c:pt idx="176">
                  <c:v>0.28801217974870086</c:v>
                </c:pt>
                <c:pt idx="177">
                  <c:v>0.28800685232622714</c:v>
                </c:pt>
                <c:pt idx="178">
                  <c:v>0.28800304586490449</c:v>
                </c:pt>
                <c:pt idx="179">
                  <c:v>0.28800076152421805</c:v>
                </c:pt>
                <c:pt idx="180">
                  <c:v>0.28799999999999998</c:v>
                </c:pt>
                <c:pt idx="181">
                  <c:v>0.28800076152421805</c:v>
                </c:pt>
                <c:pt idx="182">
                  <c:v>0.28800304586490449</c:v>
                </c:pt>
                <c:pt idx="183">
                  <c:v>0.28800685232622714</c:v>
                </c:pt>
                <c:pt idx="184">
                  <c:v>0.28801217974870086</c:v>
                </c:pt>
                <c:pt idx="185">
                  <c:v>0.28801902650954125</c:v>
                </c:pt>
                <c:pt idx="186">
                  <c:v>0.28802739052315862</c:v>
                </c:pt>
                <c:pt idx="187">
                  <c:v>0.28803726924179335</c:v>
                </c:pt>
                <c:pt idx="188">
                  <c:v>0.28804865965629212</c:v>
                </c:pt>
                <c:pt idx="189">
                  <c:v>0.28806155829702429</c:v>
                </c:pt>
                <c:pt idx="190">
                  <c:v>0.28807596123493895</c:v>
                </c:pt>
                <c:pt idx="191">
                  <c:v>0.28809186408276166</c:v>
                </c:pt>
                <c:pt idx="192">
                  <c:v>0.28810926199633097</c:v>
                </c:pt>
                <c:pt idx="193">
                  <c:v>0.28812814967607381</c:v>
                </c:pt>
                <c:pt idx="194">
                  <c:v>0.28814852136862001</c:v>
                </c:pt>
                <c:pt idx="195">
                  <c:v>0.28817037086855463</c:v>
                </c:pt>
                <c:pt idx="196">
                  <c:v>0.28819369152030838</c:v>
                </c:pt>
                <c:pt idx="197">
                  <c:v>0.28821847622018482</c:v>
                </c:pt>
                <c:pt idx="198">
                  <c:v>0.2882447174185242</c:v>
                </c:pt>
                <c:pt idx="199">
                  <c:v>0.28827240712200342</c:v>
                </c:pt>
                <c:pt idx="200">
                  <c:v>0.28830153689607046</c:v>
                </c:pt>
                <c:pt idx="201">
                  <c:v>0.28833209786751396</c:v>
                </c:pt>
                <c:pt idx="202">
                  <c:v>0.28836408072716607</c:v>
                </c:pt>
                <c:pt idx="203">
                  <c:v>0.28839747573273777</c:v>
                </c:pt>
                <c:pt idx="204">
                  <c:v>0.28843227271178695</c:v>
                </c:pt>
                <c:pt idx="205">
                  <c:v>0.28846846106481672</c:v>
                </c:pt>
                <c:pt idx="206">
                  <c:v>0.28850602976850415</c:v>
                </c:pt>
                <c:pt idx="207">
                  <c:v>0.28854496737905816</c:v>
                </c:pt>
                <c:pt idx="208">
                  <c:v>0.28858526203570534</c:v>
                </c:pt>
                <c:pt idx="209">
                  <c:v>0.28862690146430298</c:v>
                </c:pt>
                <c:pt idx="210">
                  <c:v>0.28866987298107777</c:v>
                </c:pt>
                <c:pt idx="211">
                  <c:v>0.28871416349648943</c:v>
                </c:pt>
                <c:pt idx="212">
                  <c:v>0.28875975951921784</c:v>
                </c:pt>
                <c:pt idx="213">
                  <c:v>0.28880664716027288</c:v>
                </c:pt>
                <c:pt idx="214">
                  <c:v>0.28885481213722475</c:v>
                </c:pt>
                <c:pt idx="215">
                  <c:v>0.28890423977855501</c:v>
                </c:pt>
                <c:pt idx="216">
                  <c:v>0.28895491502812526</c:v>
                </c:pt>
                <c:pt idx="217">
                  <c:v>0.2890068224497635</c:v>
                </c:pt>
                <c:pt idx="218">
                  <c:v>0.28905994623196635</c:v>
                </c:pt>
                <c:pt idx="219">
                  <c:v>0.28911427019271513</c:v>
                </c:pt>
                <c:pt idx="220">
                  <c:v>0.28916977778440511</c:v>
                </c:pt>
                <c:pt idx="221">
                  <c:v>0.28922645209888614</c:v>
                </c:pt>
                <c:pt idx="222">
                  <c:v>0.28928427587261302</c:v>
                </c:pt>
                <c:pt idx="223">
                  <c:v>0.28934323149190411</c:v>
                </c:pt>
                <c:pt idx="224">
                  <c:v>0.28940330099830675</c:v>
                </c:pt>
                <c:pt idx="225">
                  <c:v>0.28946446609406723</c:v>
                </c:pt>
                <c:pt idx="226">
                  <c:v>0.28952670814770498</c:v>
                </c:pt>
                <c:pt idx="227">
                  <c:v>0.2895900081996875</c:v>
                </c:pt>
                <c:pt idx="228">
                  <c:v>0.28965434696820569</c:v>
                </c:pt>
                <c:pt idx="229">
                  <c:v>0.28971970485504744</c:v>
                </c:pt>
                <c:pt idx="230">
                  <c:v>0.28978606195156731</c:v>
                </c:pt>
                <c:pt idx="231">
                  <c:v>0.2898533980447508</c:v>
                </c:pt>
                <c:pt idx="232">
                  <c:v>0.2899216926233717</c:v>
                </c:pt>
                <c:pt idx="233">
                  <c:v>0.28999092488423972</c:v>
                </c:pt>
                <c:pt idx="234">
                  <c:v>0.29006107373853762</c:v>
                </c:pt>
                <c:pt idx="235">
                  <c:v>0.29013211781824477</c:v>
                </c:pt>
                <c:pt idx="236">
                  <c:v>0.29020403548264623</c:v>
                </c:pt>
                <c:pt idx="237">
                  <c:v>0.29027680482492485</c:v>
                </c:pt>
                <c:pt idx="238">
                  <c:v>0.29035040367883397</c:v>
                </c:pt>
                <c:pt idx="239">
                  <c:v>0.2904248096254497</c:v>
                </c:pt>
                <c:pt idx="240">
                  <c:v>0.29049999999999998</c:v>
                </c:pt>
                <c:pt idx="241">
                  <c:v>0.29057595189876828</c:v>
                </c:pt>
                <c:pt idx="242">
                  <c:v>0.29065264218607051</c:v>
                </c:pt>
                <c:pt idx="243">
                  <c:v>0.29073004750130227</c:v>
                </c:pt>
                <c:pt idx="244">
                  <c:v>0.29080814426605461</c:v>
                </c:pt>
                <c:pt idx="245">
                  <c:v>0.29088690869129646</c:v>
                </c:pt>
                <c:pt idx="246">
                  <c:v>0.29096631678462098</c:v>
                </c:pt>
                <c:pt idx="247">
                  <c:v>0.29104634435755361</c:v>
                </c:pt>
                <c:pt idx="248">
                  <c:v>0.2911269670329204</c:v>
                </c:pt>
                <c:pt idx="249">
                  <c:v>0.29120816025227347</c:v>
                </c:pt>
                <c:pt idx="250">
                  <c:v>0.29128989928337162</c:v>
                </c:pt>
                <c:pt idx="251">
                  <c:v>0.2913721592277142</c:v>
                </c:pt>
                <c:pt idx="252">
                  <c:v>0.29145491502812526</c:v>
                </c:pt>
                <c:pt idx="253">
                  <c:v>0.29153814147638629</c:v>
                </c:pt>
                <c:pt idx="254">
                  <c:v>0.29162181322091496</c:v>
                </c:pt>
                <c:pt idx="255">
                  <c:v>0.29170590477448738</c:v>
                </c:pt>
                <c:pt idx="256">
                  <c:v>0.29179039052200162</c:v>
                </c:pt>
                <c:pt idx="257">
                  <c:v>0.29187524472828064</c:v>
                </c:pt>
                <c:pt idx="258">
                  <c:v>0.29196044154591116</c:v>
                </c:pt>
                <c:pt idx="259">
                  <c:v>0.29204595502311725</c:v>
                </c:pt>
                <c:pt idx="260">
                  <c:v>0.29213175911166533</c:v>
                </c:pt>
                <c:pt idx="261">
                  <c:v>0.29221782767479881</c:v>
                </c:pt>
                <c:pt idx="262">
                  <c:v>0.29230413449519965</c:v>
                </c:pt>
                <c:pt idx="263">
                  <c:v>0.29239065328297426</c:v>
                </c:pt>
                <c:pt idx="264">
                  <c:v>0.29247735768366173</c:v>
                </c:pt>
                <c:pt idx="265">
                  <c:v>0.29256422128626169</c:v>
                </c:pt>
                <c:pt idx="266">
                  <c:v>0.29265121763127938</c:v>
                </c:pt>
                <c:pt idx="267">
                  <c:v>0.29273832021878526</c:v>
                </c:pt>
                <c:pt idx="268">
                  <c:v>0.29282550251648748</c:v>
                </c:pt>
                <c:pt idx="269">
                  <c:v>0.29291273796781359</c:v>
                </c:pt>
                <c:pt idx="270">
                  <c:v>0.29299999999999998</c:v>
                </c:pt>
                <c:pt idx="271">
                  <c:v>0.29308726203218638</c:v>
                </c:pt>
                <c:pt idx="272">
                  <c:v>0.29317449748351249</c:v>
                </c:pt>
                <c:pt idx="273">
                  <c:v>0.2932616797812147</c:v>
                </c:pt>
                <c:pt idx="274">
                  <c:v>0.29334878236872058</c:v>
                </c:pt>
                <c:pt idx="275">
                  <c:v>0.29343577871373827</c:v>
                </c:pt>
                <c:pt idx="276">
                  <c:v>0.29352264231633823</c:v>
                </c:pt>
                <c:pt idx="277">
                  <c:v>0.29360934671702571</c:v>
                </c:pt>
                <c:pt idx="278">
                  <c:v>0.29369586550480031</c:v>
                </c:pt>
                <c:pt idx="279">
                  <c:v>0.29378217232520115</c:v>
                </c:pt>
                <c:pt idx="280">
                  <c:v>0.29386824088833463</c:v>
                </c:pt>
                <c:pt idx="281">
                  <c:v>0.29395404497688271</c:v>
                </c:pt>
                <c:pt idx="282">
                  <c:v>0.2940395584540888</c:v>
                </c:pt>
                <c:pt idx="283">
                  <c:v>0.29412475527171933</c:v>
                </c:pt>
                <c:pt idx="284">
                  <c:v>0.29420960947799835</c:v>
                </c:pt>
                <c:pt idx="285">
                  <c:v>0.29429409522551259</c:v>
                </c:pt>
                <c:pt idx="286">
                  <c:v>0.294378186779085</c:v>
                </c:pt>
                <c:pt idx="287">
                  <c:v>0.29446185852361367</c:v>
                </c:pt>
                <c:pt idx="288">
                  <c:v>0.2945450849718747</c:v>
                </c:pt>
                <c:pt idx="289">
                  <c:v>0.29462784077228577</c:v>
                </c:pt>
                <c:pt idx="290">
                  <c:v>0.29471010071662834</c:v>
                </c:pt>
                <c:pt idx="291">
                  <c:v>0.29479183974772649</c:v>
                </c:pt>
                <c:pt idx="292">
                  <c:v>0.29487303296707956</c:v>
                </c:pt>
                <c:pt idx="293">
                  <c:v>0.29495365564244636</c:v>
                </c:pt>
                <c:pt idx="294">
                  <c:v>0.29503368321537898</c:v>
                </c:pt>
                <c:pt idx="295">
                  <c:v>0.2951130913087035</c:v>
                </c:pt>
                <c:pt idx="296">
                  <c:v>0.29519185573394535</c:v>
                </c:pt>
                <c:pt idx="297">
                  <c:v>0.2952699524986977</c:v>
                </c:pt>
                <c:pt idx="298">
                  <c:v>0.29534735781392946</c:v>
                </c:pt>
                <c:pt idx="299">
                  <c:v>0.29542404810123168</c:v>
                </c:pt>
                <c:pt idx="300">
                  <c:v>0.29549999999999998</c:v>
                </c:pt>
                <c:pt idx="301">
                  <c:v>0.29557519037455027</c:v>
                </c:pt>
                <c:pt idx="302">
                  <c:v>0.295649596321166</c:v>
                </c:pt>
                <c:pt idx="303">
                  <c:v>0.29572319517507512</c:v>
                </c:pt>
                <c:pt idx="304">
                  <c:v>0.29579596451735374</c:v>
                </c:pt>
                <c:pt idx="305">
                  <c:v>0.29586788218175519</c:v>
                </c:pt>
                <c:pt idx="306">
                  <c:v>0.29593892626146234</c:v>
                </c:pt>
                <c:pt idx="307">
                  <c:v>0.29600907511576025</c:v>
                </c:pt>
                <c:pt idx="308">
                  <c:v>0.29607830737662827</c:v>
                </c:pt>
                <c:pt idx="309">
                  <c:v>0.29614660195524917</c:v>
                </c:pt>
                <c:pt idx="310">
                  <c:v>0.29621393804843266</c:v>
                </c:pt>
                <c:pt idx="311">
                  <c:v>0.29628029514495252</c:v>
                </c:pt>
                <c:pt idx="312">
                  <c:v>0.29634565303179428</c:v>
                </c:pt>
                <c:pt idx="313">
                  <c:v>0.29640999180031247</c:v>
                </c:pt>
                <c:pt idx="314">
                  <c:v>0.29647329185229498</c:v>
                </c:pt>
                <c:pt idx="315">
                  <c:v>0.29653553390593274</c:v>
                </c:pt>
                <c:pt idx="316">
                  <c:v>0.29659669900169322</c:v>
                </c:pt>
                <c:pt idx="317">
                  <c:v>0.29665676850809586</c:v>
                </c:pt>
                <c:pt idx="318">
                  <c:v>0.29671572412738695</c:v>
                </c:pt>
                <c:pt idx="319">
                  <c:v>0.29677354790111382</c:v>
                </c:pt>
                <c:pt idx="320">
                  <c:v>0.29683022221559485</c:v>
                </c:pt>
                <c:pt idx="321">
                  <c:v>0.29688572980728484</c:v>
                </c:pt>
                <c:pt idx="322">
                  <c:v>0.29694005376803362</c:v>
                </c:pt>
                <c:pt idx="323">
                  <c:v>0.29699317755023646</c:v>
                </c:pt>
                <c:pt idx="324">
                  <c:v>0.29704508497187471</c:v>
                </c:pt>
                <c:pt idx="325">
                  <c:v>0.29709576022144496</c:v>
                </c:pt>
                <c:pt idx="326">
                  <c:v>0.29714518786277522</c:v>
                </c:pt>
                <c:pt idx="327">
                  <c:v>0.29719335283972709</c:v>
                </c:pt>
                <c:pt idx="328">
                  <c:v>0.29724024048078213</c:v>
                </c:pt>
                <c:pt idx="329">
                  <c:v>0.29728583650351054</c:v>
                </c:pt>
                <c:pt idx="330">
                  <c:v>0.2973301270189222</c:v>
                </c:pt>
                <c:pt idx="331">
                  <c:v>0.29737309853569699</c:v>
                </c:pt>
                <c:pt idx="332">
                  <c:v>0.29741473796429463</c:v>
                </c:pt>
                <c:pt idx="333">
                  <c:v>0.29745503262094181</c:v>
                </c:pt>
                <c:pt idx="334">
                  <c:v>0.29749397023149582</c:v>
                </c:pt>
                <c:pt idx="335">
                  <c:v>0.29753153893518325</c:v>
                </c:pt>
                <c:pt idx="336">
                  <c:v>0.29756772728821301</c:v>
                </c:pt>
                <c:pt idx="337">
                  <c:v>0.29760252426726219</c:v>
                </c:pt>
                <c:pt idx="338">
                  <c:v>0.29763591927283389</c:v>
                </c:pt>
                <c:pt idx="339">
                  <c:v>0.29766790213248601</c:v>
                </c:pt>
                <c:pt idx="340">
                  <c:v>0.2976984631039295</c:v>
                </c:pt>
                <c:pt idx="341">
                  <c:v>0.29772759287799655</c:v>
                </c:pt>
                <c:pt idx="342">
                  <c:v>0.29775528258147577</c:v>
                </c:pt>
                <c:pt idx="343">
                  <c:v>0.29778152377981515</c:v>
                </c:pt>
                <c:pt idx="344">
                  <c:v>0.29780630847969158</c:v>
                </c:pt>
                <c:pt idx="345">
                  <c:v>0.29782962913144534</c:v>
                </c:pt>
                <c:pt idx="346">
                  <c:v>0.29785147863137995</c:v>
                </c:pt>
                <c:pt idx="347">
                  <c:v>0.29787185032392616</c:v>
                </c:pt>
                <c:pt idx="348">
                  <c:v>0.297890738003669</c:v>
                </c:pt>
                <c:pt idx="349">
                  <c:v>0.2979081359172383</c:v>
                </c:pt>
                <c:pt idx="350">
                  <c:v>0.29792403876506102</c:v>
                </c:pt>
                <c:pt idx="351">
                  <c:v>0.29793844170297568</c:v>
                </c:pt>
                <c:pt idx="352">
                  <c:v>0.29795134034370785</c:v>
                </c:pt>
                <c:pt idx="353">
                  <c:v>0.29796273075820662</c:v>
                </c:pt>
                <c:pt idx="354">
                  <c:v>0.29797260947684134</c:v>
                </c:pt>
                <c:pt idx="355">
                  <c:v>0.29798097349045871</c:v>
                </c:pt>
                <c:pt idx="356">
                  <c:v>0.29798782025129911</c:v>
                </c:pt>
                <c:pt idx="357">
                  <c:v>0.29799314767377283</c:v>
                </c:pt>
                <c:pt idx="358">
                  <c:v>0.29799695413509547</c:v>
                </c:pt>
                <c:pt idx="359">
                  <c:v>0.29799923847578191</c:v>
                </c:pt>
                <c:pt idx="360">
                  <c:v>0.29799999999999999</c:v>
                </c:pt>
              </c:numCache>
            </c:numRef>
          </c:xVal>
          <c:yVal>
            <c:numRef>
              <c:f>[1]EVENT_YYMMDD_Optical!$AW$21:$AW$381</c:f>
              <c:numCache>
                <c:formatCode>General</c:formatCode>
                <c:ptCount val="361"/>
                <c:pt idx="0">
                  <c:v>0.32</c:v>
                </c:pt>
                <c:pt idx="1">
                  <c:v>0.3200872620321864</c:v>
                </c:pt>
                <c:pt idx="2">
                  <c:v>0.32017449748351251</c:v>
                </c:pt>
                <c:pt idx="3">
                  <c:v>0.32026167978121473</c:v>
                </c:pt>
                <c:pt idx="4">
                  <c:v>0.32034878236872061</c:v>
                </c:pt>
                <c:pt idx="5">
                  <c:v>0.3204357787137383</c:v>
                </c:pt>
                <c:pt idx="6">
                  <c:v>0.32052264231633826</c:v>
                </c:pt>
                <c:pt idx="7">
                  <c:v>0.32060934671702573</c:v>
                </c:pt>
                <c:pt idx="8">
                  <c:v>0.32069586550480034</c:v>
                </c:pt>
                <c:pt idx="9">
                  <c:v>0.32078217232520118</c:v>
                </c:pt>
                <c:pt idx="10">
                  <c:v>0.32086824088833465</c:v>
                </c:pt>
                <c:pt idx="11">
                  <c:v>0.32095404497688274</c:v>
                </c:pt>
                <c:pt idx="12">
                  <c:v>0.32103955845408882</c:v>
                </c:pt>
                <c:pt idx="13">
                  <c:v>0.32112475527171935</c:v>
                </c:pt>
                <c:pt idx="14">
                  <c:v>0.32120960947799837</c:v>
                </c:pt>
                <c:pt idx="15">
                  <c:v>0.32129409522551261</c:v>
                </c:pt>
                <c:pt idx="16">
                  <c:v>0.32137818677908503</c:v>
                </c:pt>
                <c:pt idx="17">
                  <c:v>0.3214618585236137</c:v>
                </c:pt>
                <c:pt idx="18">
                  <c:v>0.32154508497187473</c:v>
                </c:pt>
                <c:pt idx="19">
                  <c:v>0.32162784077228579</c:v>
                </c:pt>
                <c:pt idx="20">
                  <c:v>0.32171010071662837</c:v>
                </c:pt>
                <c:pt idx="21">
                  <c:v>0.32179183974772652</c:v>
                </c:pt>
                <c:pt idx="22">
                  <c:v>0.32187303296707959</c:v>
                </c:pt>
                <c:pt idx="23">
                  <c:v>0.32195365564244638</c:v>
                </c:pt>
                <c:pt idx="24">
                  <c:v>0.32203368321537901</c:v>
                </c:pt>
                <c:pt idx="25">
                  <c:v>0.32211309130870353</c:v>
                </c:pt>
                <c:pt idx="26">
                  <c:v>0.32219185573394538</c:v>
                </c:pt>
                <c:pt idx="27">
                  <c:v>0.32226995249869772</c:v>
                </c:pt>
                <c:pt idx="28">
                  <c:v>0.32234735781392948</c:v>
                </c:pt>
                <c:pt idx="29">
                  <c:v>0.32242404810123171</c:v>
                </c:pt>
                <c:pt idx="30">
                  <c:v>0.32250000000000001</c:v>
                </c:pt>
                <c:pt idx="31">
                  <c:v>0.32257519037455029</c:v>
                </c:pt>
                <c:pt idx="32">
                  <c:v>0.32264959632116602</c:v>
                </c:pt>
                <c:pt idx="33">
                  <c:v>0.32272319517507514</c:v>
                </c:pt>
                <c:pt idx="34">
                  <c:v>0.32279596451735376</c:v>
                </c:pt>
                <c:pt idx="35">
                  <c:v>0.32286788218175522</c:v>
                </c:pt>
                <c:pt idx="36">
                  <c:v>0.32293892626146237</c:v>
                </c:pt>
                <c:pt idx="37">
                  <c:v>0.32300907511576027</c:v>
                </c:pt>
                <c:pt idx="38">
                  <c:v>0.32307830737662829</c:v>
                </c:pt>
                <c:pt idx="39">
                  <c:v>0.32314660195524919</c:v>
                </c:pt>
                <c:pt idx="40">
                  <c:v>0.32321393804843268</c:v>
                </c:pt>
                <c:pt idx="41">
                  <c:v>0.32328029514495255</c:v>
                </c:pt>
                <c:pt idx="42">
                  <c:v>0.3233456530317943</c:v>
                </c:pt>
                <c:pt idx="43">
                  <c:v>0.32340999180031249</c:v>
                </c:pt>
                <c:pt idx="44">
                  <c:v>0.32347329185229501</c:v>
                </c:pt>
                <c:pt idx="45">
                  <c:v>0.32353553390593276</c:v>
                </c:pt>
                <c:pt idx="46">
                  <c:v>0.32359669900169324</c:v>
                </c:pt>
                <c:pt idx="47">
                  <c:v>0.32365676850809588</c:v>
                </c:pt>
                <c:pt idx="48">
                  <c:v>0.32371572412738697</c:v>
                </c:pt>
                <c:pt idx="49">
                  <c:v>0.32377354790111385</c:v>
                </c:pt>
                <c:pt idx="50">
                  <c:v>0.32383022221559488</c:v>
                </c:pt>
                <c:pt idx="51">
                  <c:v>0.32388572980728486</c:v>
                </c:pt>
                <c:pt idx="52">
                  <c:v>0.32394005376803364</c:v>
                </c:pt>
                <c:pt idx="53">
                  <c:v>0.32399317755023649</c:v>
                </c:pt>
                <c:pt idx="54">
                  <c:v>0.32404508497187473</c:v>
                </c:pt>
                <c:pt idx="55">
                  <c:v>0.32409576022144498</c:v>
                </c:pt>
                <c:pt idx="56">
                  <c:v>0.32414518786277524</c:v>
                </c:pt>
                <c:pt idx="57">
                  <c:v>0.32419335283972711</c:v>
                </c:pt>
                <c:pt idx="58">
                  <c:v>0.32424024048078215</c:v>
                </c:pt>
                <c:pt idx="59">
                  <c:v>0.32428583650351056</c:v>
                </c:pt>
                <c:pt idx="60">
                  <c:v>0.32433012701892222</c:v>
                </c:pt>
                <c:pt idx="61">
                  <c:v>0.32437309853569696</c:v>
                </c:pt>
                <c:pt idx="62">
                  <c:v>0.32441473796429465</c:v>
                </c:pt>
                <c:pt idx="63">
                  <c:v>0.32445503262094183</c:v>
                </c:pt>
                <c:pt idx="64">
                  <c:v>0.32449397023149584</c:v>
                </c:pt>
                <c:pt idx="65">
                  <c:v>0.32453153893518327</c:v>
                </c:pt>
                <c:pt idx="66">
                  <c:v>0.32456772728821304</c:v>
                </c:pt>
                <c:pt idx="67">
                  <c:v>0.32460252426726222</c:v>
                </c:pt>
                <c:pt idx="68">
                  <c:v>0.32463591927283392</c:v>
                </c:pt>
                <c:pt idx="69">
                  <c:v>0.32466790213248603</c:v>
                </c:pt>
                <c:pt idx="70">
                  <c:v>0.32469846310392952</c:v>
                </c:pt>
                <c:pt idx="71">
                  <c:v>0.32472759287799657</c:v>
                </c:pt>
                <c:pt idx="72">
                  <c:v>0.32475528258147579</c:v>
                </c:pt>
                <c:pt idx="73">
                  <c:v>0.32478152377981517</c:v>
                </c:pt>
                <c:pt idx="74">
                  <c:v>0.32480630847969161</c:v>
                </c:pt>
                <c:pt idx="75">
                  <c:v>0.32482962913144536</c:v>
                </c:pt>
                <c:pt idx="76">
                  <c:v>0.32485147863137998</c:v>
                </c:pt>
                <c:pt idx="77">
                  <c:v>0.32487185032392618</c:v>
                </c:pt>
                <c:pt idx="78">
                  <c:v>0.32489073800366902</c:v>
                </c:pt>
                <c:pt idx="79">
                  <c:v>0.32490813591723833</c:v>
                </c:pt>
                <c:pt idx="80">
                  <c:v>0.32492403876506104</c:v>
                </c:pt>
                <c:pt idx="81">
                  <c:v>0.3249384417029757</c:v>
                </c:pt>
                <c:pt idx="82">
                  <c:v>0.32495134034370787</c:v>
                </c:pt>
                <c:pt idx="83">
                  <c:v>0.32496273075820664</c:v>
                </c:pt>
                <c:pt idx="84">
                  <c:v>0.32497260947684137</c:v>
                </c:pt>
                <c:pt idx="85">
                  <c:v>0.32498097349045874</c:v>
                </c:pt>
                <c:pt idx="86">
                  <c:v>0.32498782025129913</c:v>
                </c:pt>
                <c:pt idx="87">
                  <c:v>0.32499314767377285</c:v>
                </c:pt>
                <c:pt idx="88">
                  <c:v>0.32499695413509549</c:v>
                </c:pt>
                <c:pt idx="89">
                  <c:v>0.32499923847578194</c:v>
                </c:pt>
                <c:pt idx="90">
                  <c:v>0.32500000000000001</c:v>
                </c:pt>
                <c:pt idx="91">
                  <c:v>0.32499923847578194</c:v>
                </c:pt>
                <c:pt idx="92">
                  <c:v>0.32499695413509549</c:v>
                </c:pt>
                <c:pt idx="93">
                  <c:v>0.32499314767377285</c:v>
                </c:pt>
                <c:pt idx="94">
                  <c:v>0.32498782025129913</c:v>
                </c:pt>
                <c:pt idx="95">
                  <c:v>0.32498097349045874</c:v>
                </c:pt>
                <c:pt idx="96">
                  <c:v>0.32497260947684137</c:v>
                </c:pt>
                <c:pt idx="97">
                  <c:v>0.32496273075820664</c:v>
                </c:pt>
                <c:pt idx="98">
                  <c:v>0.32495134034370787</c:v>
                </c:pt>
                <c:pt idx="99">
                  <c:v>0.3249384417029757</c:v>
                </c:pt>
                <c:pt idx="100">
                  <c:v>0.32492403876506104</c:v>
                </c:pt>
                <c:pt idx="101">
                  <c:v>0.32490813591723833</c:v>
                </c:pt>
                <c:pt idx="102">
                  <c:v>0.32489073800366902</c:v>
                </c:pt>
                <c:pt idx="103">
                  <c:v>0.32487185032392618</c:v>
                </c:pt>
                <c:pt idx="104">
                  <c:v>0.32485147863137998</c:v>
                </c:pt>
                <c:pt idx="105">
                  <c:v>0.32482962913144536</c:v>
                </c:pt>
                <c:pt idx="106">
                  <c:v>0.32480630847969161</c:v>
                </c:pt>
                <c:pt idx="107">
                  <c:v>0.32478152377981517</c:v>
                </c:pt>
                <c:pt idx="108">
                  <c:v>0.32475528258147579</c:v>
                </c:pt>
                <c:pt idx="109">
                  <c:v>0.32472759287799657</c:v>
                </c:pt>
                <c:pt idx="110">
                  <c:v>0.32469846310392952</c:v>
                </c:pt>
                <c:pt idx="111">
                  <c:v>0.32466790213248603</c:v>
                </c:pt>
                <c:pt idx="112">
                  <c:v>0.32463591927283392</c:v>
                </c:pt>
                <c:pt idx="113">
                  <c:v>0.32460252426726222</c:v>
                </c:pt>
                <c:pt idx="114">
                  <c:v>0.32456772728821304</c:v>
                </c:pt>
                <c:pt idx="115">
                  <c:v>0.32453153893518327</c:v>
                </c:pt>
                <c:pt idx="116">
                  <c:v>0.32449397023149584</c:v>
                </c:pt>
                <c:pt idx="117">
                  <c:v>0.32445503262094183</c:v>
                </c:pt>
                <c:pt idx="118">
                  <c:v>0.32441473796429465</c:v>
                </c:pt>
                <c:pt idx="119">
                  <c:v>0.32437309853569701</c:v>
                </c:pt>
                <c:pt idx="120">
                  <c:v>0.32433012701892222</c:v>
                </c:pt>
                <c:pt idx="121">
                  <c:v>0.32428583650351056</c:v>
                </c:pt>
                <c:pt idx="122">
                  <c:v>0.32424024048078215</c:v>
                </c:pt>
                <c:pt idx="123">
                  <c:v>0.32419335283972711</c:v>
                </c:pt>
                <c:pt idx="124">
                  <c:v>0.32414518786277524</c:v>
                </c:pt>
                <c:pt idx="125">
                  <c:v>0.32409576022144498</c:v>
                </c:pt>
                <c:pt idx="126">
                  <c:v>0.32404508497187473</c:v>
                </c:pt>
                <c:pt idx="127">
                  <c:v>0.32399317755023649</c:v>
                </c:pt>
                <c:pt idx="128">
                  <c:v>0.32394005376803364</c:v>
                </c:pt>
                <c:pt idx="129">
                  <c:v>0.32388572980728486</c:v>
                </c:pt>
                <c:pt idx="130">
                  <c:v>0.32383022221559488</c:v>
                </c:pt>
                <c:pt idx="131">
                  <c:v>0.32377354790111385</c:v>
                </c:pt>
                <c:pt idx="132">
                  <c:v>0.32371572412738697</c:v>
                </c:pt>
                <c:pt idx="133">
                  <c:v>0.32365676850809588</c:v>
                </c:pt>
                <c:pt idx="134">
                  <c:v>0.32359669900169324</c:v>
                </c:pt>
                <c:pt idx="135">
                  <c:v>0.32353553390593276</c:v>
                </c:pt>
                <c:pt idx="136">
                  <c:v>0.32347329185229501</c:v>
                </c:pt>
                <c:pt idx="137">
                  <c:v>0.32340999180031249</c:v>
                </c:pt>
                <c:pt idx="138">
                  <c:v>0.3233456530317943</c:v>
                </c:pt>
                <c:pt idx="139">
                  <c:v>0.32328029514495255</c:v>
                </c:pt>
                <c:pt idx="140">
                  <c:v>0.32321393804843268</c:v>
                </c:pt>
                <c:pt idx="141">
                  <c:v>0.32314660195524919</c:v>
                </c:pt>
                <c:pt idx="142">
                  <c:v>0.32307830737662829</c:v>
                </c:pt>
                <c:pt idx="143">
                  <c:v>0.32300907511576027</c:v>
                </c:pt>
                <c:pt idx="144">
                  <c:v>0.32293892626146237</c:v>
                </c:pt>
                <c:pt idx="145">
                  <c:v>0.32286788218175522</c:v>
                </c:pt>
                <c:pt idx="146">
                  <c:v>0.32279596451735376</c:v>
                </c:pt>
                <c:pt idx="147">
                  <c:v>0.32272319517507514</c:v>
                </c:pt>
                <c:pt idx="148">
                  <c:v>0.32264959632116602</c:v>
                </c:pt>
                <c:pt idx="149">
                  <c:v>0.32257519037455029</c:v>
                </c:pt>
                <c:pt idx="150">
                  <c:v>0.32250000000000001</c:v>
                </c:pt>
                <c:pt idx="151">
                  <c:v>0.32242404810123171</c:v>
                </c:pt>
                <c:pt idx="152">
                  <c:v>0.32234735781392948</c:v>
                </c:pt>
                <c:pt idx="153">
                  <c:v>0.32226995249869772</c:v>
                </c:pt>
                <c:pt idx="154">
                  <c:v>0.32219185573394538</c:v>
                </c:pt>
                <c:pt idx="155">
                  <c:v>0.32211309130870353</c:v>
                </c:pt>
                <c:pt idx="156">
                  <c:v>0.32203368321537901</c:v>
                </c:pt>
                <c:pt idx="157">
                  <c:v>0.32195365564244638</c:v>
                </c:pt>
                <c:pt idx="158">
                  <c:v>0.32187303296707959</c:v>
                </c:pt>
                <c:pt idx="159">
                  <c:v>0.32179183974772652</c:v>
                </c:pt>
                <c:pt idx="160">
                  <c:v>0.32171010071662837</c:v>
                </c:pt>
                <c:pt idx="161">
                  <c:v>0.32162784077228579</c:v>
                </c:pt>
                <c:pt idx="162">
                  <c:v>0.32154508497187473</c:v>
                </c:pt>
                <c:pt idx="163">
                  <c:v>0.3214618585236137</c:v>
                </c:pt>
                <c:pt idx="164">
                  <c:v>0.32137818677908503</c:v>
                </c:pt>
                <c:pt idx="165">
                  <c:v>0.32129409522551261</c:v>
                </c:pt>
                <c:pt idx="166">
                  <c:v>0.32120960947799837</c:v>
                </c:pt>
                <c:pt idx="167">
                  <c:v>0.32112475527171935</c:v>
                </c:pt>
                <c:pt idx="168">
                  <c:v>0.32103955845408882</c:v>
                </c:pt>
                <c:pt idx="169">
                  <c:v>0.32095404497688274</c:v>
                </c:pt>
                <c:pt idx="170">
                  <c:v>0.32086824088833465</c:v>
                </c:pt>
                <c:pt idx="171">
                  <c:v>0.32078217232520118</c:v>
                </c:pt>
                <c:pt idx="172">
                  <c:v>0.32069586550480034</c:v>
                </c:pt>
                <c:pt idx="173">
                  <c:v>0.32060934671702573</c:v>
                </c:pt>
                <c:pt idx="174">
                  <c:v>0.32052264231633826</c:v>
                </c:pt>
                <c:pt idx="175">
                  <c:v>0.3204357787137383</c:v>
                </c:pt>
                <c:pt idx="176">
                  <c:v>0.32034878236872061</c:v>
                </c:pt>
                <c:pt idx="177">
                  <c:v>0.32026167978121473</c:v>
                </c:pt>
                <c:pt idx="178">
                  <c:v>0.32017449748351251</c:v>
                </c:pt>
                <c:pt idx="179">
                  <c:v>0.3200872620321864</c:v>
                </c:pt>
                <c:pt idx="180">
                  <c:v>0.32</c:v>
                </c:pt>
                <c:pt idx="181">
                  <c:v>0.31991273796781361</c:v>
                </c:pt>
                <c:pt idx="182">
                  <c:v>0.3198255025164875</c:v>
                </c:pt>
                <c:pt idx="183">
                  <c:v>0.31973832021878529</c:v>
                </c:pt>
                <c:pt idx="184">
                  <c:v>0.31965121763127941</c:v>
                </c:pt>
                <c:pt idx="185">
                  <c:v>0.31956422128626172</c:v>
                </c:pt>
                <c:pt idx="186">
                  <c:v>0.31947735768366176</c:v>
                </c:pt>
                <c:pt idx="187">
                  <c:v>0.31939065328297428</c:v>
                </c:pt>
                <c:pt idx="188">
                  <c:v>0.31930413449519968</c:v>
                </c:pt>
                <c:pt idx="189">
                  <c:v>0.31921782767479884</c:v>
                </c:pt>
                <c:pt idx="190">
                  <c:v>0.31913175911166536</c:v>
                </c:pt>
                <c:pt idx="191">
                  <c:v>0.31904595502311728</c:v>
                </c:pt>
                <c:pt idx="192">
                  <c:v>0.31896044154591119</c:v>
                </c:pt>
                <c:pt idx="193">
                  <c:v>0.31887524472828066</c:v>
                </c:pt>
                <c:pt idx="194">
                  <c:v>0.31879039052200164</c:v>
                </c:pt>
                <c:pt idx="195">
                  <c:v>0.3187059047744874</c:v>
                </c:pt>
                <c:pt idx="196">
                  <c:v>0.31862181322091498</c:v>
                </c:pt>
                <c:pt idx="197">
                  <c:v>0.31853814147638632</c:v>
                </c:pt>
                <c:pt idx="198">
                  <c:v>0.31845491502812528</c:v>
                </c:pt>
                <c:pt idx="199">
                  <c:v>0.31837215922771422</c:v>
                </c:pt>
                <c:pt idx="200">
                  <c:v>0.31828989928337165</c:v>
                </c:pt>
                <c:pt idx="201">
                  <c:v>0.3182081602522735</c:v>
                </c:pt>
                <c:pt idx="202">
                  <c:v>0.31812696703292043</c:v>
                </c:pt>
                <c:pt idx="203">
                  <c:v>0.31804634435755363</c:v>
                </c:pt>
                <c:pt idx="204">
                  <c:v>0.31796631678462101</c:v>
                </c:pt>
                <c:pt idx="205">
                  <c:v>0.31788690869129649</c:v>
                </c:pt>
                <c:pt idx="206">
                  <c:v>0.31780814426605464</c:v>
                </c:pt>
                <c:pt idx="207">
                  <c:v>0.31773004750130229</c:v>
                </c:pt>
                <c:pt idx="208">
                  <c:v>0.31765264218607053</c:v>
                </c:pt>
                <c:pt idx="209">
                  <c:v>0.3175759518987683</c:v>
                </c:pt>
                <c:pt idx="210">
                  <c:v>0.3175</c:v>
                </c:pt>
                <c:pt idx="211">
                  <c:v>0.31742480962544972</c:v>
                </c:pt>
                <c:pt idx="212">
                  <c:v>0.31735040367883399</c:v>
                </c:pt>
                <c:pt idx="213">
                  <c:v>0.31727680482492487</c:v>
                </c:pt>
                <c:pt idx="214">
                  <c:v>0.31720403548264625</c:v>
                </c:pt>
                <c:pt idx="215">
                  <c:v>0.3171321178182448</c:v>
                </c:pt>
                <c:pt idx="216">
                  <c:v>0.31706107373853765</c:v>
                </c:pt>
                <c:pt idx="217">
                  <c:v>0.31699092488423974</c:v>
                </c:pt>
                <c:pt idx="218">
                  <c:v>0.31692169262337172</c:v>
                </c:pt>
                <c:pt idx="219">
                  <c:v>0.31685339804475082</c:v>
                </c:pt>
                <c:pt idx="220">
                  <c:v>0.31678606195156733</c:v>
                </c:pt>
                <c:pt idx="221">
                  <c:v>0.31671970485504747</c:v>
                </c:pt>
                <c:pt idx="222">
                  <c:v>0.31665434696820571</c:v>
                </c:pt>
                <c:pt idx="223">
                  <c:v>0.31659000819968752</c:v>
                </c:pt>
                <c:pt idx="224">
                  <c:v>0.316526708147705</c:v>
                </c:pt>
                <c:pt idx="225">
                  <c:v>0.31646446609406725</c:v>
                </c:pt>
                <c:pt idx="226">
                  <c:v>0.31640330099830677</c:v>
                </c:pt>
                <c:pt idx="227">
                  <c:v>0.31634323149190413</c:v>
                </c:pt>
                <c:pt idx="228">
                  <c:v>0.31628427587261304</c:v>
                </c:pt>
                <c:pt idx="229">
                  <c:v>0.31622645209888617</c:v>
                </c:pt>
                <c:pt idx="230">
                  <c:v>0.31616977778440514</c:v>
                </c:pt>
                <c:pt idx="231">
                  <c:v>0.31611427019271515</c:v>
                </c:pt>
                <c:pt idx="232">
                  <c:v>0.31605994623196637</c:v>
                </c:pt>
                <c:pt idx="233">
                  <c:v>0.31600682244976352</c:v>
                </c:pt>
                <c:pt idx="234">
                  <c:v>0.31595491502812528</c:v>
                </c:pt>
                <c:pt idx="235">
                  <c:v>0.31590423977855503</c:v>
                </c:pt>
                <c:pt idx="236">
                  <c:v>0.31585481213722477</c:v>
                </c:pt>
                <c:pt idx="237">
                  <c:v>0.3158066471602729</c:v>
                </c:pt>
                <c:pt idx="238">
                  <c:v>0.31575975951921786</c:v>
                </c:pt>
                <c:pt idx="239">
                  <c:v>0.31571416349648945</c:v>
                </c:pt>
                <c:pt idx="240">
                  <c:v>0.31566987298107779</c:v>
                </c:pt>
                <c:pt idx="241">
                  <c:v>0.315626901464303</c:v>
                </c:pt>
                <c:pt idx="242">
                  <c:v>0.31558526203570536</c:v>
                </c:pt>
                <c:pt idx="243">
                  <c:v>0.31554496737905818</c:v>
                </c:pt>
                <c:pt idx="244">
                  <c:v>0.31550602976850417</c:v>
                </c:pt>
                <c:pt idx="245">
                  <c:v>0.31546846106481674</c:v>
                </c:pt>
                <c:pt idx="246">
                  <c:v>0.31543227271178698</c:v>
                </c:pt>
                <c:pt idx="247">
                  <c:v>0.3153974757327378</c:v>
                </c:pt>
                <c:pt idx="248">
                  <c:v>0.3153640807271661</c:v>
                </c:pt>
                <c:pt idx="249">
                  <c:v>0.31533209786751398</c:v>
                </c:pt>
                <c:pt idx="250">
                  <c:v>0.31530153689607049</c:v>
                </c:pt>
                <c:pt idx="251">
                  <c:v>0.31527240712200344</c:v>
                </c:pt>
                <c:pt idx="252">
                  <c:v>0.31524471741852422</c:v>
                </c:pt>
                <c:pt idx="253">
                  <c:v>0.31521847622018484</c:v>
                </c:pt>
                <c:pt idx="254">
                  <c:v>0.31519369152030841</c:v>
                </c:pt>
                <c:pt idx="255">
                  <c:v>0.31517037086855465</c:v>
                </c:pt>
                <c:pt idx="256">
                  <c:v>0.31514852136862004</c:v>
                </c:pt>
                <c:pt idx="257">
                  <c:v>0.31512814967607383</c:v>
                </c:pt>
                <c:pt idx="258">
                  <c:v>0.31510926199633099</c:v>
                </c:pt>
                <c:pt idx="259">
                  <c:v>0.31509186408276169</c:v>
                </c:pt>
                <c:pt idx="260">
                  <c:v>0.31507596123493897</c:v>
                </c:pt>
                <c:pt idx="261">
                  <c:v>0.31506155829702431</c:v>
                </c:pt>
                <c:pt idx="262">
                  <c:v>0.31504865965629214</c:v>
                </c:pt>
                <c:pt idx="263">
                  <c:v>0.31503726924179337</c:v>
                </c:pt>
                <c:pt idx="264">
                  <c:v>0.31502739052315865</c:v>
                </c:pt>
                <c:pt idx="265">
                  <c:v>0.31501902650954128</c:v>
                </c:pt>
                <c:pt idx="266">
                  <c:v>0.31501217974870088</c:v>
                </c:pt>
                <c:pt idx="267">
                  <c:v>0.31500685232622716</c:v>
                </c:pt>
                <c:pt idx="268">
                  <c:v>0.31500304586490452</c:v>
                </c:pt>
                <c:pt idx="269">
                  <c:v>0.31500076152421808</c:v>
                </c:pt>
                <c:pt idx="270">
                  <c:v>0.315</c:v>
                </c:pt>
                <c:pt idx="271">
                  <c:v>0.31500076152421808</c:v>
                </c:pt>
                <c:pt idx="272">
                  <c:v>0.31500304586490452</c:v>
                </c:pt>
                <c:pt idx="273">
                  <c:v>0.31500685232622716</c:v>
                </c:pt>
                <c:pt idx="274">
                  <c:v>0.31501217974870088</c:v>
                </c:pt>
                <c:pt idx="275">
                  <c:v>0.31501902650954128</c:v>
                </c:pt>
                <c:pt idx="276">
                  <c:v>0.31502739052315865</c:v>
                </c:pt>
                <c:pt idx="277">
                  <c:v>0.31503726924179337</c:v>
                </c:pt>
                <c:pt idx="278">
                  <c:v>0.31504865965629214</c:v>
                </c:pt>
                <c:pt idx="279">
                  <c:v>0.31506155829702431</c:v>
                </c:pt>
                <c:pt idx="280">
                  <c:v>0.31507596123493897</c:v>
                </c:pt>
                <c:pt idx="281">
                  <c:v>0.31509186408276169</c:v>
                </c:pt>
                <c:pt idx="282">
                  <c:v>0.31510926199633099</c:v>
                </c:pt>
                <c:pt idx="283">
                  <c:v>0.31512814967607383</c:v>
                </c:pt>
                <c:pt idx="284">
                  <c:v>0.31514852136862004</c:v>
                </c:pt>
                <c:pt idx="285">
                  <c:v>0.31517037086855465</c:v>
                </c:pt>
                <c:pt idx="286">
                  <c:v>0.31519369152030841</c:v>
                </c:pt>
                <c:pt idx="287">
                  <c:v>0.31521847622018484</c:v>
                </c:pt>
                <c:pt idx="288">
                  <c:v>0.31524471741852422</c:v>
                </c:pt>
                <c:pt idx="289">
                  <c:v>0.31527240712200344</c:v>
                </c:pt>
                <c:pt idx="290">
                  <c:v>0.31530153689607049</c:v>
                </c:pt>
                <c:pt idx="291">
                  <c:v>0.31533209786751398</c:v>
                </c:pt>
                <c:pt idx="292">
                  <c:v>0.3153640807271661</c:v>
                </c:pt>
                <c:pt idx="293">
                  <c:v>0.3153974757327378</c:v>
                </c:pt>
                <c:pt idx="294">
                  <c:v>0.31543227271178698</c:v>
                </c:pt>
                <c:pt idx="295">
                  <c:v>0.31546846106481674</c:v>
                </c:pt>
                <c:pt idx="296">
                  <c:v>0.31550602976850417</c:v>
                </c:pt>
                <c:pt idx="297">
                  <c:v>0.31554496737905818</c:v>
                </c:pt>
                <c:pt idx="298">
                  <c:v>0.31558526203570536</c:v>
                </c:pt>
                <c:pt idx="299">
                  <c:v>0.31562690146430306</c:v>
                </c:pt>
                <c:pt idx="300">
                  <c:v>0.31566987298107779</c:v>
                </c:pt>
                <c:pt idx="301">
                  <c:v>0.31571416349648945</c:v>
                </c:pt>
                <c:pt idx="302">
                  <c:v>0.31575975951921786</c:v>
                </c:pt>
                <c:pt idx="303">
                  <c:v>0.3158066471602729</c:v>
                </c:pt>
                <c:pt idx="304">
                  <c:v>0.31585481213722477</c:v>
                </c:pt>
                <c:pt idx="305">
                  <c:v>0.31590423977855503</c:v>
                </c:pt>
                <c:pt idx="306">
                  <c:v>0.31595491502812528</c:v>
                </c:pt>
                <c:pt idx="307">
                  <c:v>0.31600682244976352</c:v>
                </c:pt>
                <c:pt idx="308">
                  <c:v>0.31605994623196637</c:v>
                </c:pt>
                <c:pt idx="309">
                  <c:v>0.31611427019271515</c:v>
                </c:pt>
                <c:pt idx="310">
                  <c:v>0.31616977778440514</c:v>
                </c:pt>
                <c:pt idx="311">
                  <c:v>0.31622645209888617</c:v>
                </c:pt>
                <c:pt idx="312">
                  <c:v>0.31628427587261304</c:v>
                </c:pt>
                <c:pt idx="313">
                  <c:v>0.31634323149190413</c:v>
                </c:pt>
                <c:pt idx="314">
                  <c:v>0.31640330099830677</c:v>
                </c:pt>
                <c:pt idx="315">
                  <c:v>0.31646446609406725</c:v>
                </c:pt>
                <c:pt idx="316">
                  <c:v>0.316526708147705</c:v>
                </c:pt>
                <c:pt idx="317">
                  <c:v>0.31659000819968752</c:v>
                </c:pt>
                <c:pt idx="318">
                  <c:v>0.31665434696820571</c:v>
                </c:pt>
                <c:pt idx="319">
                  <c:v>0.31671970485504747</c:v>
                </c:pt>
                <c:pt idx="320">
                  <c:v>0.31678606195156733</c:v>
                </c:pt>
                <c:pt idx="321">
                  <c:v>0.31685339804475082</c:v>
                </c:pt>
                <c:pt idx="322">
                  <c:v>0.31692169262337172</c:v>
                </c:pt>
                <c:pt idx="323">
                  <c:v>0.31699092488423974</c:v>
                </c:pt>
                <c:pt idx="324">
                  <c:v>0.31706107373853765</c:v>
                </c:pt>
                <c:pt idx="325">
                  <c:v>0.3171321178182448</c:v>
                </c:pt>
                <c:pt idx="326">
                  <c:v>0.31720403548264625</c:v>
                </c:pt>
                <c:pt idx="327">
                  <c:v>0.31727680482492487</c:v>
                </c:pt>
                <c:pt idx="328">
                  <c:v>0.31735040367883399</c:v>
                </c:pt>
                <c:pt idx="329">
                  <c:v>0.31742480962544972</c:v>
                </c:pt>
                <c:pt idx="330">
                  <c:v>0.3175</c:v>
                </c:pt>
                <c:pt idx="331">
                  <c:v>0.3175759518987683</c:v>
                </c:pt>
                <c:pt idx="332">
                  <c:v>0.31765264218607053</c:v>
                </c:pt>
                <c:pt idx="333">
                  <c:v>0.31773004750130229</c:v>
                </c:pt>
                <c:pt idx="334">
                  <c:v>0.31780814426605464</c:v>
                </c:pt>
                <c:pt idx="335">
                  <c:v>0.31788690869129649</c:v>
                </c:pt>
                <c:pt idx="336">
                  <c:v>0.31796631678462101</c:v>
                </c:pt>
                <c:pt idx="337">
                  <c:v>0.31804634435755363</c:v>
                </c:pt>
                <c:pt idx="338">
                  <c:v>0.31812696703292043</c:v>
                </c:pt>
                <c:pt idx="339">
                  <c:v>0.3182081602522735</c:v>
                </c:pt>
                <c:pt idx="340">
                  <c:v>0.31828989928337165</c:v>
                </c:pt>
                <c:pt idx="341">
                  <c:v>0.31837215922771422</c:v>
                </c:pt>
                <c:pt idx="342">
                  <c:v>0.31845491502812528</c:v>
                </c:pt>
                <c:pt idx="343">
                  <c:v>0.31853814147638632</c:v>
                </c:pt>
                <c:pt idx="344">
                  <c:v>0.31862181322091498</c:v>
                </c:pt>
                <c:pt idx="345">
                  <c:v>0.3187059047744874</c:v>
                </c:pt>
                <c:pt idx="346">
                  <c:v>0.31879039052200164</c:v>
                </c:pt>
                <c:pt idx="347">
                  <c:v>0.31887524472828066</c:v>
                </c:pt>
                <c:pt idx="348">
                  <c:v>0.31896044154591119</c:v>
                </c:pt>
                <c:pt idx="349">
                  <c:v>0.31904595502311728</c:v>
                </c:pt>
                <c:pt idx="350">
                  <c:v>0.31913175911166536</c:v>
                </c:pt>
                <c:pt idx="351">
                  <c:v>0.31921782767479884</c:v>
                </c:pt>
                <c:pt idx="352">
                  <c:v>0.31930413449519968</c:v>
                </c:pt>
                <c:pt idx="353">
                  <c:v>0.31939065328297428</c:v>
                </c:pt>
                <c:pt idx="354">
                  <c:v>0.31947735768366176</c:v>
                </c:pt>
                <c:pt idx="355">
                  <c:v>0.31956422128626172</c:v>
                </c:pt>
                <c:pt idx="356">
                  <c:v>0.31965121763127941</c:v>
                </c:pt>
                <c:pt idx="357">
                  <c:v>0.31973832021878529</c:v>
                </c:pt>
                <c:pt idx="358">
                  <c:v>0.3198255025164875</c:v>
                </c:pt>
                <c:pt idx="359">
                  <c:v>0.31991273796781361</c:v>
                </c:pt>
                <c:pt idx="36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3-4D4F-9BC0-824AF5A4012A}"/>
            </c:ext>
          </c:extLst>
        </c:ser>
        <c:ser>
          <c:idx val="1"/>
          <c:order val="1"/>
          <c:tx>
            <c:v>원점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[1]EVENT_YYMMDD_Optical!$L$12</c:f>
              <c:numCache>
                <c:formatCode>General</c:formatCode>
                <c:ptCount val="1"/>
                <c:pt idx="0">
                  <c:v>0.29299999999999998</c:v>
                </c:pt>
              </c:numCache>
            </c:numRef>
          </c:xVal>
          <c:yVal>
            <c:numRef>
              <c:f>[1]EVENT_YYMMDD_Optical!$M$12</c:f>
              <c:numCache>
                <c:formatCode>General</c:formatCode>
                <c:ptCount val="1"/>
                <c:pt idx="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3-4D4F-9BC0-824AF5A4012A}"/>
            </c:ext>
          </c:extLst>
        </c:ser>
        <c:ser>
          <c:idx val="2"/>
          <c:order val="2"/>
          <c:tx>
            <c:v>DV9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'Daily_BU설비데이터 '!$M$20:$M$600</c:f>
              <c:numCache>
                <c:formatCode>0.0000_);[Red]\(0.0000\)</c:formatCode>
                <c:ptCount val="581"/>
              </c:numCache>
            </c:numRef>
          </c:xVal>
          <c:yVal>
            <c:numRef>
              <c:f>'Daily_BU설비데이터 '!$N$20:$N$600</c:f>
              <c:numCache>
                <c:formatCode>0.0000_);[Red]\(0.0000\)</c:formatCode>
                <c:ptCount val="58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53-4D4F-9BC0-824AF5A40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147728"/>
        <c:axId val="1200160208"/>
        <c:extLst/>
      </c:scatterChart>
      <c:valAx>
        <c:axId val="120014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60208"/>
        <c:crosses val="autoZero"/>
        <c:crossBetween val="midCat"/>
        <c:majorUnit val="5.000000000000001E-3"/>
      </c:valAx>
      <c:valAx>
        <c:axId val="12001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4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5287029238526"/>
          <c:y val="0.71091942515059448"/>
          <c:w val="0.1237144944245923"/>
          <c:h val="0.21619042479198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RED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출하데이터_Vlookup!$F$20:$F$330</c:f>
              <c:numCache>
                <c:formatCode>0.0000_);[Red]\(0.0000\)</c:formatCode>
                <c:ptCount val="3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</c:numCache>
            </c:numRef>
          </c:xVal>
          <c:yVal>
            <c:numRef>
              <c:f>출하데이터_Vlookup!$G$20:$G$330</c:f>
              <c:numCache>
                <c:formatCode>0.0000_);[Red]\(0.0000\)</c:formatCode>
                <c:ptCount val="3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B-41FB-8513-BD5CC4E8EF99}"/>
            </c:ext>
          </c:extLst>
        </c:ser>
        <c:ser>
          <c:idx val="3"/>
          <c:order val="1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출하데이터_Vlookup!$F$12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출하데이터_Vlookup!$G$12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B-41FB-8513-BD5CC4E8EF99}"/>
            </c:ext>
          </c:extLst>
        </c:ser>
        <c:ser>
          <c:idx val="1"/>
          <c:order val="2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출하데이터_Vlookup!$F$12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출하데이터_Vlookup!$G$12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AB-41FB-8513-BD5CC4E8EF99}"/>
            </c:ext>
          </c:extLst>
        </c:ser>
        <c:ser>
          <c:idx val="4"/>
          <c:order val="3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출하데이터_Vlookup!$AQ$30:$AQ$34</c:f>
              <c:numCache>
                <c:formatCode>0.000_);[Red]\(0.000\)</c:formatCode>
                <c:ptCount val="5"/>
                <c:pt idx="0">
                  <c:v>0.61</c:v>
                </c:pt>
                <c:pt idx="1">
                  <c:v>0.61</c:v>
                </c:pt>
                <c:pt idx="2">
                  <c:v>0.67</c:v>
                </c:pt>
                <c:pt idx="3">
                  <c:v>0.67</c:v>
                </c:pt>
                <c:pt idx="4">
                  <c:v>0.61</c:v>
                </c:pt>
              </c:numCache>
            </c:numRef>
          </c:xVal>
          <c:yVal>
            <c:numRef>
              <c:f>출하데이터_Vlookup!$AR$30:$AR$34</c:f>
              <c:numCache>
                <c:formatCode>0.000_);[Red]\(0.000\)</c:formatCode>
                <c:ptCount val="5"/>
                <c:pt idx="0">
                  <c:v>0.32099999999999995</c:v>
                </c:pt>
                <c:pt idx="1">
                  <c:v>0.38100000000000001</c:v>
                </c:pt>
                <c:pt idx="2">
                  <c:v>0.38100000000000001</c:v>
                </c:pt>
                <c:pt idx="3">
                  <c:v>0.32099999999999995</c:v>
                </c:pt>
                <c:pt idx="4">
                  <c:v>0.32099999999999995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AB-41FB-8513-BD5CC4E8E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482272"/>
        <c:axId val="687480312"/>
      </c:scatterChart>
      <c:valAx>
        <c:axId val="68748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0312"/>
        <c:crosses val="autoZero"/>
        <c:crossBetween val="midCat"/>
      </c:valAx>
      <c:valAx>
        <c:axId val="687480312"/>
        <c:scaling>
          <c:orientation val="minMax"/>
          <c:min val="0.31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22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GREEN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출하데이터_Vlookup!$H$20:$H$330</c:f>
              <c:numCache>
                <c:formatCode>0.0000_);[Red]\(0.0000\)</c:formatCode>
                <c:ptCount val="3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</c:numCache>
            </c:numRef>
          </c:xVal>
          <c:yVal>
            <c:numRef>
              <c:f>출하데이터_Vlookup!$I$20:$I$330</c:f>
              <c:numCache>
                <c:formatCode>0.0000_);[Red]\(0.0000\)</c:formatCode>
                <c:ptCount val="3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2-4BA4-953D-B7F0C533E9B1}"/>
            </c:ext>
          </c:extLst>
        </c:ser>
        <c:ser>
          <c:idx val="1"/>
          <c:order val="1"/>
          <c:tx>
            <c:v>GREEN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출하데이터_Vlookup!$H$12</c:f>
              <c:numCache>
                <c:formatCode>0.000_);[Red]\(0.000\)</c:formatCode>
                <c:ptCount val="1"/>
                <c:pt idx="0">
                  <c:v>0.29199999999999998</c:v>
                </c:pt>
              </c:numCache>
            </c:numRef>
          </c:xVal>
          <c:yVal>
            <c:numRef>
              <c:f>출하데이터_Vlookup!$I$12</c:f>
              <c:numCache>
                <c:formatCode>0.000_);[Red]\(0.000\)</c:formatCode>
                <c:ptCount val="1"/>
                <c:pt idx="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2-4BA4-953D-B7F0C533E9B1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출하데이터_Vlookup!$AH$48:$AH$52</c:f>
              <c:numCache>
                <c:formatCode>0.000_);[Red]\(0.000\)</c:formatCode>
                <c:ptCount val="5"/>
                <c:pt idx="0">
                  <c:v>0.26200000000000001</c:v>
                </c:pt>
                <c:pt idx="1">
                  <c:v>0.26200000000000001</c:v>
                </c:pt>
                <c:pt idx="2">
                  <c:v>0.32199999999999995</c:v>
                </c:pt>
                <c:pt idx="3">
                  <c:v>0.32199999999999995</c:v>
                </c:pt>
                <c:pt idx="4">
                  <c:v>0.26200000000000001</c:v>
                </c:pt>
              </c:numCache>
            </c:numRef>
          </c:xVal>
          <c:yVal>
            <c:numRef>
              <c:f>출하데이터_Vlookup!$AI$48:$AI$52</c:f>
              <c:numCache>
                <c:formatCode>0.000_);[Red]\(0.000\)</c:formatCode>
                <c:ptCount val="5"/>
                <c:pt idx="0">
                  <c:v>0.61699999999999999</c:v>
                </c:pt>
                <c:pt idx="1">
                  <c:v>0.67700000000000005</c:v>
                </c:pt>
                <c:pt idx="2">
                  <c:v>0.67700000000000005</c:v>
                </c:pt>
                <c:pt idx="3">
                  <c:v>0.61699999999999999</c:v>
                </c:pt>
                <c:pt idx="4">
                  <c:v>0.61699999999999999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D2-4BA4-953D-B7F0C533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58512"/>
        <c:axId val="679362040"/>
      </c:scatterChart>
      <c:valAx>
        <c:axId val="679358512"/>
        <c:scaling>
          <c:orientation val="minMax"/>
          <c:max val="0.33000000000000007"/>
          <c:min val="0.2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2040"/>
        <c:crosses val="autoZero"/>
        <c:crossBetween val="midCat"/>
        <c:majorUnit val="5.000000000000001E-3"/>
      </c:valAx>
      <c:valAx>
        <c:axId val="679362040"/>
        <c:scaling>
          <c:orientation val="minMax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58512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BLUE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출하데이터_Vlookup!$J$20:$J$330</c:f>
              <c:numCache>
                <c:formatCode>0.0000_);[Red]\(0.0000\)</c:formatCode>
                <c:ptCount val="3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</c:numCache>
            </c:numRef>
          </c:xVal>
          <c:yVal>
            <c:numRef>
              <c:f>출하데이터_Vlookup!$K$20:$K$330</c:f>
              <c:numCache>
                <c:formatCode>0.0000_);[Red]\(0.0000\)</c:formatCode>
                <c:ptCount val="3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8-4391-9E3E-AFED9EAAA071}"/>
            </c:ext>
          </c:extLst>
        </c:ser>
        <c:ser>
          <c:idx val="1"/>
          <c:order val="1"/>
          <c:tx>
            <c:v>BLUE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출하데이터_Vlookup!$J$12</c:f>
              <c:numCache>
                <c:formatCode>0.000_);[Red]\(0.000\)</c:formatCode>
                <c:ptCount val="1"/>
                <c:pt idx="0">
                  <c:v>0.15</c:v>
                </c:pt>
              </c:numCache>
            </c:numRef>
          </c:xVal>
          <c:yVal>
            <c:numRef>
              <c:f>출하데이터_Vlookup!$K$12</c:f>
              <c:numCache>
                <c:formatCode>0.000_);[Red]\(0.000\)</c:formatCode>
                <c:ptCount val="1"/>
                <c:pt idx="0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8-4391-9E3E-AFED9EAAA071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출하데이터_Vlookup!$AQ$48:$AQ$52</c:f>
              <c:numCache>
                <c:formatCode>0.000_);[Red]\(0.000\)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0.18</c:v>
                </c:pt>
                <c:pt idx="3">
                  <c:v>0.18</c:v>
                </c:pt>
                <c:pt idx="4">
                  <c:v>0.12</c:v>
                </c:pt>
              </c:numCache>
            </c:numRef>
          </c:xVal>
          <c:yVal>
            <c:numRef>
              <c:f>출하데이터_Vlookup!$AR$48:$AR$52</c:f>
              <c:numCache>
                <c:formatCode>0.000_);[Red]\(0.000\)</c:formatCode>
                <c:ptCount val="5"/>
                <c:pt idx="0">
                  <c:v>0.03</c:v>
                </c:pt>
                <c:pt idx="1">
                  <c:v>0.09</c:v>
                </c:pt>
                <c:pt idx="2">
                  <c:v>0.09</c:v>
                </c:pt>
                <c:pt idx="3">
                  <c:v>0.03</c:v>
                </c:pt>
                <c:pt idx="4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B8-4391-9E3E-AFED9EAAA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60864"/>
        <c:axId val="679361256"/>
      </c:scatterChart>
      <c:valAx>
        <c:axId val="679360864"/>
        <c:scaling>
          <c:orientation val="minMax"/>
          <c:min val="0.115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1256"/>
        <c:crosses val="autoZero"/>
        <c:crossBetween val="midCat"/>
        <c:majorUnit val="5.000000000000001E-3"/>
      </c:valAx>
      <c:valAx>
        <c:axId val="679361256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0864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휘도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출하데이터_Vlookup!$O$20:$O$96</c:f>
              <c:numCache>
                <c:formatCode>0.0000_);[Red]\(0.0000\)</c:formatCode>
                <c:ptCount val="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 formatCode="General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 formatCode="General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2-46B5-8788-437FB81E8D0C}"/>
            </c:ext>
          </c:extLst>
        </c:ser>
        <c:ser>
          <c:idx val="1"/>
          <c:order val="1"/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출하데이터_Vlookup!$AZ$20:$AZ$96</c:f>
              <c:numCache>
                <c:formatCode>0.0_);[Red]\(0.0\)</c:formatCode>
                <c:ptCount val="77"/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2-46B5-8788-437FB81E8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ax val="11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  <c:majorUnit val="50"/>
        <c:min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CR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출하데이터_Vlookup!$Q$20:$Q$96</c:f>
              <c:numCache>
                <c:formatCode>0_);[Red]\(0\)</c:formatCode>
                <c:ptCount val="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B-4435-9E89-776AC097A25F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출하데이터_Vlookup!$Q$20:$Q$96</c:f>
              <c:numCache>
                <c:formatCode>0_);[Red]\(0\)</c:formatCode>
                <c:ptCount val="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B-4435-9E89-776AC097A25F}"/>
            </c:ext>
          </c:extLst>
        </c:ser>
        <c:ser>
          <c:idx val="2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출하데이터_Vlookup!$BA$20:$BA$96</c:f>
              <c:numCache>
                <c:formatCode>0.0_);[Red]\(0.0\)</c:formatCode>
                <c:ptCount val="77"/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B-4435-9E89-776AC097A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색재현율</a:t>
            </a:r>
            <a:r>
              <a:rPr lang="en-US" altLang="ko-KR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</a:t>
            </a:r>
            <a:r>
              <a:rPr lang="ko-KR" altLang="en-US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측정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출하데이터_Vlookup!$B$20:$B$329</c:f>
              <c:strCache>
                <c:ptCount val="310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  <c:pt idx="206">
                  <c:v>#207</c:v>
                </c:pt>
                <c:pt idx="207">
                  <c:v>#208</c:v>
                </c:pt>
                <c:pt idx="208">
                  <c:v>#209</c:v>
                </c:pt>
                <c:pt idx="209">
                  <c:v>#210</c:v>
                </c:pt>
                <c:pt idx="210">
                  <c:v>#211</c:v>
                </c:pt>
                <c:pt idx="211">
                  <c:v>#212</c:v>
                </c:pt>
                <c:pt idx="212">
                  <c:v>#213</c:v>
                </c:pt>
                <c:pt idx="213">
                  <c:v>#214</c:v>
                </c:pt>
                <c:pt idx="214">
                  <c:v>#215</c:v>
                </c:pt>
                <c:pt idx="215">
                  <c:v>#216</c:v>
                </c:pt>
                <c:pt idx="216">
                  <c:v>#217</c:v>
                </c:pt>
                <c:pt idx="217">
                  <c:v>#218</c:v>
                </c:pt>
                <c:pt idx="218">
                  <c:v>#219</c:v>
                </c:pt>
                <c:pt idx="219">
                  <c:v>#220</c:v>
                </c:pt>
                <c:pt idx="220">
                  <c:v>#221</c:v>
                </c:pt>
                <c:pt idx="221">
                  <c:v>#222</c:v>
                </c:pt>
                <c:pt idx="222">
                  <c:v>#223</c:v>
                </c:pt>
                <c:pt idx="223">
                  <c:v>#224</c:v>
                </c:pt>
                <c:pt idx="224">
                  <c:v>#225</c:v>
                </c:pt>
                <c:pt idx="225">
                  <c:v>#226</c:v>
                </c:pt>
                <c:pt idx="226">
                  <c:v>#227</c:v>
                </c:pt>
                <c:pt idx="227">
                  <c:v>#228</c:v>
                </c:pt>
                <c:pt idx="228">
                  <c:v>#229</c:v>
                </c:pt>
                <c:pt idx="229">
                  <c:v>#230</c:v>
                </c:pt>
                <c:pt idx="230">
                  <c:v>#231</c:v>
                </c:pt>
                <c:pt idx="231">
                  <c:v>#232</c:v>
                </c:pt>
                <c:pt idx="232">
                  <c:v>#233</c:v>
                </c:pt>
                <c:pt idx="233">
                  <c:v>#234</c:v>
                </c:pt>
                <c:pt idx="234">
                  <c:v>#235</c:v>
                </c:pt>
                <c:pt idx="235">
                  <c:v>#236</c:v>
                </c:pt>
                <c:pt idx="236">
                  <c:v>#237</c:v>
                </c:pt>
                <c:pt idx="237">
                  <c:v>#238</c:v>
                </c:pt>
                <c:pt idx="238">
                  <c:v>#239</c:v>
                </c:pt>
                <c:pt idx="239">
                  <c:v>#240</c:v>
                </c:pt>
                <c:pt idx="240">
                  <c:v>#241</c:v>
                </c:pt>
                <c:pt idx="241">
                  <c:v>#242</c:v>
                </c:pt>
                <c:pt idx="242">
                  <c:v>#243</c:v>
                </c:pt>
                <c:pt idx="243">
                  <c:v>#244</c:v>
                </c:pt>
                <c:pt idx="244">
                  <c:v>#245</c:v>
                </c:pt>
                <c:pt idx="245">
                  <c:v>#246</c:v>
                </c:pt>
                <c:pt idx="246">
                  <c:v>#247</c:v>
                </c:pt>
                <c:pt idx="247">
                  <c:v>#248</c:v>
                </c:pt>
                <c:pt idx="248">
                  <c:v>#249</c:v>
                </c:pt>
                <c:pt idx="249">
                  <c:v>#250</c:v>
                </c:pt>
                <c:pt idx="250">
                  <c:v>#251</c:v>
                </c:pt>
                <c:pt idx="251">
                  <c:v>#252</c:v>
                </c:pt>
                <c:pt idx="252">
                  <c:v>#253</c:v>
                </c:pt>
                <c:pt idx="253">
                  <c:v>#254</c:v>
                </c:pt>
                <c:pt idx="254">
                  <c:v>#255</c:v>
                </c:pt>
                <c:pt idx="255">
                  <c:v>#256</c:v>
                </c:pt>
                <c:pt idx="256">
                  <c:v>#257</c:v>
                </c:pt>
                <c:pt idx="257">
                  <c:v>#258</c:v>
                </c:pt>
                <c:pt idx="258">
                  <c:v>#259</c:v>
                </c:pt>
                <c:pt idx="259">
                  <c:v>#260</c:v>
                </c:pt>
                <c:pt idx="260">
                  <c:v>#261</c:v>
                </c:pt>
                <c:pt idx="261">
                  <c:v>#262</c:v>
                </c:pt>
                <c:pt idx="262">
                  <c:v>#263</c:v>
                </c:pt>
                <c:pt idx="263">
                  <c:v>#264</c:v>
                </c:pt>
                <c:pt idx="264">
                  <c:v>#265</c:v>
                </c:pt>
                <c:pt idx="265">
                  <c:v>#266</c:v>
                </c:pt>
                <c:pt idx="266">
                  <c:v>#267</c:v>
                </c:pt>
                <c:pt idx="267">
                  <c:v>#268</c:v>
                </c:pt>
                <c:pt idx="268">
                  <c:v>#269</c:v>
                </c:pt>
                <c:pt idx="269">
                  <c:v>#270</c:v>
                </c:pt>
                <c:pt idx="270">
                  <c:v>#271</c:v>
                </c:pt>
                <c:pt idx="271">
                  <c:v>#272</c:v>
                </c:pt>
                <c:pt idx="272">
                  <c:v>#273</c:v>
                </c:pt>
                <c:pt idx="273">
                  <c:v>#274</c:v>
                </c:pt>
                <c:pt idx="274">
                  <c:v>#275</c:v>
                </c:pt>
                <c:pt idx="275">
                  <c:v>#276</c:v>
                </c:pt>
                <c:pt idx="276">
                  <c:v>#277</c:v>
                </c:pt>
                <c:pt idx="277">
                  <c:v>#278</c:v>
                </c:pt>
                <c:pt idx="278">
                  <c:v>#279</c:v>
                </c:pt>
                <c:pt idx="279">
                  <c:v>#280</c:v>
                </c:pt>
                <c:pt idx="280">
                  <c:v>#281</c:v>
                </c:pt>
                <c:pt idx="281">
                  <c:v>#282</c:v>
                </c:pt>
                <c:pt idx="282">
                  <c:v>#283</c:v>
                </c:pt>
                <c:pt idx="283">
                  <c:v>#284</c:v>
                </c:pt>
                <c:pt idx="284">
                  <c:v>#285</c:v>
                </c:pt>
                <c:pt idx="285">
                  <c:v>#286</c:v>
                </c:pt>
                <c:pt idx="286">
                  <c:v>#287</c:v>
                </c:pt>
                <c:pt idx="287">
                  <c:v>#288</c:v>
                </c:pt>
                <c:pt idx="288">
                  <c:v>#289</c:v>
                </c:pt>
                <c:pt idx="289">
                  <c:v>#290</c:v>
                </c:pt>
                <c:pt idx="290">
                  <c:v>#291</c:v>
                </c:pt>
                <c:pt idx="291">
                  <c:v>#292</c:v>
                </c:pt>
                <c:pt idx="292">
                  <c:v>#293</c:v>
                </c:pt>
                <c:pt idx="293">
                  <c:v>#294</c:v>
                </c:pt>
                <c:pt idx="294">
                  <c:v>#295</c:v>
                </c:pt>
                <c:pt idx="295">
                  <c:v>#296</c:v>
                </c:pt>
                <c:pt idx="296">
                  <c:v>#297</c:v>
                </c:pt>
                <c:pt idx="297">
                  <c:v>#298</c:v>
                </c:pt>
                <c:pt idx="298">
                  <c:v>#299</c:v>
                </c:pt>
                <c:pt idx="299">
                  <c:v>#300</c:v>
                </c:pt>
                <c:pt idx="300">
                  <c:v>#301</c:v>
                </c:pt>
                <c:pt idx="301">
                  <c:v>#302</c:v>
                </c:pt>
                <c:pt idx="302">
                  <c:v>#303</c:v>
                </c:pt>
                <c:pt idx="303">
                  <c:v>#304</c:v>
                </c:pt>
                <c:pt idx="304">
                  <c:v>#305</c:v>
                </c:pt>
                <c:pt idx="305">
                  <c:v>#306</c:v>
                </c:pt>
                <c:pt idx="306">
                  <c:v>#307</c:v>
                </c:pt>
                <c:pt idx="307">
                  <c:v>#308</c:v>
                </c:pt>
                <c:pt idx="308">
                  <c:v>#309</c:v>
                </c:pt>
                <c:pt idx="309">
                  <c:v>#310</c:v>
                </c:pt>
              </c:strCache>
            </c:strRef>
          </c:cat>
          <c:val>
            <c:numRef>
              <c:f>출하데이터_Vlookup!$L$20:$L$96</c:f>
              <c:numCache>
                <c:formatCode>0.0_ </c:formatCode>
                <c:ptCount val="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9-4975-8B81-AC736FD1CA9B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출하데이터_Vlookup!$B$20:$B$329</c:f>
              <c:strCache>
                <c:ptCount val="310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  <c:pt idx="206">
                  <c:v>#207</c:v>
                </c:pt>
                <c:pt idx="207">
                  <c:v>#208</c:v>
                </c:pt>
                <c:pt idx="208">
                  <c:v>#209</c:v>
                </c:pt>
                <c:pt idx="209">
                  <c:v>#210</c:v>
                </c:pt>
                <c:pt idx="210">
                  <c:v>#211</c:v>
                </c:pt>
                <c:pt idx="211">
                  <c:v>#212</c:v>
                </c:pt>
                <c:pt idx="212">
                  <c:v>#213</c:v>
                </c:pt>
                <c:pt idx="213">
                  <c:v>#214</c:v>
                </c:pt>
                <c:pt idx="214">
                  <c:v>#215</c:v>
                </c:pt>
                <c:pt idx="215">
                  <c:v>#216</c:v>
                </c:pt>
                <c:pt idx="216">
                  <c:v>#217</c:v>
                </c:pt>
                <c:pt idx="217">
                  <c:v>#218</c:v>
                </c:pt>
                <c:pt idx="218">
                  <c:v>#219</c:v>
                </c:pt>
                <c:pt idx="219">
                  <c:v>#220</c:v>
                </c:pt>
                <c:pt idx="220">
                  <c:v>#221</c:v>
                </c:pt>
                <c:pt idx="221">
                  <c:v>#222</c:v>
                </c:pt>
                <c:pt idx="222">
                  <c:v>#223</c:v>
                </c:pt>
                <c:pt idx="223">
                  <c:v>#224</c:v>
                </c:pt>
                <c:pt idx="224">
                  <c:v>#225</c:v>
                </c:pt>
                <c:pt idx="225">
                  <c:v>#226</c:v>
                </c:pt>
                <c:pt idx="226">
                  <c:v>#227</c:v>
                </c:pt>
                <c:pt idx="227">
                  <c:v>#228</c:v>
                </c:pt>
                <c:pt idx="228">
                  <c:v>#229</c:v>
                </c:pt>
                <c:pt idx="229">
                  <c:v>#230</c:v>
                </c:pt>
                <c:pt idx="230">
                  <c:v>#231</c:v>
                </c:pt>
                <c:pt idx="231">
                  <c:v>#232</c:v>
                </c:pt>
                <c:pt idx="232">
                  <c:v>#233</c:v>
                </c:pt>
                <c:pt idx="233">
                  <c:v>#234</c:v>
                </c:pt>
                <c:pt idx="234">
                  <c:v>#235</c:v>
                </c:pt>
                <c:pt idx="235">
                  <c:v>#236</c:v>
                </c:pt>
                <c:pt idx="236">
                  <c:v>#237</c:v>
                </c:pt>
                <c:pt idx="237">
                  <c:v>#238</c:v>
                </c:pt>
                <c:pt idx="238">
                  <c:v>#239</c:v>
                </c:pt>
                <c:pt idx="239">
                  <c:v>#240</c:v>
                </c:pt>
                <c:pt idx="240">
                  <c:v>#241</c:v>
                </c:pt>
                <c:pt idx="241">
                  <c:v>#242</c:v>
                </c:pt>
                <c:pt idx="242">
                  <c:v>#243</c:v>
                </c:pt>
                <c:pt idx="243">
                  <c:v>#244</c:v>
                </c:pt>
                <c:pt idx="244">
                  <c:v>#245</c:v>
                </c:pt>
                <c:pt idx="245">
                  <c:v>#246</c:v>
                </c:pt>
                <c:pt idx="246">
                  <c:v>#247</c:v>
                </c:pt>
                <c:pt idx="247">
                  <c:v>#248</c:v>
                </c:pt>
                <c:pt idx="248">
                  <c:v>#249</c:v>
                </c:pt>
                <c:pt idx="249">
                  <c:v>#250</c:v>
                </c:pt>
                <c:pt idx="250">
                  <c:v>#251</c:v>
                </c:pt>
                <c:pt idx="251">
                  <c:v>#252</c:v>
                </c:pt>
                <c:pt idx="252">
                  <c:v>#253</c:v>
                </c:pt>
                <c:pt idx="253">
                  <c:v>#254</c:v>
                </c:pt>
                <c:pt idx="254">
                  <c:v>#255</c:v>
                </c:pt>
                <c:pt idx="255">
                  <c:v>#256</c:v>
                </c:pt>
                <c:pt idx="256">
                  <c:v>#257</c:v>
                </c:pt>
                <c:pt idx="257">
                  <c:v>#258</c:v>
                </c:pt>
                <c:pt idx="258">
                  <c:v>#259</c:v>
                </c:pt>
                <c:pt idx="259">
                  <c:v>#260</c:v>
                </c:pt>
                <c:pt idx="260">
                  <c:v>#261</c:v>
                </c:pt>
                <c:pt idx="261">
                  <c:v>#262</c:v>
                </c:pt>
                <c:pt idx="262">
                  <c:v>#263</c:v>
                </c:pt>
                <c:pt idx="263">
                  <c:v>#264</c:v>
                </c:pt>
                <c:pt idx="264">
                  <c:v>#265</c:v>
                </c:pt>
                <c:pt idx="265">
                  <c:v>#266</c:v>
                </c:pt>
                <c:pt idx="266">
                  <c:v>#267</c:v>
                </c:pt>
                <c:pt idx="267">
                  <c:v>#268</c:v>
                </c:pt>
                <c:pt idx="268">
                  <c:v>#269</c:v>
                </c:pt>
                <c:pt idx="269">
                  <c:v>#270</c:v>
                </c:pt>
                <c:pt idx="270">
                  <c:v>#271</c:v>
                </c:pt>
                <c:pt idx="271">
                  <c:v>#272</c:v>
                </c:pt>
                <c:pt idx="272">
                  <c:v>#273</c:v>
                </c:pt>
                <c:pt idx="273">
                  <c:v>#274</c:v>
                </c:pt>
                <c:pt idx="274">
                  <c:v>#275</c:v>
                </c:pt>
                <c:pt idx="275">
                  <c:v>#276</c:v>
                </c:pt>
                <c:pt idx="276">
                  <c:v>#277</c:v>
                </c:pt>
                <c:pt idx="277">
                  <c:v>#278</c:v>
                </c:pt>
                <c:pt idx="278">
                  <c:v>#279</c:v>
                </c:pt>
                <c:pt idx="279">
                  <c:v>#280</c:v>
                </c:pt>
                <c:pt idx="280">
                  <c:v>#281</c:v>
                </c:pt>
                <c:pt idx="281">
                  <c:v>#282</c:v>
                </c:pt>
                <c:pt idx="282">
                  <c:v>#283</c:v>
                </c:pt>
                <c:pt idx="283">
                  <c:v>#284</c:v>
                </c:pt>
                <c:pt idx="284">
                  <c:v>#285</c:v>
                </c:pt>
                <c:pt idx="285">
                  <c:v>#286</c:v>
                </c:pt>
                <c:pt idx="286">
                  <c:v>#287</c:v>
                </c:pt>
                <c:pt idx="287">
                  <c:v>#288</c:v>
                </c:pt>
                <c:pt idx="288">
                  <c:v>#289</c:v>
                </c:pt>
                <c:pt idx="289">
                  <c:v>#290</c:v>
                </c:pt>
                <c:pt idx="290">
                  <c:v>#291</c:v>
                </c:pt>
                <c:pt idx="291">
                  <c:v>#292</c:v>
                </c:pt>
                <c:pt idx="292">
                  <c:v>#293</c:v>
                </c:pt>
                <c:pt idx="293">
                  <c:v>#294</c:v>
                </c:pt>
                <c:pt idx="294">
                  <c:v>#295</c:v>
                </c:pt>
                <c:pt idx="295">
                  <c:v>#296</c:v>
                </c:pt>
                <c:pt idx="296">
                  <c:v>#297</c:v>
                </c:pt>
                <c:pt idx="297">
                  <c:v>#298</c:v>
                </c:pt>
                <c:pt idx="298">
                  <c:v>#299</c:v>
                </c:pt>
                <c:pt idx="299">
                  <c:v>#300</c:v>
                </c:pt>
                <c:pt idx="300">
                  <c:v>#301</c:v>
                </c:pt>
                <c:pt idx="301">
                  <c:v>#302</c:v>
                </c:pt>
                <c:pt idx="302">
                  <c:v>#303</c:v>
                </c:pt>
                <c:pt idx="303">
                  <c:v>#304</c:v>
                </c:pt>
                <c:pt idx="304">
                  <c:v>#305</c:v>
                </c:pt>
                <c:pt idx="305">
                  <c:v>#306</c:v>
                </c:pt>
                <c:pt idx="306">
                  <c:v>#307</c:v>
                </c:pt>
                <c:pt idx="307">
                  <c:v>#308</c:v>
                </c:pt>
                <c:pt idx="308">
                  <c:v>#309</c:v>
                </c:pt>
                <c:pt idx="309">
                  <c:v>#310</c:v>
                </c:pt>
              </c:strCache>
            </c:strRef>
          </c:cat>
          <c:val>
            <c:numRef>
              <c:f>출하데이터_Vlookup!$L$20:$L$96</c:f>
              <c:numCache>
                <c:formatCode>0.0_ </c:formatCode>
                <c:ptCount val="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9-4975-8B81-AC736FD1CA9B}"/>
            </c:ext>
          </c:extLst>
        </c:ser>
        <c:ser>
          <c:idx val="4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출하데이터_Vlookup!$AY$20:$AY$96</c:f>
              <c:numCache>
                <c:formatCode>0.0_);[Red]\(0.0\)</c:formatCode>
                <c:ptCount val="77"/>
                <c:pt idx="3">
                  <c:v>70.8</c:v>
                </c:pt>
                <c:pt idx="4">
                  <c:v>70.8</c:v>
                </c:pt>
                <c:pt idx="5">
                  <c:v>70.8</c:v>
                </c:pt>
                <c:pt idx="6">
                  <c:v>70.8</c:v>
                </c:pt>
                <c:pt idx="7">
                  <c:v>70.8</c:v>
                </c:pt>
                <c:pt idx="8">
                  <c:v>70.8</c:v>
                </c:pt>
                <c:pt idx="9">
                  <c:v>70.8</c:v>
                </c:pt>
                <c:pt idx="10">
                  <c:v>70.8</c:v>
                </c:pt>
                <c:pt idx="11">
                  <c:v>70.8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70.8</c:v>
                </c:pt>
                <c:pt idx="17">
                  <c:v>70.8</c:v>
                </c:pt>
                <c:pt idx="18">
                  <c:v>70.8</c:v>
                </c:pt>
                <c:pt idx="19">
                  <c:v>70.8</c:v>
                </c:pt>
                <c:pt idx="20">
                  <c:v>70.8</c:v>
                </c:pt>
                <c:pt idx="21">
                  <c:v>70.8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70.8</c:v>
                </c:pt>
                <c:pt idx="26">
                  <c:v>70.8</c:v>
                </c:pt>
                <c:pt idx="27">
                  <c:v>70.8</c:v>
                </c:pt>
                <c:pt idx="28">
                  <c:v>70.8</c:v>
                </c:pt>
                <c:pt idx="29">
                  <c:v>70.8</c:v>
                </c:pt>
                <c:pt idx="30">
                  <c:v>70.8</c:v>
                </c:pt>
                <c:pt idx="31">
                  <c:v>70.8</c:v>
                </c:pt>
                <c:pt idx="32">
                  <c:v>70.8</c:v>
                </c:pt>
                <c:pt idx="33">
                  <c:v>70.8</c:v>
                </c:pt>
                <c:pt idx="34">
                  <c:v>70.8</c:v>
                </c:pt>
                <c:pt idx="35">
                  <c:v>70.8</c:v>
                </c:pt>
                <c:pt idx="36">
                  <c:v>70.8</c:v>
                </c:pt>
                <c:pt idx="37">
                  <c:v>70.8</c:v>
                </c:pt>
                <c:pt idx="38">
                  <c:v>70.8</c:v>
                </c:pt>
                <c:pt idx="39">
                  <c:v>70.8</c:v>
                </c:pt>
                <c:pt idx="40">
                  <c:v>70.8</c:v>
                </c:pt>
                <c:pt idx="41">
                  <c:v>70.8</c:v>
                </c:pt>
                <c:pt idx="42">
                  <c:v>70.8</c:v>
                </c:pt>
                <c:pt idx="43">
                  <c:v>70.8</c:v>
                </c:pt>
                <c:pt idx="44">
                  <c:v>70.8</c:v>
                </c:pt>
                <c:pt idx="45">
                  <c:v>70.8</c:v>
                </c:pt>
                <c:pt idx="46">
                  <c:v>70.8</c:v>
                </c:pt>
                <c:pt idx="47">
                  <c:v>70.8</c:v>
                </c:pt>
                <c:pt idx="48">
                  <c:v>70.8</c:v>
                </c:pt>
                <c:pt idx="49">
                  <c:v>70.8</c:v>
                </c:pt>
                <c:pt idx="50">
                  <c:v>70.8</c:v>
                </c:pt>
                <c:pt idx="51">
                  <c:v>70.8</c:v>
                </c:pt>
                <c:pt idx="52">
                  <c:v>70.8</c:v>
                </c:pt>
                <c:pt idx="53">
                  <c:v>70.8</c:v>
                </c:pt>
                <c:pt idx="54">
                  <c:v>70.8</c:v>
                </c:pt>
                <c:pt idx="55">
                  <c:v>70.8</c:v>
                </c:pt>
                <c:pt idx="56">
                  <c:v>70.8</c:v>
                </c:pt>
                <c:pt idx="57">
                  <c:v>70.8</c:v>
                </c:pt>
                <c:pt idx="58">
                  <c:v>70.8</c:v>
                </c:pt>
                <c:pt idx="59">
                  <c:v>70.8</c:v>
                </c:pt>
                <c:pt idx="60">
                  <c:v>70.8</c:v>
                </c:pt>
                <c:pt idx="61">
                  <c:v>70.8</c:v>
                </c:pt>
                <c:pt idx="62">
                  <c:v>70.8</c:v>
                </c:pt>
                <c:pt idx="63">
                  <c:v>70.8</c:v>
                </c:pt>
                <c:pt idx="64">
                  <c:v>70.8</c:v>
                </c:pt>
                <c:pt idx="65">
                  <c:v>70.8</c:v>
                </c:pt>
                <c:pt idx="66">
                  <c:v>70.8</c:v>
                </c:pt>
                <c:pt idx="67">
                  <c:v>70.8</c:v>
                </c:pt>
                <c:pt idx="68">
                  <c:v>70.8</c:v>
                </c:pt>
                <c:pt idx="69">
                  <c:v>70.8</c:v>
                </c:pt>
                <c:pt idx="70">
                  <c:v>70.8</c:v>
                </c:pt>
                <c:pt idx="71">
                  <c:v>70.8</c:v>
                </c:pt>
                <c:pt idx="72">
                  <c:v>70.8</c:v>
                </c:pt>
                <c:pt idx="73">
                  <c:v>70.8</c:v>
                </c:pt>
                <c:pt idx="74">
                  <c:v>70.8</c:v>
                </c:pt>
                <c:pt idx="75">
                  <c:v>70.8</c:v>
                </c:pt>
                <c:pt idx="76">
                  <c:v>70.8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49-4975-8B81-AC736FD1C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GCS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5CE-42BA-9EF8-4835D3DC2FBB}"/>
              </c:ext>
            </c:extLst>
          </c:dPt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출하데이터_Vlookup!$R$20:$R$96</c:f>
              <c:numCache>
                <c:formatCode>0.0000_);[Red]\(0.0000\)</c:formatCode>
                <c:ptCount val="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E-42BA-9EF8-4835D3DC2FBB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출하데이터_Vlookup!$B$20:$B$96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출하데이터_Vlookup!$BB$20:$BB$96</c:f>
              <c:numCache>
                <c:formatCode>0.000_);[Red]\(0.000\)</c:formatCode>
                <c:ptCount val="77"/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5.0000000000000001E-3</c:v>
                </c:pt>
                <c:pt idx="75">
                  <c:v>5.0000000000000001E-3</c:v>
                </c:pt>
                <c:pt idx="7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E-42BA-9EF8-4835D3DC2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699887"/>
        <c:axId val="1378698927"/>
      </c:lineChart>
      <c:catAx>
        <c:axId val="13786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8927"/>
        <c:crosses val="autoZero"/>
        <c:auto val="1"/>
        <c:lblAlgn val="ctr"/>
        <c:lblOffset val="100"/>
        <c:noMultiLvlLbl val="0"/>
      </c:catAx>
      <c:valAx>
        <c:axId val="13786989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White </a:t>
            </a:r>
            <a:r>
              <a:rPr lang="ko-KR" altLang="en-US"/>
              <a:t>색좌표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1571881330388631E-2"/>
          <c:y val="8.1482053375550728E-2"/>
          <c:w val="0.93281620324413483"/>
          <c:h val="0.88497729470358744"/>
        </c:manualLayout>
      </c:layout>
      <c:scatterChart>
        <c:scatterStyle val="lineMarker"/>
        <c:varyColors val="0"/>
        <c:ser>
          <c:idx val="0"/>
          <c:order val="0"/>
          <c:tx>
            <c:v>spec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[1]EVENT_YYMMDD_Optical!$AV$21:$AV$381</c:f>
              <c:numCache>
                <c:formatCode>General</c:formatCode>
                <c:ptCount val="361"/>
                <c:pt idx="0">
                  <c:v>0.29799999999999999</c:v>
                </c:pt>
                <c:pt idx="1">
                  <c:v>0.29799923847578191</c:v>
                </c:pt>
                <c:pt idx="2">
                  <c:v>0.29799695413509547</c:v>
                </c:pt>
                <c:pt idx="3">
                  <c:v>0.29799314767377283</c:v>
                </c:pt>
                <c:pt idx="4">
                  <c:v>0.29798782025129911</c:v>
                </c:pt>
                <c:pt idx="5">
                  <c:v>0.29798097349045871</c:v>
                </c:pt>
                <c:pt idx="6">
                  <c:v>0.29797260947684134</c:v>
                </c:pt>
                <c:pt idx="7">
                  <c:v>0.29796273075820662</c:v>
                </c:pt>
                <c:pt idx="8">
                  <c:v>0.29795134034370785</c:v>
                </c:pt>
                <c:pt idx="9">
                  <c:v>0.29793844170297568</c:v>
                </c:pt>
                <c:pt idx="10">
                  <c:v>0.29792403876506102</c:v>
                </c:pt>
                <c:pt idx="11">
                  <c:v>0.2979081359172383</c:v>
                </c:pt>
                <c:pt idx="12">
                  <c:v>0.297890738003669</c:v>
                </c:pt>
                <c:pt idx="13">
                  <c:v>0.29787185032392616</c:v>
                </c:pt>
                <c:pt idx="14">
                  <c:v>0.29785147863137995</c:v>
                </c:pt>
                <c:pt idx="15">
                  <c:v>0.29782962913144534</c:v>
                </c:pt>
                <c:pt idx="16">
                  <c:v>0.29780630847969158</c:v>
                </c:pt>
                <c:pt idx="17">
                  <c:v>0.29778152377981515</c:v>
                </c:pt>
                <c:pt idx="18">
                  <c:v>0.29775528258147577</c:v>
                </c:pt>
                <c:pt idx="19">
                  <c:v>0.29772759287799655</c:v>
                </c:pt>
                <c:pt idx="20">
                  <c:v>0.2976984631039295</c:v>
                </c:pt>
                <c:pt idx="21">
                  <c:v>0.29766790213248601</c:v>
                </c:pt>
                <c:pt idx="22">
                  <c:v>0.29763591927283389</c:v>
                </c:pt>
                <c:pt idx="23">
                  <c:v>0.29760252426726219</c:v>
                </c:pt>
                <c:pt idx="24">
                  <c:v>0.29756772728821301</c:v>
                </c:pt>
                <c:pt idx="25">
                  <c:v>0.29753153893518325</c:v>
                </c:pt>
                <c:pt idx="26">
                  <c:v>0.29749397023149582</c:v>
                </c:pt>
                <c:pt idx="27">
                  <c:v>0.29745503262094181</c:v>
                </c:pt>
                <c:pt idx="28">
                  <c:v>0.29741473796429463</c:v>
                </c:pt>
                <c:pt idx="29">
                  <c:v>0.29737309853569693</c:v>
                </c:pt>
                <c:pt idx="30">
                  <c:v>0.2973301270189222</c:v>
                </c:pt>
                <c:pt idx="31">
                  <c:v>0.29728583650351054</c:v>
                </c:pt>
                <c:pt idx="32">
                  <c:v>0.29724024048078213</c:v>
                </c:pt>
                <c:pt idx="33">
                  <c:v>0.29719335283972709</c:v>
                </c:pt>
                <c:pt idx="34">
                  <c:v>0.29714518786277522</c:v>
                </c:pt>
                <c:pt idx="35">
                  <c:v>0.29709576022144496</c:v>
                </c:pt>
                <c:pt idx="36">
                  <c:v>0.29704508497187471</c:v>
                </c:pt>
                <c:pt idx="37">
                  <c:v>0.29699317755023646</c:v>
                </c:pt>
                <c:pt idx="38">
                  <c:v>0.29694005376803362</c:v>
                </c:pt>
                <c:pt idx="39">
                  <c:v>0.29688572980728484</c:v>
                </c:pt>
                <c:pt idx="40">
                  <c:v>0.29683022221559485</c:v>
                </c:pt>
                <c:pt idx="41">
                  <c:v>0.29677354790111382</c:v>
                </c:pt>
                <c:pt idx="42">
                  <c:v>0.29671572412738695</c:v>
                </c:pt>
                <c:pt idx="43">
                  <c:v>0.29665676850809586</c:v>
                </c:pt>
                <c:pt idx="44">
                  <c:v>0.29659669900169322</c:v>
                </c:pt>
                <c:pt idx="45">
                  <c:v>0.29653553390593274</c:v>
                </c:pt>
                <c:pt idx="46">
                  <c:v>0.29647329185229498</c:v>
                </c:pt>
                <c:pt idx="47">
                  <c:v>0.29640999180031247</c:v>
                </c:pt>
                <c:pt idx="48">
                  <c:v>0.29634565303179428</c:v>
                </c:pt>
                <c:pt idx="49">
                  <c:v>0.29628029514495252</c:v>
                </c:pt>
                <c:pt idx="50">
                  <c:v>0.29621393804843266</c:v>
                </c:pt>
                <c:pt idx="51">
                  <c:v>0.29614660195524917</c:v>
                </c:pt>
                <c:pt idx="52">
                  <c:v>0.29607830737662827</c:v>
                </c:pt>
                <c:pt idx="53">
                  <c:v>0.29600907511576025</c:v>
                </c:pt>
                <c:pt idx="54">
                  <c:v>0.29593892626146234</c:v>
                </c:pt>
                <c:pt idx="55">
                  <c:v>0.29586788218175519</c:v>
                </c:pt>
                <c:pt idx="56">
                  <c:v>0.29579596451735374</c:v>
                </c:pt>
                <c:pt idx="57">
                  <c:v>0.29572319517507512</c:v>
                </c:pt>
                <c:pt idx="58">
                  <c:v>0.295649596321166</c:v>
                </c:pt>
                <c:pt idx="59">
                  <c:v>0.29557519037455027</c:v>
                </c:pt>
                <c:pt idx="60">
                  <c:v>0.29549999999999998</c:v>
                </c:pt>
                <c:pt idx="61">
                  <c:v>0.29542404810123168</c:v>
                </c:pt>
                <c:pt idx="62">
                  <c:v>0.29534735781392946</c:v>
                </c:pt>
                <c:pt idx="63">
                  <c:v>0.2952699524986977</c:v>
                </c:pt>
                <c:pt idx="64">
                  <c:v>0.29519185573394535</c:v>
                </c:pt>
                <c:pt idx="65">
                  <c:v>0.2951130913087035</c:v>
                </c:pt>
                <c:pt idx="66">
                  <c:v>0.29503368321537898</c:v>
                </c:pt>
                <c:pt idx="67">
                  <c:v>0.29495365564244636</c:v>
                </c:pt>
                <c:pt idx="68">
                  <c:v>0.29487303296707956</c:v>
                </c:pt>
                <c:pt idx="69">
                  <c:v>0.29479183974772649</c:v>
                </c:pt>
                <c:pt idx="70">
                  <c:v>0.29471010071662834</c:v>
                </c:pt>
                <c:pt idx="71">
                  <c:v>0.29462784077228577</c:v>
                </c:pt>
                <c:pt idx="72">
                  <c:v>0.2945450849718747</c:v>
                </c:pt>
                <c:pt idx="73">
                  <c:v>0.29446185852361367</c:v>
                </c:pt>
                <c:pt idx="74">
                  <c:v>0.294378186779085</c:v>
                </c:pt>
                <c:pt idx="75">
                  <c:v>0.29429409522551259</c:v>
                </c:pt>
                <c:pt idx="76">
                  <c:v>0.29420960947799835</c:v>
                </c:pt>
                <c:pt idx="77">
                  <c:v>0.29412475527171933</c:v>
                </c:pt>
                <c:pt idx="78">
                  <c:v>0.2940395584540888</c:v>
                </c:pt>
                <c:pt idx="79">
                  <c:v>0.29395404497688271</c:v>
                </c:pt>
                <c:pt idx="80">
                  <c:v>0.29386824088833463</c:v>
                </c:pt>
                <c:pt idx="81">
                  <c:v>0.29378217232520115</c:v>
                </c:pt>
                <c:pt idx="82">
                  <c:v>0.29369586550480031</c:v>
                </c:pt>
                <c:pt idx="83">
                  <c:v>0.29360934671702571</c:v>
                </c:pt>
                <c:pt idx="84">
                  <c:v>0.29352264231633823</c:v>
                </c:pt>
                <c:pt idx="85">
                  <c:v>0.29343577871373827</c:v>
                </c:pt>
                <c:pt idx="86">
                  <c:v>0.29334878236872058</c:v>
                </c:pt>
                <c:pt idx="87">
                  <c:v>0.2932616797812147</c:v>
                </c:pt>
                <c:pt idx="88">
                  <c:v>0.29317449748351249</c:v>
                </c:pt>
                <c:pt idx="89">
                  <c:v>0.29308726203218638</c:v>
                </c:pt>
                <c:pt idx="90">
                  <c:v>0.29299999999999998</c:v>
                </c:pt>
                <c:pt idx="91">
                  <c:v>0.29291273796781359</c:v>
                </c:pt>
                <c:pt idx="92">
                  <c:v>0.29282550251648748</c:v>
                </c:pt>
                <c:pt idx="93">
                  <c:v>0.29273832021878526</c:v>
                </c:pt>
                <c:pt idx="94">
                  <c:v>0.29265121763127938</c:v>
                </c:pt>
                <c:pt idx="95">
                  <c:v>0.29256422128626169</c:v>
                </c:pt>
                <c:pt idx="96">
                  <c:v>0.29247735768366173</c:v>
                </c:pt>
                <c:pt idx="97">
                  <c:v>0.29239065328297426</c:v>
                </c:pt>
                <c:pt idx="98">
                  <c:v>0.29230413449519965</c:v>
                </c:pt>
                <c:pt idx="99">
                  <c:v>0.29221782767479881</c:v>
                </c:pt>
                <c:pt idx="100">
                  <c:v>0.29213175911166533</c:v>
                </c:pt>
                <c:pt idx="101">
                  <c:v>0.29204595502311725</c:v>
                </c:pt>
                <c:pt idx="102">
                  <c:v>0.29196044154591116</c:v>
                </c:pt>
                <c:pt idx="103">
                  <c:v>0.29187524472828064</c:v>
                </c:pt>
                <c:pt idx="104">
                  <c:v>0.29179039052200162</c:v>
                </c:pt>
                <c:pt idx="105">
                  <c:v>0.29170590477448738</c:v>
                </c:pt>
                <c:pt idx="106">
                  <c:v>0.29162181322091496</c:v>
                </c:pt>
                <c:pt idx="107">
                  <c:v>0.29153814147638629</c:v>
                </c:pt>
                <c:pt idx="108">
                  <c:v>0.29145491502812526</c:v>
                </c:pt>
                <c:pt idx="109">
                  <c:v>0.2913721592277142</c:v>
                </c:pt>
                <c:pt idx="110">
                  <c:v>0.29128989928337162</c:v>
                </c:pt>
                <c:pt idx="111">
                  <c:v>0.29120816025227347</c:v>
                </c:pt>
                <c:pt idx="112">
                  <c:v>0.2911269670329204</c:v>
                </c:pt>
                <c:pt idx="113">
                  <c:v>0.29104634435755361</c:v>
                </c:pt>
                <c:pt idx="114">
                  <c:v>0.29096631678462098</c:v>
                </c:pt>
                <c:pt idx="115">
                  <c:v>0.29088690869129646</c:v>
                </c:pt>
                <c:pt idx="116">
                  <c:v>0.29080814426605461</c:v>
                </c:pt>
                <c:pt idx="117">
                  <c:v>0.29073004750130227</c:v>
                </c:pt>
                <c:pt idx="118">
                  <c:v>0.29065264218607051</c:v>
                </c:pt>
                <c:pt idx="119">
                  <c:v>0.29057595189876828</c:v>
                </c:pt>
                <c:pt idx="120">
                  <c:v>0.29049999999999998</c:v>
                </c:pt>
                <c:pt idx="121">
                  <c:v>0.2904248096254497</c:v>
                </c:pt>
                <c:pt idx="122">
                  <c:v>0.29035040367883397</c:v>
                </c:pt>
                <c:pt idx="123">
                  <c:v>0.29027680482492485</c:v>
                </c:pt>
                <c:pt idx="124">
                  <c:v>0.29020403548264623</c:v>
                </c:pt>
                <c:pt idx="125">
                  <c:v>0.29013211781824477</c:v>
                </c:pt>
                <c:pt idx="126">
                  <c:v>0.29006107373853762</c:v>
                </c:pt>
                <c:pt idx="127">
                  <c:v>0.28999092488423972</c:v>
                </c:pt>
                <c:pt idx="128">
                  <c:v>0.2899216926233717</c:v>
                </c:pt>
                <c:pt idx="129">
                  <c:v>0.2898533980447508</c:v>
                </c:pt>
                <c:pt idx="130">
                  <c:v>0.28978606195156731</c:v>
                </c:pt>
                <c:pt idx="131">
                  <c:v>0.28971970485504744</c:v>
                </c:pt>
                <c:pt idx="132">
                  <c:v>0.28965434696820569</c:v>
                </c:pt>
                <c:pt idx="133">
                  <c:v>0.2895900081996875</c:v>
                </c:pt>
                <c:pt idx="134">
                  <c:v>0.28952670814770498</c:v>
                </c:pt>
                <c:pt idx="135">
                  <c:v>0.28946446609406723</c:v>
                </c:pt>
                <c:pt idx="136">
                  <c:v>0.28940330099830675</c:v>
                </c:pt>
                <c:pt idx="137">
                  <c:v>0.28934323149190411</c:v>
                </c:pt>
                <c:pt idx="138">
                  <c:v>0.28928427587261302</c:v>
                </c:pt>
                <c:pt idx="139">
                  <c:v>0.28922645209888614</c:v>
                </c:pt>
                <c:pt idx="140">
                  <c:v>0.28916977778440511</c:v>
                </c:pt>
                <c:pt idx="141">
                  <c:v>0.28911427019271513</c:v>
                </c:pt>
                <c:pt idx="142">
                  <c:v>0.28905994623196635</c:v>
                </c:pt>
                <c:pt idx="143">
                  <c:v>0.2890068224497635</c:v>
                </c:pt>
                <c:pt idx="144">
                  <c:v>0.28895491502812526</c:v>
                </c:pt>
                <c:pt idx="145">
                  <c:v>0.28890423977855501</c:v>
                </c:pt>
                <c:pt idx="146">
                  <c:v>0.28885481213722475</c:v>
                </c:pt>
                <c:pt idx="147">
                  <c:v>0.28880664716027288</c:v>
                </c:pt>
                <c:pt idx="148">
                  <c:v>0.28875975951921784</c:v>
                </c:pt>
                <c:pt idx="149">
                  <c:v>0.28871416349648943</c:v>
                </c:pt>
                <c:pt idx="150">
                  <c:v>0.28866987298107777</c:v>
                </c:pt>
                <c:pt idx="151">
                  <c:v>0.28862690146430303</c:v>
                </c:pt>
                <c:pt idx="152">
                  <c:v>0.28858526203570534</c:v>
                </c:pt>
                <c:pt idx="153">
                  <c:v>0.28854496737905816</c:v>
                </c:pt>
                <c:pt idx="154">
                  <c:v>0.28850602976850415</c:v>
                </c:pt>
                <c:pt idx="155">
                  <c:v>0.28846846106481672</c:v>
                </c:pt>
                <c:pt idx="156">
                  <c:v>0.28843227271178695</c:v>
                </c:pt>
                <c:pt idx="157">
                  <c:v>0.28839747573273777</c:v>
                </c:pt>
                <c:pt idx="158">
                  <c:v>0.28836408072716607</c:v>
                </c:pt>
                <c:pt idx="159">
                  <c:v>0.28833209786751396</c:v>
                </c:pt>
                <c:pt idx="160">
                  <c:v>0.28830153689607046</c:v>
                </c:pt>
                <c:pt idx="161">
                  <c:v>0.28827240712200342</c:v>
                </c:pt>
                <c:pt idx="162">
                  <c:v>0.2882447174185242</c:v>
                </c:pt>
                <c:pt idx="163">
                  <c:v>0.28821847622018482</c:v>
                </c:pt>
                <c:pt idx="164">
                  <c:v>0.28819369152030838</c:v>
                </c:pt>
                <c:pt idx="165">
                  <c:v>0.28817037086855463</c:v>
                </c:pt>
                <c:pt idx="166">
                  <c:v>0.28814852136862001</c:v>
                </c:pt>
                <c:pt idx="167">
                  <c:v>0.28812814967607381</c:v>
                </c:pt>
                <c:pt idx="168">
                  <c:v>0.28810926199633097</c:v>
                </c:pt>
                <c:pt idx="169">
                  <c:v>0.28809186408276166</c:v>
                </c:pt>
                <c:pt idx="170">
                  <c:v>0.28807596123493895</c:v>
                </c:pt>
                <c:pt idx="171">
                  <c:v>0.28806155829702429</c:v>
                </c:pt>
                <c:pt idx="172">
                  <c:v>0.28804865965629212</c:v>
                </c:pt>
                <c:pt idx="173">
                  <c:v>0.28803726924179335</c:v>
                </c:pt>
                <c:pt idx="174">
                  <c:v>0.28802739052315862</c:v>
                </c:pt>
                <c:pt idx="175">
                  <c:v>0.28801902650954125</c:v>
                </c:pt>
                <c:pt idx="176">
                  <c:v>0.28801217974870086</c:v>
                </c:pt>
                <c:pt idx="177">
                  <c:v>0.28800685232622714</c:v>
                </c:pt>
                <c:pt idx="178">
                  <c:v>0.28800304586490449</c:v>
                </c:pt>
                <c:pt idx="179">
                  <c:v>0.28800076152421805</c:v>
                </c:pt>
                <c:pt idx="180">
                  <c:v>0.28799999999999998</c:v>
                </c:pt>
                <c:pt idx="181">
                  <c:v>0.28800076152421805</c:v>
                </c:pt>
                <c:pt idx="182">
                  <c:v>0.28800304586490449</c:v>
                </c:pt>
                <c:pt idx="183">
                  <c:v>0.28800685232622714</c:v>
                </c:pt>
                <c:pt idx="184">
                  <c:v>0.28801217974870086</c:v>
                </c:pt>
                <c:pt idx="185">
                  <c:v>0.28801902650954125</c:v>
                </c:pt>
                <c:pt idx="186">
                  <c:v>0.28802739052315862</c:v>
                </c:pt>
                <c:pt idx="187">
                  <c:v>0.28803726924179335</c:v>
                </c:pt>
                <c:pt idx="188">
                  <c:v>0.28804865965629212</c:v>
                </c:pt>
                <c:pt idx="189">
                  <c:v>0.28806155829702429</c:v>
                </c:pt>
                <c:pt idx="190">
                  <c:v>0.28807596123493895</c:v>
                </c:pt>
                <c:pt idx="191">
                  <c:v>0.28809186408276166</c:v>
                </c:pt>
                <c:pt idx="192">
                  <c:v>0.28810926199633097</c:v>
                </c:pt>
                <c:pt idx="193">
                  <c:v>0.28812814967607381</c:v>
                </c:pt>
                <c:pt idx="194">
                  <c:v>0.28814852136862001</c:v>
                </c:pt>
                <c:pt idx="195">
                  <c:v>0.28817037086855463</c:v>
                </c:pt>
                <c:pt idx="196">
                  <c:v>0.28819369152030838</c:v>
                </c:pt>
                <c:pt idx="197">
                  <c:v>0.28821847622018482</c:v>
                </c:pt>
                <c:pt idx="198">
                  <c:v>0.2882447174185242</c:v>
                </c:pt>
                <c:pt idx="199">
                  <c:v>0.28827240712200342</c:v>
                </c:pt>
                <c:pt idx="200">
                  <c:v>0.28830153689607046</c:v>
                </c:pt>
                <c:pt idx="201">
                  <c:v>0.28833209786751396</c:v>
                </c:pt>
                <c:pt idx="202">
                  <c:v>0.28836408072716607</c:v>
                </c:pt>
                <c:pt idx="203">
                  <c:v>0.28839747573273777</c:v>
                </c:pt>
                <c:pt idx="204">
                  <c:v>0.28843227271178695</c:v>
                </c:pt>
                <c:pt idx="205">
                  <c:v>0.28846846106481672</c:v>
                </c:pt>
                <c:pt idx="206">
                  <c:v>0.28850602976850415</c:v>
                </c:pt>
                <c:pt idx="207">
                  <c:v>0.28854496737905816</c:v>
                </c:pt>
                <c:pt idx="208">
                  <c:v>0.28858526203570534</c:v>
                </c:pt>
                <c:pt idx="209">
                  <c:v>0.28862690146430298</c:v>
                </c:pt>
                <c:pt idx="210">
                  <c:v>0.28866987298107777</c:v>
                </c:pt>
                <c:pt idx="211">
                  <c:v>0.28871416349648943</c:v>
                </c:pt>
                <c:pt idx="212">
                  <c:v>0.28875975951921784</c:v>
                </c:pt>
                <c:pt idx="213">
                  <c:v>0.28880664716027288</c:v>
                </c:pt>
                <c:pt idx="214">
                  <c:v>0.28885481213722475</c:v>
                </c:pt>
                <c:pt idx="215">
                  <c:v>0.28890423977855501</c:v>
                </c:pt>
                <c:pt idx="216">
                  <c:v>0.28895491502812526</c:v>
                </c:pt>
                <c:pt idx="217">
                  <c:v>0.2890068224497635</c:v>
                </c:pt>
                <c:pt idx="218">
                  <c:v>0.28905994623196635</c:v>
                </c:pt>
                <c:pt idx="219">
                  <c:v>0.28911427019271513</c:v>
                </c:pt>
                <c:pt idx="220">
                  <c:v>0.28916977778440511</c:v>
                </c:pt>
                <c:pt idx="221">
                  <c:v>0.28922645209888614</c:v>
                </c:pt>
                <c:pt idx="222">
                  <c:v>0.28928427587261302</c:v>
                </c:pt>
                <c:pt idx="223">
                  <c:v>0.28934323149190411</c:v>
                </c:pt>
                <c:pt idx="224">
                  <c:v>0.28940330099830675</c:v>
                </c:pt>
                <c:pt idx="225">
                  <c:v>0.28946446609406723</c:v>
                </c:pt>
                <c:pt idx="226">
                  <c:v>0.28952670814770498</c:v>
                </c:pt>
                <c:pt idx="227">
                  <c:v>0.2895900081996875</c:v>
                </c:pt>
                <c:pt idx="228">
                  <c:v>0.28965434696820569</c:v>
                </c:pt>
                <c:pt idx="229">
                  <c:v>0.28971970485504744</c:v>
                </c:pt>
                <c:pt idx="230">
                  <c:v>0.28978606195156731</c:v>
                </c:pt>
                <c:pt idx="231">
                  <c:v>0.2898533980447508</c:v>
                </c:pt>
                <c:pt idx="232">
                  <c:v>0.2899216926233717</c:v>
                </c:pt>
                <c:pt idx="233">
                  <c:v>0.28999092488423972</c:v>
                </c:pt>
                <c:pt idx="234">
                  <c:v>0.29006107373853762</c:v>
                </c:pt>
                <c:pt idx="235">
                  <c:v>0.29013211781824477</c:v>
                </c:pt>
                <c:pt idx="236">
                  <c:v>0.29020403548264623</c:v>
                </c:pt>
                <c:pt idx="237">
                  <c:v>0.29027680482492485</c:v>
                </c:pt>
                <c:pt idx="238">
                  <c:v>0.29035040367883397</c:v>
                </c:pt>
                <c:pt idx="239">
                  <c:v>0.2904248096254497</c:v>
                </c:pt>
                <c:pt idx="240">
                  <c:v>0.29049999999999998</c:v>
                </c:pt>
                <c:pt idx="241">
                  <c:v>0.29057595189876828</c:v>
                </c:pt>
                <c:pt idx="242">
                  <c:v>0.29065264218607051</c:v>
                </c:pt>
                <c:pt idx="243">
                  <c:v>0.29073004750130227</c:v>
                </c:pt>
                <c:pt idx="244">
                  <c:v>0.29080814426605461</c:v>
                </c:pt>
                <c:pt idx="245">
                  <c:v>0.29088690869129646</c:v>
                </c:pt>
                <c:pt idx="246">
                  <c:v>0.29096631678462098</c:v>
                </c:pt>
                <c:pt idx="247">
                  <c:v>0.29104634435755361</c:v>
                </c:pt>
                <c:pt idx="248">
                  <c:v>0.2911269670329204</c:v>
                </c:pt>
                <c:pt idx="249">
                  <c:v>0.29120816025227347</c:v>
                </c:pt>
                <c:pt idx="250">
                  <c:v>0.29128989928337162</c:v>
                </c:pt>
                <c:pt idx="251">
                  <c:v>0.2913721592277142</c:v>
                </c:pt>
                <c:pt idx="252">
                  <c:v>0.29145491502812526</c:v>
                </c:pt>
                <c:pt idx="253">
                  <c:v>0.29153814147638629</c:v>
                </c:pt>
                <c:pt idx="254">
                  <c:v>0.29162181322091496</c:v>
                </c:pt>
                <c:pt idx="255">
                  <c:v>0.29170590477448738</c:v>
                </c:pt>
                <c:pt idx="256">
                  <c:v>0.29179039052200162</c:v>
                </c:pt>
                <c:pt idx="257">
                  <c:v>0.29187524472828064</c:v>
                </c:pt>
                <c:pt idx="258">
                  <c:v>0.29196044154591116</c:v>
                </c:pt>
                <c:pt idx="259">
                  <c:v>0.29204595502311725</c:v>
                </c:pt>
                <c:pt idx="260">
                  <c:v>0.29213175911166533</c:v>
                </c:pt>
                <c:pt idx="261">
                  <c:v>0.29221782767479881</c:v>
                </c:pt>
                <c:pt idx="262">
                  <c:v>0.29230413449519965</c:v>
                </c:pt>
                <c:pt idx="263">
                  <c:v>0.29239065328297426</c:v>
                </c:pt>
                <c:pt idx="264">
                  <c:v>0.29247735768366173</c:v>
                </c:pt>
                <c:pt idx="265">
                  <c:v>0.29256422128626169</c:v>
                </c:pt>
                <c:pt idx="266">
                  <c:v>0.29265121763127938</c:v>
                </c:pt>
                <c:pt idx="267">
                  <c:v>0.29273832021878526</c:v>
                </c:pt>
                <c:pt idx="268">
                  <c:v>0.29282550251648748</c:v>
                </c:pt>
                <c:pt idx="269">
                  <c:v>0.29291273796781359</c:v>
                </c:pt>
                <c:pt idx="270">
                  <c:v>0.29299999999999998</c:v>
                </c:pt>
                <c:pt idx="271">
                  <c:v>0.29308726203218638</c:v>
                </c:pt>
                <c:pt idx="272">
                  <c:v>0.29317449748351249</c:v>
                </c:pt>
                <c:pt idx="273">
                  <c:v>0.2932616797812147</c:v>
                </c:pt>
                <c:pt idx="274">
                  <c:v>0.29334878236872058</c:v>
                </c:pt>
                <c:pt idx="275">
                  <c:v>0.29343577871373827</c:v>
                </c:pt>
                <c:pt idx="276">
                  <c:v>0.29352264231633823</c:v>
                </c:pt>
                <c:pt idx="277">
                  <c:v>0.29360934671702571</c:v>
                </c:pt>
                <c:pt idx="278">
                  <c:v>0.29369586550480031</c:v>
                </c:pt>
                <c:pt idx="279">
                  <c:v>0.29378217232520115</c:v>
                </c:pt>
                <c:pt idx="280">
                  <c:v>0.29386824088833463</c:v>
                </c:pt>
                <c:pt idx="281">
                  <c:v>0.29395404497688271</c:v>
                </c:pt>
                <c:pt idx="282">
                  <c:v>0.2940395584540888</c:v>
                </c:pt>
                <c:pt idx="283">
                  <c:v>0.29412475527171933</c:v>
                </c:pt>
                <c:pt idx="284">
                  <c:v>0.29420960947799835</c:v>
                </c:pt>
                <c:pt idx="285">
                  <c:v>0.29429409522551259</c:v>
                </c:pt>
                <c:pt idx="286">
                  <c:v>0.294378186779085</c:v>
                </c:pt>
                <c:pt idx="287">
                  <c:v>0.29446185852361367</c:v>
                </c:pt>
                <c:pt idx="288">
                  <c:v>0.2945450849718747</c:v>
                </c:pt>
                <c:pt idx="289">
                  <c:v>0.29462784077228577</c:v>
                </c:pt>
                <c:pt idx="290">
                  <c:v>0.29471010071662834</c:v>
                </c:pt>
                <c:pt idx="291">
                  <c:v>0.29479183974772649</c:v>
                </c:pt>
                <c:pt idx="292">
                  <c:v>0.29487303296707956</c:v>
                </c:pt>
                <c:pt idx="293">
                  <c:v>0.29495365564244636</c:v>
                </c:pt>
                <c:pt idx="294">
                  <c:v>0.29503368321537898</c:v>
                </c:pt>
                <c:pt idx="295">
                  <c:v>0.2951130913087035</c:v>
                </c:pt>
                <c:pt idx="296">
                  <c:v>0.29519185573394535</c:v>
                </c:pt>
                <c:pt idx="297">
                  <c:v>0.2952699524986977</c:v>
                </c:pt>
                <c:pt idx="298">
                  <c:v>0.29534735781392946</c:v>
                </c:pt>
                <c:pt idx="299">
                  <c:v>0.29542404810123168</c:v>
                </c:pt>
                <c:pt idx="300">
                  <c:v>0.29549999999999998</c:v>
                </c:pt>
                <c:pt idx="301">
                  <c:v>0.29557519037455027</c:v>
                </c:pt>
                <c:pt idx="302">
                  <c:v>0.295649596321166</c:v>
                </c:pt>
                <c:pt idx="303">
                  <c:v>0.29572319517507512</c:v>
                </c:pt>
                <c:pt idx="304">
                  <c:v>0.29579596451735374</c:v>
                </c:pt>
                <c:pt idx="305">
                  <c:v>0.29586788218175519</c:v>
                </c:pt>
                <c:pt idx="306">
                  <c:v>0.29593892626146234</c:v>
                </c:pt>
                <c:pt idx="307">
                  <c:v>0.29600907511576025</c:v>
                </c:pt>
                <c:pt idx="308">
                  <c:v>0.29607830737662827</c:v>
                </c:pt>
                <c:pt idx="309">
                  <c:v>0.29614660195524917</c:v>
                </c:pt>
                <c:pt idx="310">
                  <c:v>0.29621393804843266</c:v>
                </c:pt>
                <c:pt idx="311">
                  <c:v>0.29628029514495252</c:v>
                </c:pt>
                <c:pt idx="312">
                  <c:v>0.29634565303179428</c:v>
                </c:pt>
                <c:pt idx="313">
                  <c:v>0.29640999180031247</c:v>
                </c:pt>
                <c:pt idx="314">
                  <c:v>0.29647329185229498</c:v>
                </c:pt>
                <c:pt idx="315">
                  <c:v>0.29653553390593274</c:v>
                </c:pt>
                <c:pt idx="316">
                  <c:v>0.29659669900169322</c:v>
                </c:pt>
                <c:pt idx="317">
                  <c:v>0.29665676850809586</c:v>
                </c:pt>
                <c:pt idx="318">
                  <c:v>0.29671572412738695</c:v>
                </c:pt>
                <c:pt idx="319">
                  <c:v>0.29677354790111382</c:v>
                </c:pt>
                <c:pt idx="320">
                  <c:v>0.29683022221559485</c:v>
                </c:pt>
                <c:pt idx="321">
                  <c:v>0.29688572980728484</c:v>
                </c:pt>
                <c:pt idx="322">
                  <c:v>0.29694005376803362</c:v>
                </c:pt>
                <c:pt idx="323">
                  <c:v>0.29699317755023646</c:v>
                </c:pt>
                <c:pt idx="324">
                  <c:v>0.29704508497187471</c:v>
                </c:pt>
                <c:pt idx="325">
                  <c:v>0.29709576022144496</c:v>
                </c:pt>
                <c:pt idx="326">
                  <c:v>0.29714518786277522</c:v>
                </c:pt>
                <c:pt idx="327">
                  <c:v>0.29719335283972709</c:v>
                </c:pt>
                <c:pt idx="328">
                  <c:v>0.29724024048078213</c:v>
                </c:pt>
                <c:pt idx="329">
                  <c:v>0.29728583650351054</c:v>
                </c:pt>
                <c:pt idx="330">
                  <c:v>0.2973301270189222</c:v>
                </c:pt>
                <c:pt idx="331">
                  <c:v>0.29737309853569699</c:v>
                </c:pt>
                <c:pt idx="332">
                  <c:v>0.29741473796429463</c:v>
                </c:pt>
                <c:pt idx="333">
                  <c:v>0.29745503262094181</c:v>
                </c:pt>
                <c:pt idx="334">
                  <c:v>0.29749397023149582</c:v>
                </c:pt>
                <c:pt idx="335">
                  <c:v>0.29753153893518325</c:v>
                </c:pt>
                <c:pt idx="336">
                  <c:v>0.29756772728821301</c:v>
                </c:pt>
                <c:pt idx="337">
                  <c:v>0.29760252426726219</c:v>
                </c:pt>
                <c:pt idx="338">
                  <c:v>0.29763591927283389</c:v>
                </c:pt>
                <c:pt idx="339">
                  <c:v>0.29766790213248601</c:v>
                </c:pt>
                <c:pt idx="340">
                  <c:v>0.2976984631039295</c:v>
                </c:pt>
                <c:pt idx="341">
                  <c:v>0.29772759287799655</c:v>
                </c:pt>
                <c:pt idx="342">
                  <c:v>0.29775528258147577</c:v>
                </c:pt>
                <c:pt idx="343">
                  <c:v>0.29778152377981515</c:v>
                </c:pt>
                <c:pt idx="344">
                  <c:v>0.29780630847969158</c:v>
                </c:pt>
                <c:pt idx="345">
                  <c:v>0.29782962913144534</c:v>
                </c:pt>
                <c:pt idx="346">
                  <c:v>0.29785147863137995</c:v>
                </c:pt>
                <c:pt idx="347">
                  <c:v>0.29787185032392616</c:v>
                </c:pt>
                <c:pt idx="348">
                  <c:v>0.297890738003669</c:v>
                </c:pt>
                <c:pt idx="349">
                  <c:v>0.2979081359172383</c:v>
                </c:pt>
                <c:pt idx="350">
                  <c:v>0.29792403876506102</c:v>
                </c:pt>
                <c:pt idx="351">
                  <c:v>0.29793844170297568</c:v>
                </c:pt>
                <c:pt idx="352">
                  <c:v>0.29795134034370785</c:v>
                </c:pt>
                <c:pt idx="353">
                  <c:v>0.29796273075820662</c:v>
                </c:pt>
                <c:pt idx="354">
                  <c:v>0.29797260947684134</c:v>
                </c:pt>
                <c:pt idx="355">
                  <c:v>0.29798097349045871</c:v>
                </c:pt>
                <c:pt idx="356">
                  <c:v>0.29798782025129911</c:v>
                </c:pt>
                <c:pt idx="357">
                  <c:v>0.29799314767377283</c:v>
                </c:pt>
                <c:pt idx="358">
                  <c:v>0.29799695413509547</c:v>
                </c:pt>
                <c:pt idx="359">
                  <c:v>0.29799923847578191</c:v>
                </c:pt>
                <c:pt idx="360">
                  <c:v>0.29799999999999999</c:v>
                </c:pt>
              </c:numCache>
            </c:numRef>
          </c:xVal>
          <c:yVal>
            <c:numRef>
              <c:f>[1]EVENT_YYMMDD_Optical!$AW$21:$AW$381</c:f>
              <c:numCache>
                <c:formatCode>General</c:formatCode>
                <c:ptCount val="361"/>
                <c:pt idx="0">
                  <c:v>0.32</c:v>
                </c:pt>
                <c:pt idx="1">
                  <c:v>0.3200872620321864</c:v>
                </c:pt>
                <c:pt idx="2">
                  <c:v>0.32017449748351251</c:v>
                </c:pt>
                <c:pt idx="3">
                  <c:v>0.32026167978121473</c:v>
                </c:pt>
                <c:pt idx="4">
                  <c:v>0.32034878236872061</c:v>
                </c:pt>
                <c:pt idx="5">
                  <c:v>0.3204357787137383</c:v>
                </c:pt>
                <c:pt idx="6">
                  <c:v>0.32052264231633826</c:v>
                </c:pt>
                <c:pt idx="7">
                  <c:v>0.32060934671702573</c:v>
                </c:pt>
                <c:pt idx="8">
                  <c:v>0.32069586550480034</c:v>
                </c:pt>
                <c:pt idx="9">
                  <c:v>0.32078217232520118</c:v>
                </c:pt>
                <c:pt idx="10">
                  <c:v>0.32086824088833465</c:v>
                </c:pt>
                <c:pt idx="11">
                  <c:v>0.32095404497688274</c:v>
                </c:pt>
                <c:pt idx="12">
                  <c:v>0.32103955845408882</c:v>
                </c:pt>
                <c:pt idx="13">
                  <c:v>0.32112475527171935</c:v>
                </c:pt>
                <c:pt idx="14">
                  <c:v>0.32120960947799837</c:v>
                </c:pt>
                <c:pt idx="15">
                  <c:v>0.32129409522551261</c:v>
                </c:pt>
                <c:pt idx="16">
                  <c:v>0.32137818677908503</c:v>
                </c:pt>
                <c:pt idx="17">
                  <c:v>0.3214618585236137</c:v>
                </c:pt>
                <c:pt idx="18">
                  <c:v>0.32154508497187473</c:v>
                </c:pt>
                <c:pt idx="19">
                  <c:v>0.32162784077228579</c:v>
                </c:pt>
                <c:pt idx="20">
                  <c:v>0.32171010071662837</c:v>
                </c:pt>
                <c:pt idx="21">
                  <c:v>0.32179183974772652</c:v>
                </c:pt>
                <c:pt idx="22">
                  <c:v>0.32187303296707959</c:v>
                </c:pt>
                <c:pt idx="23">
                  <c:v>0.32195365564244638</c:v>
                </c:pt>
                <c:pt idx="24">
                  <c:v>0.32203368321537901</c:v>
                </c:pt>
                <c:pt idx="25">
                  <c:v>0.32211309130870353</c:v>
                </c:pt>
                <c:pt idx="26">
                  <c:v>0.32219185573394538</c:v>
                </c:pt>
                <c:pt idx="27">
                  <c:v>0.32226995249869772</c:v>
                </c:pt>
                <c:pt idx="28">
                  <c:v>0.32234735781392948</c:v>
                </c:pt>
                <c:pt idx="29">
                  <c:v>0.32242404810123171</c:v>
                </c:pt>
                <c:pt idx="30">
                  <c:v>0.32250000000000001</c:v>
                </c:pt>
                <c:pt idx="31">
                  <c:v>0.32257519037455029</c:v>
                </c:pt>
                <c:pt idx="32">
                  <c:v>0.32264959632116602</c:v>
                </c:pt>
                <c:pt idx="33">
                  <c:v>0.32272319517507514</c:v>
                </c:pt>
                <c:pt idx="34">
                  <c:v>0.32279596451735376</c:v>
                </c:pt>
                <c:pt idx="35">
                  <c:v>0.32286788218175522</c:v>
                </c:pt>
                <c:pt idx="36">
                  <c:v>0.32293892626146237</c:v>
                </c:pt>
                <c:pt idx="37">
                  <c:v>0.32300907511576027</c:v>
                </c:pt>
                <c:pt idx="38">
                  <c:v>0.32307830737662829</c:v>
                </c:pt>
                <c:pt idx="39">
                  <c:v>0.32314660195524919</c:v>
                </c:pt>
                <c:pt idx="40">
                  <c:v>0.32321393804843268</c:v>
                </c:pt>
                <c:pt idx="41">
                  <c:v>0.32328029514495255</c:v>
                </c:pt>
                <c:pt idx="42">
                  <c:v>0.3233456530317943</c:v>
                </c:pt>
                <c:pt idx="43">
                  <c:v>0.32340999180031249</c:v>
                </c:pt>
                <c:pt idx="44">
                  <c:v>0.32347329185229501</c:v>
                </c:pt>
                <c:pt idx="45">
                  <c:v>0.32353553390593276</c:v>
                </c:pt>
                <c:pt idx="46">
                  <c:v>0.32359669900169324</c:v>
                </c:pt>
                <c:pt idx="47">
                  <c:v>0.32365676850809588</c:v>
                </c:pt>
                <c:pt idx="48">
                  <c:v>0.32371572412738697</c:v>
                </c:pt>
                <c:pt idx="49">
                  <c:v>0.32377354790111385</c:v>
                </c:pt>
                <c:pt idx="50">
                  <c:v>0.32383022221559488</c:v>
                </c:pt>
                <c:pt idx="51">
                  <c:v>0.32388572980728486</c:v>
                </c:pt>
                <c:pt idx="52">
                  <c:v>0.32394005376803364</c:v>
                </c:pt>
                <c:pt idx="53">
                  <c:v>0.32399317755023649</c:v>
                </c:pt>
                <c:pt idx="54">
                  <c:v>0.32404508497187473</c:v>
                </c:pt>
                <c:pt idx="55">
                  <c:v>0.32409576022144498</c:v>
                </c:pt>
                <c:pt idx="56">
                  <c:v>0.32414518786277524</c:v>
                </c:pt>
                <c:pt idx="57">
                  <c:v>0.32419335283972711</c:v>
                </c:pt>
                <c:pt idx="58">
                  <c:v>0.32424024048078215</c:v>
                </c:pt>
                <c:pt idx="59">
                  <c:v>0.32428583650351056</c:v>
                </c:pt>
                <c:pt idx="60">
                  <c:v>0.32433012701892222</c:v>
                </c:pt>
                <c:pt idx="61">
                  <c:v>0.32437309853569696</c:v>
                </c:pt>
                <c:pt idx="62">
                  <c:v>0.32441473796429465</c:v>
                </c:pt>
                <c:pt idx="63">
                  <c:v>0.32445503262094183</c:v>
                </c:pt>
                <c:pt idx="64">
                  <c:v>0.32449397023149584</c:v>
                </c:pt>
                <c:pt idx="65">
                  <c:v>0.32453153893518327</c:v>
                </c:pt>
                <c:pt idx="66">
                  <c:v>0.32456772728821304</c:v>
                </c:pt>
                <c:pt idx="67">
                  <c:v>0.32460252426726222</c:v>
                </c:pt>
                <c:pt idx="68">
                  <c:v>0.32463591927283392</c:v>
                </c:pt>
                <c:pt idx="69">
                  <c:v>0.32466790213248603</c:v>
                </c:pt>
                <c:pt idx="70">
                  <c:v>0.32469846310392952</c:v>
                </c:pt>
                <c:pt idx="71">
                  <c:v>0.32472759287799657</c:v>
                </c:pt>
                <c:pt idx="72">
                  <c:v>0.32475528258147579</c:v>
                </c:pt>
                <c:pt idx="73">
                  <c:v>0.32478152377981517</c:v>
                </c:pt>
                <c:pt idx="74">
                  <c:v>0.32480630847969161</c:v>
                </c:pt>
                <c:pt idx="75">
                  <c:v>0.32482962913144536</c:v>
                </c:pt>
                <c:pt idx="76">
                  <c:v>0.32485147863137998</c:v>
                </c:pt>
                <c:pt idx="77">
                  <c:v>0.32487185032392618</c:v>
                </c:pt>
                <c:pt idx="78">
                  <c:v>0.32489073800366902</c:v>
                </c:pt>
                <c:pt idx="79">
                  <c:v>0.32490813591723833</c:v>
                </c:pt>
                <c:pt idx="80">
                  <c:v>0.32492403876506104</c:v>
                </c:pt>
                <c:pt idx="81">
                  <c:v>0.3249384417029757</c:v>
                </c:pt>
                <c:pt idx="82">
                  <c:v>0.32495134034370787</c:v>
                </c:pt>
                <c:pt idx="83">
                  <c:v>0.32496273075820664</c:v>
                </c:pt>
                <c:pt idx="84">
                  <c:v>0.32497260947684137</c:v>
                </c:pt>
                <c:pt idx="85">
                  <c:v>0.32498097349045874</c:v>
                </c:pt>
                <c:pt idx="86">
                  <c:v>0.32498782025129913</c:v>
                </c:pt>
                <c:pt idx="87">
                  <c:v>0.32499314767377285</c:v>
                </c:pt>
                <c:pt idx="88">
                  <c:v>0.32499695413509549</c:v>
                </c:pt>
                <c:pt idx="89">
                  <c:v>0.32499923847578194</c:v>
                </c:pt>
                <c:pt idx="90">
                  <c:v>0.32500000000000001</c:v>
                </c:pt>
                <c:pt idx="91">
                  <c:v>0.32499923847578194</c:v>
                </c:pt>
                <c:pt idx="92">
                  <c:v>0.32499695413509549</c:v>
                </c:pt>
                <c:pt idx="93">
                  <c:v>0.32499314767377285</c:v>
                </c:pt>
                <c:pt idx="94">
                  <c:v>0.32498782025129913</c:v>
                </c:pt>
                <c:pt idx="95">
                  <c:v>0.32498097349045874</c:v>
                </c:pt>
                <c:pt idx="96">
                  <c:v>0.32497260947684137</c:v>
                </c:pt>
                <c:pt idx="97">
                  <c:v>0.32496273075820664</c:v>
                </c:pt>
                <c:pt idx="98">
                  <c:v>0.32495134034370787</c:v>
                </c:pt>
                <c:pt idx="99">
                  <c:v>0.3249384417029757</c:v>
                </c:pt>
                <c:pt idx="100">
                  <c:v>0.32492403876506104</c:v>
                </c:pt>
                <c:pt idx="101">
                  <c:v>0.32490813591723833</c:v>
                </c:pt>
                <c:pt idx="102">
                  <c:v>0.32489073800366902</c:v>
                </c:pt>
                <c:pt idx="103">
                  <c:v>0.32487185032392618</c:v>
                </c:pt>
                <c:pt idx="104">
                  <c:v>0.32485147863137998</c:v>
                </c:pt>
                <c:pt idx="105">
                  <c:v>0.32482962913144536</c:v>
                </c:pt>
                <c:pt idx="106">
                  <c:v>0.32480630847969161</c:v>
                </c:pt>
                <c:pt idx="107">
                  <c:v>0.32478152377981517</c:v>
                </c:pt>
                <c:pt idx="108">
                  <c:v>0.32475528258147579</c:v>
                </c:pt>
                <c:pt idx="109">
                  <c:v>0.32472759287799657</c:v>
                </c:pt>
                <c:pt idx="110">
                  <c:v>0.32469846310392952</c:v>
                </c:pt>
                <c:pt idx="111">
                  <c:v>0.32466790213248603</c:v>
                </c:pt>
                <c:pt idx="112">
                  <c:v>0.32463591927283392</c:v>
                </c:pt>
                <c:pt idx="113">
                  <c:v>0.32460252426726222</c:v>
                </c:pt>
                <c:pt idx="114">
                  <c:v>0.32456772728821304</c:v>
                </c:pt>
                <c:pt idx="115">
                  <c:v>0.32453153893518327</c:v>
                </c:pt>
                <c:pt idx="116">
                  <c:v>0.32449397023149584</c:v>
                </c:pt>
                <c:pt idx="117">
                  <c:v>0.32445503262094183</c:v>
                </c:pt>
                <c:pt idx="118">
                  <c:v>0.32441473796429465</c:v>
                </c:pt>
                <c:pt idx="119">
                  <c:v>0.32437309853569701</c:v>
                </c:pt>
                <c:pt idx="120">
                  <c:v>0.32433012701892222</c:v>
                </c:pt>
                <c:pt idx="121">
                  <c:v>0.32428583650351056</c:v>
                </c:pt>
                <c:pt idx="122">
                  <c:v>0.32424024048078215</c:v>
                </c:pt>
                <c:pt idx="123">
                  <c:v>0.32419335283972711</c:v>
                </c:pt>
                <c:pt idx="124">
                  <c:v>0.32414518786277524</c:v>
                </c:pt>
                <c:pt idx="125">
                  <c:v>0.32409576022144498</c:v>
                </c:pt>
                <c:pt idx="126">
                  <c:v>0.32404508497187473</c:v>
                </c:pt>
                <c:pt idx="127">
                  <c:v>0.32399317755023649</c:v>
                </c:pt>
                <c:pt idx="128">
                  <c:v>0.32394005376803364</c:v>
                </c:pt>
                <c:pt idx="129">
                  <c:v>0.32388572980728486</c:v>
                </c:pt>
                <c:pt idx="130">
                  <c:v>0.32383022221559488</c:v>
                </c:pt>
                <c:pt idx="131">
                  <c:v>0.32377354790111385</c:v>
                </c:pt>
                <c:pt idx="132">
                  <c:v>0.32371572412738697</c:v>
                </c:pt>
                <c:pt idx="133">
                  <c:v>0.32365676850809588</c:v>
                </c:pt>
                <c:pt idx="134">
                  <c:v>0.32359669900169324</c:v>
                </c:pt>
                <c:pt idx="135">
                  <c:v>0.32353553390593276</c:v>
                </c:pt>
                <c:pt idx="136">
                  <c:v>0.32347329185229501</c:v>
                </c:pt>
                <c:pt idx="137">
                  <c:v>0.32340999180031249</c:v>
                </c:pt>
                <c:pt idx="138">
                  <c:v>0.3233456530317943</c:v>
                </c:pt>
                <c:pt idx="139">
                  <c:v>0.32328029514495255</c:v>
                </c:pt>
                <c:pt idx="140">
                  <c:v>0.32321393804843268</c:v>
                </c:pt>
                <c:pt idx="141">
                  <c:v>0.32314660195524919</c:v>
                </c:pt>
                <c:pt idx="142">
                  <c:v>0.32307830737662829</c:v>
                </c:pt>
                <c:pt idx="143">
                  <c:v>0.32300907511576027</c:v>
                </c:pt>
                <c:pt idx="144">
                  <c:v>0.32293892626146237</c:v>
                </c:pt>
                <c:pt idx="145">
                  <c:v>0.32286788218175522</c:v>
                </c:pt>
                <c:pt idx="146">
                  <c:v>0.32279596451735376</c:v>
                </c:pt>
                <c:pt idx="147">
                  <c:v>0.32272319517507514</c:v>
                </c:pt>
                <c:pt idx="148">
                  <c:v>0.32264959632116602</c:v>
                </c:pt>
                <c:pt idx="149">
                  <c:v>0.32257519037455029</c:v>
                </c:pt>
                <c:pt idx="150">
                  <c:v>0.32250000000000001</c:v>
                </c:pt>
                <c:pt idx="151">
                  <c:v>0.32242404810123171</c:v>
                </c:pt>
                <c:pt idx="152">
                  <c:v>0.32234735781392948</c:v>
                </c:pt>
                <c:pt idx="153">
                  <c:v>0.32226995249869772</c:v>
                </c:pt>
                <c:pt idx="154">
                  <c:v>0.32219185573394538</c:v>
                </c:pt>
                <c:pt idx="155">
                  <c:v>0.32211309130870353</c:v>
                </c:pt>
                <c:pt idx="156">
                  <c:v>0.32203368321537901</c:v>
                </c:pt>
                <c:pt idx="157">
                  <c:v>0.32195365564244638</c:v>
                </c:pt>
                <c:pt idx="158">
                  <c:v>0.32187303296707959</c:v>
                </c:pt>
                <c:pt idx="159">
                  <c:v>0.32179183974772652</c:v>
                </c:pt>
                <c:pt idx="160">
                  <c:v>0.32171010071662837</c:v>
                </c:pt>
                <c:pt idx="161">
                  <c:v>0.32162784077228579</c:v>
                </c:pt>
                <c:pt idx="162">
                  <c:v>0.32154508497187473</c:v>
                </c:pt>
                <c:pt idx="163">
                  <c:v>0.3214618585236137</c:v>
                </c:pt>
                <c:pt idx="164">
                  <c:v>0.32137818677908503</c:v>
                </c:pt>
                <c:pt idx="165">
                  <c:v>0.32129409522551261</c:v>
                </c:pt>
                <c:pt idx="166">
                  <c:v>0.32120960947799837</c:v>
                </c:pt>
                <c:pt idx="167">
                  <c:v>0.32112475527171935</c:v>
                </c:pt>
                <c:pt idx="168">
                  <c:v>0.32103955845408882</c:v>
                </c:pt>
                <c:pt idx="169">
                  <c:v>0.32095404497688274</c:v>
                </c:pt>
                <c:pt idx="170">
                  <c:v>0.32086824088833465</c:v>
                </c:pt>
                <c:pt idx="171">
                  <c:v>0.32078217232520118</c:v>
                </c:pt>
                <c:pt idx="172">
                  <c:v>0.32069586550480034</c:v>
                </c:pt>
                <c:pt idx="173">
                  <c:v>0.32060934671702573</c:v>
                </c:pt>
                <c:pt idx="174">
                  <c:v>0.32052264231633826</c:v>
                </c:pt>
                <c:pt idx="175">
                  <c:v>0.3204357787137383</c:v>
                </c:pt>
                <c:pt idx="176">
                  <c:v>0.32034878236872061</c:v>
                </c:pt>
                <c:pt idx="177">
                  <c:v>0.32026167978121473</c:v>
                </c:pt>
                <c:pt idx="178">
                  <c:v>0.32017449748351251</c:v>
                </c:pt>
                <c:pt idx="179">
                  <c:v>0.3200872620321864</c:v>
                </c:pt>
                <c:pt idx="180">
                  <c:v>0.32</c:v>
                </c:pt>
                <c:pt idx="181">
                  <c:v>0.31991273796781361</c:v>
                </c:pt>
                <c:pt idx="182">
                  <c:v>0.3198255025164875</c:v>
                </c:pt>
                <c:pt idx="183">
                  <c:v>0.31973832021878529</c:v>
                </c:pt>
                <c:pt idx="184">
                  <c:v>0.31965121763127941</c:v>
                </c:pt>
                <c:pt idx="185">
                  <c:v>0.31956422128626172</c:v>
                </c:pt>
                <c:pt idx="186">
                  <c:v>0.31947735768366176</c:v>
                </c:pt>
                <c:pt idx="187">
                  <c:v>0.31939065328297428</c:v>
                </c:pt>
                <c:pt idx="188">
                  <c:v>0.31930413449519968</c:v>
                </c:pt>
                <c:pt idx="189">
                  <c:v>0.31921782767479884</c:v>
                </c:pt>
                <c:pt idx="190">
                  <c:v>0.31913175911166536</c:v>
                </c:pt>
                <c:pt idx="191">
                  <c:v>0.31904595502311728</c:v>
                </c:pt>
                <c:pt idx="192">
                  <c:v>0.31896044154591119</c:v>
                </c:pt>
                <c:pt idx="193">
                  <c:v>0.31887524472828066</c:v>
                </c:pt>
                <c:pt idx="194">
                  <c:v>0.31879039052200164</c:v>
                </c:pt>
                <c:pt idx="195">
                  <c:v>0.3187059047744874</c:v>
                </c:pt>
                <c:pt idx="196">
                  <c:v>0.31862181322091498</c:v>
                </c:pt>
                <c:pt idx="197">
                  <c:v>0.31853814147638632</c:v>
                </c:pt>
                <c:pt idx="198">
                  <c:v>0.31845491502812528</c:v>
                </c:pt>
                <c:pt idx="199">
                  <c:v>0.31837215922771422</c:v>
                </c:pt>
                <c:pt idx="200">
                  <c:v>0.31828989928337165</c:v>
                </c:pt>
                <c:pt idx="201">
                  <c:v>0.3182081602522735</c:v>
                </c:pt>
                <c:pt idx="202">
                  <c:v>0.31812696703292043</c:v>
                </c:pt>
                <c:pt idx="203">
                  <c:v>0.31804634435755363</c:v>
                </c:pt>
                <c:pt idx="204">
                  <c:v>0.31796631678462101</c:v>
                </c:pt>
                <c:pt idx="205">
                  <c:v>0.31788690869129649</c:v>
                </c:pt>
                <c:pt idx="206">
                  <c:v>0.31780814426605464</c:v>
                </c:pt>
                <c:pt idx="207">
                  <c:v>0.31773004750130229</c:v>
                </c:pt>
                <c:pt idx="208">
                  <c:v>0.31765264218607053</c:v>
                </c:pt>
                <c:pt idx="209">
                  <c:v>0.3175759518987683</c:v>
                </c:pt>
                <c:pt idx="210">
                  <c:v>0.3175</c:v>
                </c:pt>
                <c:pt idx="211">
                  <c:v>0.31742480962544972</c:v>
                </c:pt>
                <c:pt idx="212">
                  <c:v>0.31735040367883399</c:v>
                </c:pt>
                <c:pt idx="213">
                  <c:v>0.31727680482492487</c:v>
                </c:pt>
                <c:pt idx="214">
                  <c:v>0.31720403548264625</c:v>
                </c:pt>
                <c:pt idx="215">
                  <c:v>0.3171321178182448</c:v>
                </c:pt>
                <c:pt idx="216">
                  <c:v>0.31706107373853765</c:v>
                </c:pt>
                <c:pt idx="217">
                  <c:v>0.31699092488423974</c:v>
                </c:pt>
                <c:pt idx="218">
                  <c:v>0.31692169262337172</c:v>
                </c:pt>
                <c:pt idx="219">
                  <c:v>0.31685339804475082</c:v>
                </c:pt>
                <c:pt idx="220">
                  <c:v>0.31678606195156733</c:v>
                </c:pt>
                <c:pt idx="221">
                  <c:v>0.31671970485504747</c:v>
                </c:pt>
                <c:pt idx="222">
                  <c:v>0.31665434696820571</c:v>
                </c:pt>
                <c:pt idx="223">
                  <c:v>0.31659000819968752</c:v>
                </c:pt>
                <c:pt idx="224">
                  <c:v>0.316526708147705</c:v>
                </c:pt>
                <c:pt idx="225">
                  <c:v>0.31646446609406725</c:v>
                </c:pt>
                <c:pt idx="226">
                  <c:v>0.31640330099830677</c:v>
                </c:pt>
                <c:pt idx="227">
                  <c:v>0.31634323149190413</c:v>
                </c:pt>
                <c:pt idx="228">
                  <c:v>0.31628427587261304</c:v>
                </c:pt>
                <c:pt idx="229">
                  <c:v>0.31622645209888617</c:v>
                </c:pt>
                <c:pt idx="230">
                  <c:v>0.31616977778440514</c:v>
                </c:pt>
                <c:pt idx="231">
                  <c:v>0.31611427019271515</c:v>
                </c:pt>
                <c:pt idx="232">
                  <c:v>0.31605994623196637</c:v>
                </c:pt>
                <c:pt idx="233">
                  <c:v>0.31600682244976352</c:v>
                </c:pt>
                <c:pt idx="234">
                  <c:v>0.31595491502812528</c:v>
                </c:pt>
                <c:pt idx="235">
                  <c:v>0.31590423977855503</c:v>
                </c:pt>
                <c:pt idx="236">
                  <c:v>0.31585481213722477</c:v>
                </c:pt>
                <c:pt idx="237">
                  <c:v>0.3158066471602729</c:v>
                </c:pt>
                <c:pt idx="238">
                  <c:v>0.31575975951921786</c:v>
                </c:pt>
                <c:pt idx="239">
                  <c:v>0.31571416349648945</c:v>
                </c:pt>
                <c:pt idx="240">
                  <c:v>0.31566987298107779</c:v>
                </c:pt>
                <c:pt idx="241">
                  <c:v>0.315626901464303</c:v>
                </c:pt>
                <c:pt idx="242">
                  <c:v>0.31558526203570536</c:v>
                </c:pt>
                <c:pt idx="243">
                  <c:v>0.31554496737905818</c:v>
                </c:pt>
                <c:pt idx="244">
                  <c:v>0.31550602976850417</c:v>
                </c:pt>
                <c:pt idx="245">
                  <c:v>0.31546846106481674</c:v>
                </c:pt>
                <c:pt idx="246">
                  <c:v>0.31543227271178698</c:v>
                </c:pt>
                <c:pt idx="247">
                  <c:v>0.3153974757327378</c:v>
                </c:pt>
                <c:pt idx="248">
                  <c:v>0.3153640807271661</c:v>
                </c:pt>
                <c:pt idx="249">
                  <c:v>0.31533209786751398</c:v>
                </c:pt>
                <c:pt idx="250">
                  <c:v>0.31530153689607049</c:v>
                </c:pt>
                <c:pt idx="251">
                  <c:v>0.31527240712200344</c:v>
                </c:pt>
                <c:pt idx="252">
                  <c:v>0.31524471741852422</c:v>
                </c:pt>
                <c:pt idx="253">
                  <c:v>0.31521847622018484</c:v>
                </c:pt>
                <c:pt idx="254">
                  <c:v>0.31519369152030841</c:v>
                </c:pt>
                <c:pt idx="255">
                  <c:v>0.31517037086855465</c:v>
                </c:pt>
                <c:pt idx="256">
                  <c:v>0.31514852136862004</c:v>
                </c:pt>
                <c:pt idx="257">
                  <c:v>0.31512814967607383</c:v>
                </c:pt>
                <c:pt idx="258">
                  <c:v>0.31510926199633099</c:v>
                </c:pt>
                <c:pt idx="259">
                  <c:v>0.31509186408276169</c:v>
                </c:pt>
                <c:pt idx="260">
                  <c:v>0.31507596123493897</c:v>
                </c:pt>
                <c:pt idx="261">
                  <c:v>0.31506155829702431</c:v>
                </c:pt>
                <c:pt idx="262">
                  <c:v>0.31504865965629214</c:v>
                </c:pt>
                <c:pt idx="263">
                  <c:v>0.31503726924179337</c:v>
                </c:pt>
                <c:pt idx="264">
                  <c:v>0.31502739052315865</c:v>
                </c:pt>
                <c:pt idx="265">
                  <c:v>0.31501902650954128</c:v>
                </c:pt>
                <c:pt idx="266">
                  <c:v>0.31501217974870088</c:v>
                </c:pt>
                <c:pt idx="267">
                  <c:v>0.31500685232622716</c:v>
                </c:pt>
                <c:pt idx="268">
                  <c:v>0.31500304586490452</c:v>
                </c:pt>
                <c:pt idx="269">
                  <c:v>0.31500076152421808</c:v>
                </c:pt>
                <c:pt idx="270">
                  <c:v>0.315</c:v>
                </c:pt>
                <c:pt idx="271">
                  <c:v>0.31500076152421808</c:v>
                </c:pt>
                <c:pt idx="272">
                  <c:v>0.31500304586490452</c:v>
                </c:pt>
                <c:pt idx="273">
                  <c:v>0.31500685232622716</c:v>
                </c:pt>
                <c:pt idx="274">
                  <c:v>0.31501217974870088</c:v>
                </c:pt>
                <c:pt idx="275">
                  <c:v>0.31501902650954128</c:v>
                </c:pt>
                <c:pt idx="276">
                  <c:v>0.31502739052315865</c:v>
                </c:pt>
                <c:pt idx="277">
                  <c:v>0.31503726924179337</c:v>
                </c:pt>
                <c:pt idx="278">
                  <c:v>0.31504865965629214</c:v>
                </c:pt>
                <c:pt idx="279">
                  <c:v>0.31506155829702431</c:v>
                </c:pt>
                <c:pt idx="280">
                  <c:v>0.31507596123493897</c:v>
                </c:pt>
                <c:pt idx="281">
                  <c:v>0.31509186408276169</c:v>
                </c:pt>
                <c:pt idx="282">
                  <c:v>0.31510926199633099</c:v>
                </c:pt>
                <c:pt idx="283">
                  <c:v>0.31512814967607383</c:v>
                </c:pt>
                <c:pt idx="284">
                  <c:v>0.31514852136862004</c:v>
                </c:pt>
                <c:pt idx="285">
                  <c:v>0.31517037086855465</c:v>
                </c:pt>
                <c:pt idx="286">
                  <c:v>0.31519369152030841</c:v>
                </c:pt>
                <c:pt idx="287">
                  <c:v>0.31521847622018484</c:v>
                </c:pt>
                <c:pt idx="288">
                  <c:v>0.31524471741852422</c:v>
                </c:pt>
                <c:pt idx="289">
                  <c:v>0.31527240712200344</c:v>
                </c:pt>
                <c:pt idx="290">
                  <c:v>0.31530153689607049</c:v>
                </c:pt>
                <c:pt idx="291">
                  <c:v>0.31533209786751398</c:v>
                </c:pt>
                <c:pt idx="292">
                  <c:v>0.3153640807271661</c:v>
                </c:pt>
                <c:pt idx="293">
                  <c:v>0.3153974757327378</c:v>
                </c:pt>
                <c:pt idx="294">
                  <c:v>0.31543227271178698</c:v>
                </c:pt>
                <c:pt idx="295">
                  <c:v>0.31546846106481674</c:v>
                </c:pt>
                <c:pt idx="296">
                  <c:v>0.31550602976850417</c:v>
                </c:pt>
                <c:pt idx="297">
                  <c:v>0.31554496737905818</c:v>
                </c:pt>
                <c:pt idx="298">
                  <c:v>0.31558526203570536</c:v>
                </c:pt>
                <c:pt idx="299">
                  <c:v>0.31562690146430306</c:v>
                </c:pt>
                <c:pt idx="300">
                  <c:v>0.31566987298107779</c:v>
                </c:pt>
                <c:pt idx="301">
                  <c:v>0.31571416349648945</c:v>
                </c:pt>
                <c:pt idx="302">
                  <c:v>0.31575975951921786</c:v>
                </c:pt>
                <c:pt idx="303">
                  <c:v>0.3158066471602729</c:v>
                </c:pt>
                <c:pt idx="304">
                  <c:v>0.31585481213722477</c:v>
                </c:pt>
                <c:pt idx="305">
                  <c:v>0.31590423977855503</c:v>
                </c:pt>
                <c:pt idx="306">
                  <c:v>0.31595491502812528</c:v>
                </c:pt>
                <c:pt idx="307">
                  <c:v>0.31600682244976352</c:v>
                </c:pt>
                <c:pt idx="308">
                  <c:v>0.31605994623196637</c:v>
                </c:pt>
                <c:pt idx="309">
                  <c:v>0.31611427019271515</c:v>
                </c:pt>
                <c:pt idx="310">
                  <c:v>0.31616977778440514</c:v>
                </c:pt>
                <c:pt idx="311">
                  <c:v>0.31622645209888617</c:v>
                </c:pt>
                <c:pt idx="312">
                  <c:v>0.31628427587261304</c:v>
                </c:pt>
                <c:pt idx="313">
                  <c:v>0.31634323149190413</c:v>
                </c:pt>
                <c:pt idx="314">
                  <c:v>0.31640330099830677</c:v>
                </c:pt>
                <c:pt idx="315">
                  <c:v>0.31646446609406725</c:v>
                </c:pt>
                <c:pt idx="316">
                  <c:v>0.316526708147705</c:v>
                </c:pt>
                <c:pt idx="317">
                  <c:v>0.31659000819968752</c:v>
                </c:pt>
                <c:pt idx="318">
                  <c:v>0.31665434696820571</c:v>
                </c:pt>
                <c:pt idx="319">
                  <c:v>0.31671970485504747</c:v>
                </c:pt>
                <c:pt idx="320">
                  <c:v>0.31678606195156733</c:v>
                </c:pt>
                <c:pt idx="321">
                  <c:v>0.31685339804475082</c:v>
                </c:pt>
                <c:pt idx="322">
                  <c:v>0.31692169262337172</c:v>
                </c:pt>
                <c:pt idx="323">
                  <c:v>0.31699092488423974</c:v>
                </c:pt>
                <c:pt idx="324">
                  <c:v>0.31706107373853765</c:v>
                </c:pt>
                <c:pt idx="325">
                  <c:v>0.3171321178182448</c:v>
                </c:pt>
                <c:pt idx="326">
                  <c:v>0.31720403548264625</c:v>
                </c:pt>
                <c:pt idx="327">
                  <c:v>0.31727680482492487</c:v>
                </c:pt>
                <c:pt idx="328">
                  <c:v>0.31735040367883399</c:v>
                </c:pt>
                <c:pt idx="329">
                  <c:v>0.31742480962544972</c:v>
                </c:pt>
                <c:pt idx="330">
                  <c:v>0.3175</c:v>
                </c:pt>
                <c:pt idx="331">
                  <c:v>0.3175759518987683</c:v>
                </c:pt>
                <c:pt idx="332">
                  <c:v>0.31765264218607053</c:v>
                </c:pt>
                <c:pt idx="333">
                  <c:v>0.31773004750130229</c:v>
                </c:pt>
                <c:pt idx="334">
                  <c:v>0.31780814426605464</c:v>
                </c:pt>
                <c:pt idx="335">
                  <c:v>0.31788690869129649</c:v>
                </c:pt>
                <c:pt idx="336">
                  <c:v>0.31796631678462101</c:v>
                </c:pt>
                <c:pt idx="337">
                  <c:v>0.31804634435755363</c:v>
                </c:pt>
                <c:pt idx="338">
                  <c:v>0.31812696703292043</c:v>
                </c:pt>
                <c:pt idx="339">
                  <c:v>0.3182081602522735</c:v>
                </c:pt>
                <c:pt idx="340">
                  <c:v>0.31828989928337165</c:v>
                </c:pt>
                <c:pt idx="341">
                  <c:v>0.31837215922771422</c:v>
                </c:pt>
                <c:pt idx="342">
                  <c:v>0.31845491502812528</c:v>
                </c:pt>
                <c:pt idx="343">
                  <c:v>0.31853814147638632</c:v>
                </c:pt>
                <c:pt idx="344">
                  <c:v>0.31862181322091498</c:v>
                </c:pt>
                <c:pt idx="345">
                  <c:v>0.3187059047744874</c:v>
                </c:pt>
                <c:pt idx="346">
                  <c:v>0.31879039052200164</c:v>
                </c:pt>
                <c:pt idx="347">
                  <c:v>0.31887524472828066</c:v>
                </c:pt>
                <c:pt idx="348">
                  <c:v>0.31896044154591119</c:v>
                </c:pt>
                <c:pt idx="349">
                  <c:v>0.31904595502311728</c:v>
                </c:pt>
                <c:pt idx="350">
                  <c:v>0.31913175911166536</c:v>
                </c:pt>
                <c:pt idx="351">
                  <c:v>0.31921782767479884</c:v>
                </c:pt>
                <c:pt idx="352">
                  <c:v>0.31930413449519968</c:v>
                </c:pt>
                <c:pt idx="353">
                  <c:v>0.31939065328297428</c:v>
                </c:pt>
                <c:pt idx="354">
                  <c:v>0.31947735768366176</c:v>
                </c:pt>
                <c:pt idx="355">
                  <c:v>0.31956422128626172</c:v>
                </c:pt>
                <c:pt idx="356">
                  <c:v>0.31965121763127941</c:v>
                </c:pt>
                <c:pt idx="357">
                  <c:v>0.31973832021878529</c:v>
                </c:pt>
                <c:pt idx="358">
                  <c:v>0.3198255025164875</c:v>
                </c:pt>
                <c:pt idx="359">
                  <c:v>0.31991273796781361</c:v>
                </c:pt>
                <c:pt idx="36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F-4AA5-B7C1-D2AAE8622D3D}"/>
            </c:ext>
          </c:extLst>
        </c:ser>
        <c:ser>
          <c:idx val="1"/>
          <c:order val="1"/>
          <c:tx>
            <c:v>원점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[1]EVENT_YYMMDD_Optical!$L$12</c:f>
              <c:numCache>
                <c:formatCode>General</c:formatCode>
                <c:ptCount val="1"/>
                <c:pt idx="0">
                  <c:v>0.29299999999999998</c:v>
                </c:pt>
              </c:numCache>
            </c:numRef>
          </c:xVal>
          <c:yVal>
            <c:numRef>
              <c:f>[1]EVENT_YYMMDD_Optical!$M$12</c:f>
              <c:numCache>
                <c:formatCode>General</c:formatCode>
                <c:ptCount val="1"/>
                <c:pt idx="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7F-4AA5-B7C1-D2AAE8622D3D}"/>
            </c:ext>
          </c:extLst>
        </c:ser>
        <c:ser>
          <c:idx val="2"/>
          <c:order val="2"/>
          <c:tx>
            <c:v>DV9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출하데이터_Vlookup!$M$20:$M$600</c:f>
              <c:numCache>
                <c:formatCode>0.0000_);[Red]\(0.0000\)</c:formatCode>
                <c:ptCount val="5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 formatCode="0.0000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 formatCode="General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</c:numCache>
            </c:numRef>
          </c:xVal>
          <c:yVal>
            <c:numRef>
              <c:f>출하데이터_Vlookup!$N$20:$N$600</c:f>
              <c:numCache>
                <c:formatCode>0.0000_);[Red]\(0.0000\)</c:formatCode>
                <c:ptCount val="5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 formatCode="0.0000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 formatCode="General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 formatCode="General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7F-4AA5-B7C1-D2AAE8622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147728"/>
        <c:axId val="1200160208"/>
        <c:extLst/>
      </c:scatterChart>
      <c:valAx>
        <c:axId val="120014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60208"/>
        <c:crosses val="autoZero"/>
        <c:crossBetween val="midCat"/>
        <c:majorUnit val="5.000000000000001E-3"/>
      </c:valAx>
      <c:valAx>
        <c:axId val="12001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4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5287029238526"/>
          <c:y val="0.71091942515059448"/>
          <c:w val="0.1237144944245923"/>
          <c:h val="0.21619042479198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RED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출하데이터_data!$F$20:$F$330</c:f>
              <c:numCache>
                <c:formatCode>0.0000_);[Red]\(0.0000\)</c:formatCode>
                <c:ptCount val="311"/>
              </c:numCache>
            </c:numRef>
          </c:xVal>
          <c:yVal>
            <c:numRef>
              <c:f>출하데이터_data!$G$20:$G$330</c:f>
              <c:numCache>
                <c:formatCode>0.0000_);[Red]\(0.0000\)</c:formatCode>
                <c:ptCount val="3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4-469D-A0D7-CD137AC69F39}"/>
            </c:ext>
          </c:extLst>
        </c:ser>
        <c:ser>
          <c:idx val="3"/>
          <c:order val="1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출하데이터_data!$F$12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출하데이터_data!$G$12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4-469D-A0D7-CD137AC69F39}"/>
            </c:ext>
          </c:extLst>
        </c:ser>
        <c:ser>
          <c:idx val="1"/>
          <c:order val="2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출하데이터_data!$F$12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출하데이터_data!$G$12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84-469D-A0D7-CD137AC69F39}"/>
            </c:ext>
          </c:extLst>
        </c:ser>
        <c:ser>
          <c:idx val="4"/>
          <c:order val="3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출하데이터_data!$AQ$30:$AQ$34</c:f>
              <c:numCache>
                <c:formatCode>0.000_);[Red]\(0.000\)</c:formatCode>
                <c:ptCount val="5"/>
                <c:pt idx="0">
                  <c:v>0.61</c:v>
                </c:pt>
                <c:pt idx="1">
                  <c:v>0.61</c:v>
                </c:pt>
                <c:pt idx="2">
                  <c:v>0.67</c:v>
                </c:pt>
                <c:pt idx="3">
                  <c:v>0.67</c:v>
                </c:pt>
                <c:pt idx="4">
                  <c:v>0.61</c:v>
                </c:pt>
              </c:numCache>
            </c:numRef>
          </c:xVal>
          <c:yVal>
            <c:numRef>
              <c:f>출하데이터_data!$AR$30:$AR$34</c:f>
              <c:numCache>
                <c:formatCode>0.000_);[Red]\(0.000\)</c:formatCode>
                <c:ptCount val="5"/>
                <c:pt idx="0">
                  <c:v>0.32099999999999995</c:v>
                </c:pt>
                <c:pt idx="1">
                  <c:v>0.38100000000000001</c:v>
                </c:pt>
                <c:pt idx="2">
                  <c:v>0.38100000000000001</c:v>
                </c:pt>
                <c:pt idx="3">
                  <c:v>0.32099999999999995</c:v>
                </c:pt>
                <c:pt idx="4">
                  <c:v>0.32099999999999995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4-469D-A0D7-CD137AC6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482272"/>
        <c:axId val="687480312"/>
      </c:scatterChart>
      <c:valAx>
        <c:axId val="68748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0312"/>
        <c:crosses val="autoZero"/>
        <c:crossBetween val="midCat"/>
      </c:valAx>
      <c:valAx>
        <c:axId val="687480312"/>
        <c:scaling>
          <c:orientation val="minMax"/>
          <c:min val="0.31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22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GREEN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출하데이터_data!$H$20:$H$330</c:f>
              <c:numCache>
                <c:formatCode>0.0000_);[Red]\(0.0000\)</c:formatCode>
                <c:ptCount val="311"/>
              </c:numCache>
            </c:numRef>
          </c:xVal>
          <c:yVal>
            <c:numRef>
              <c:f>출하데이터_data!$I$20:$I$330</c:f>
              <c:numCache>
                <c:formatCode>0.0000_);[Red]\(0.0000\)</c:formatCode>
                <c:ptCount val="3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D-4BAE-AC40-CF2BBDEAF886}"/>
            </c:ext>
          </c:extLst>
        </c:ser>
        <c:ser>
          <c:idx val="1"/>
          <c:order val="1"/>
          <c:tx>
            <c:v>GREEN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출하데이터_data!$H$12</c:f>
              <c:numCache>
                <c:formatCode>0.000_);[Red]\(0.000\)</c:formatCode>
                <c:ptCount val="1"/>
                <c:pt idx="0">
                  <c:v>0.29199999999999998</c:v>
                </c:pt>
              </c:numCache>
            </c:numRef>
          </c:xVal>
          <c:yVal>
            <c:numRef>
              <c:f>출하데이터_data!$I$12</c:f>
              <c:numCache>
                <c:formatCode>0.000_);[Red]\(0.000\)</c:formatCode>
                <c:ptCount val="1"/>
                <c:pt idx="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1D-4BAE-AC40-CF2BBDEAF886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출하데이터_data!$AH$48:$AH$52</c:f>
              <c:numCache>
                <c:formatCode>0.000_);[Red]\(0.000\)</c:formatCode>
                <c:ptCount val="5"/>
                <c:pt idx="0">
                  <c:v>0.26200000000000001</c:v>
                </c:pt>
                <c:pt idx="1">
                  <c:v>0.26200000000000001</c:v>
                </c:pt>
                <c:pt idx="2">
                  <c:v>0.32199999999999995</c:v>
                </c:pt>
                <c:pt idx="3">
                  <c:v>0.32199999999999995</c:v>
                </c:pt>
                <c:pt idx="4">
                  <c:v>0.26200000000000001</c:v>
                </c:pt>
              </c:numCache>
            </c:numRef>
          </c:xVal>
          <c:yVal>
            <c:numRef>
              <c:f>출하데이터_data!$AI$48:$AI$52</c:f>
              <c:numCache>
                <c:formatCode>0.000_);[Red]\(0.000\)</c:formatCode>
                <c:ptCount val="5"/>
                <c:pt idx="0">
                  <c:v>0.61699999999999999</c:v>
                </c:pt>
                <c:pt idx="1">
                  <c:v>0.67700000000000005</c:v>
                </c:pt>
                <c:pt idx="2">
                  <c:v>0.67700000000000005</c:v>
                </c:pt>
                <c:pt idx="3">
                  <c:v>0.61699999999999999</c:v>
                </c:pt>
                <c:pt idx="4">
                  <c:v>0.61699999999999999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1D-4BAE-AC40-CF2BBDEAF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58512"/>
        <c:axId val="679362040"/>
      </c:scatterChart>
      <c:valAx>
        <c:axId val="679358512"/>
        <c:scaling>
          <c:orientation val="minMax"/>
          <c:max val="0.33000000000000007"/>
          <c:min val="0.2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2040"/>
        <c:crosses val="autoZero"/>
        <c:crossBetween val="midCat"/>
        <c:majorUnit val="5.000000000000001E-3"/>
      </c:valAx>
      <c:valAx>
        <c:axId val="679362040"/>
        <c:scaling>
          <c:orientation val="minMax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58512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BLUE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출하데이터_data!$J$20:$J$330</c:f>
              <c:numCache>
                <c:formatCode>0.0000_);[Red]\(0.0000\)</c:formatCode>
                <c:ptCount val="311"/>
              </c:numCache>
            </c:numRef>
          </c:xVal>
          <c:yVal>
            <c:numRef>
              <c:f>출하데이터_data!$K$20:$K$330</c:f>
              <c:numCache>
                <c:formatCode>0.0000_);[Red]\(0.0000\)</c:formatCode>
                <c:ptCount val="3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4-4ADB-A21D-962AE4425537}"/>
            </c:ext>
          </c:extLst>
        </c:ser>
        <c:ser>
          <c:idx val="1"/>
          <c:order val="1"/>
          <c:tx>
            <c:v>BLUE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출하데이터_data!$J$12</c:f>
              <c:numCache>
                <c:formatCode>0.000_);[Red]\(0.000\)</c:formatCode>
                <c:ptCount val="1"/>
                <c:pt idx="0">
                  <c:v>0.15</c:v>
                </c:pt>
              </c:numCache>
            </c:numRef>
          </c:xVal>
          <c:yVal>
            <c:numRef>
              <c:f>출하데이터_data!$K$12</c:f>
              <c:numCache>
                <c:formatCode>0.000_);[Red]\(0.000\)</c:formatCode>
                <c:ptCount val="1"/>
                <c:pt idx="0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94-4ADB-A21D-962AE4425537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출하데이터_data!$AQ$48:$AQ$52</c:f>
              <c:numCache>
                <c:formatCode>0.000_);[Red]\(0.000\)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0.18</c:v>
                </c:pt>
                <c:pt idx="3">
                  <c:v>0.18</c:v>
                </c:pt>
                <c:pt idx="4">
                  <c:v>0.12</c:v>
                </c:pt>
              </c:numCache>
            </c:numRef>
          </c:xVal>
          <c:yVal>
            <c:numRef>
              <c:f>출하데이터_data!$AR$48:$AR$52</c:f>
              <c:numCache>
                <c:formatCode>0.000_);[Red]\(0.000\)</c:formatCode>
                <c:ptCount val="5"/>
                <c:pt idx="0">
                  <c:v>0.03</c:v>
                </c:pt>
                <c:pt idx="1">
                  <c:v>0.09</c:v>
                </c:pt>
                <c:pt idx="2">
                  <c:v>0.09</c:v>
                </c:pt>
                <c:pt idx="3">
                  <c:v>0.03</c:v>
                </c:pt>
                <c:pt idx="4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94-4ADB-A21D-962AE4425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60864"/>
        <c:axId val="679361256"/>
      </c:scatterChart>
      <c:valAx>
        <c:axId val="679360864"/>
        <c:scaling>
          <c:orientation val="minMax"/>
          <c:min val="0.115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1256"/>
        <c:crosses val="autoZero"/>
        <c:crossBetween val="midCat"/>
        <c:majorUnit val="5.000000000000001E-3"/>
      </c:valAx>
      <c:valAx>
        <c:axId val="679361256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0864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휘도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출하데이터_data!$O$20:$O$96</c:f>
              <c:numCache>
                <c:formatCode>0.0000_);[Red]\(0.0000\)</c:formatCode>
                <c:ptCount val="7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D-4DE1-A3B2-D91183338E56}"/>
            </c:ext>
          </c:extLst>
        </c:ser>
        <c:ser>
          <c:idx val="1"/>
          <c:order val="1"/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출하데이터_data!$AZ$20:$AZ$96</c:f>
              <c:numCache>
                <c:formatCode>0.0_);[Red]\(0.0\)</c:formatCode>
                <c:ptCount val="77"/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D-4DE1-A3B2-D91183338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ax val="11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  <c:majorUnit val="50"/>
        <c:min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CR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출하데이터_data!$Q$20:$Q$96</c:f>
              <c:numCache>
                <c:formatCode>0_);[Red]\(0\)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7-4B2E-9C9E-8D4EF843869E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출하데이터_data!$Q$20:$Q$96</c:f>
              <c:numCache>
                <c:formatCode>0_);[Red]\(0\)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7-4B2E-9C9E-8D4EF843869E}"/>
            </c:ext>
          </c:extLst>
        </c:ser>
        <c:ser>
          <c:idx val="2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출하데이터_data!$BA$20:$BA$96</c:f>
              <c:numCache>
                <c:formatCode>0.0_);[Red]\(0.0\)</c:formatCode>
                <c:ptCount val="77"/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57-4B2E-9C9E-8D4EF843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색재현율</a:t>
            </a:r>
            <a:r>
              <a:rPr lang="en-US" altLang="ko-KR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</a:t>
            </a:r>
            <a:r>
              <a:rPr lang="ko-KR" altLang="en-US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측정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출하데이터_data!$B$20:$B$329</c:f>
              <c:strCache>
                <c:ptCount val="310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  <c:pt idx="206">
                  <c:v>#207</c:v>
                </c:pt>
                <c:pt idx="207">
                  <c:v>#208</c:v>
                </c:pt>
                <c:pt idx="208">
                  <c:v>#209</c:v>
                </c:pt>
                <c:pt idx="209">
                  <c:v>#210</c:v>
                </c:pt>
                <c:pt idx="210">
                  <c:v>#211</c:v>
                </c:pt>
                <c:pt idx="211">
                  <c:v>#212</c:v>
                </c:pt>
                <c:pt idx="212">
                  <c:v>#213</c:v>
                </c:pt>
                <c:pt idx="213">
                  <c:v>#214</c:v>
                </c:pt>
                <c:pt idx="214">
                  <c:v>#215</c:v>
                </c:pt>
                <c:pt idx="215">
                  <c:v>#216</c:v>
                </c:pt>
                <c:pt idx="216">
                  <c:v>#217</c:v>
                </c:pt>
                <c:pt idx="217">
                  <c:v>#218</c:v>
                </c:pt>
                <c:pt idx="218">
                  <c:v>#219</c:v>
                </c:pt>
                <c:pt idx="219">
                  <c:v>#220</c:v>
                </c:pt>
                <c:pt idx="220">
                  <c:v>#221</c:v>
                </c:pt>
                <c:pt idx="221">
                  <c:v>#222</c:v>
                </c:pt>
                <c:pt idx="222">
                  <c:v>#223</c:v>
                </c:pt>
                <c:pt idx="223">
                  <c:v>#224</c:v>
                </c:pt>
                <c:pt idx="224">
                  <c:v>#225</c:v>
                </c:pt>
                <c:pt idx="225">
                  <c:v>#226</c:v>
                </c:pt>
                <c:pt idx="226">
                  <c:v>#227</c:v>
                </c:pt>
                <c:pt idx="227">
                  <c:v>#228</c:v>
                </c:pt>
                <c:pt idx="228">
                  <c:v>#229</c:v>
                </c:pt>
                <c:pt idx="229">
                  <c:v>#230</c:v>
                </c:pt>
                <c:pt idx="230">
                  <c:v>#231</c:v>
                </c:pt>
                <c:pt idx="231">
                  <c:v>#232</c:v>
                </c:pt>
                <c:pt idx="232">
                  <c:v>#233</c:v>
                </c:pt>
                <c:pt idx="233">
                  <c:v>#234</c:v>
                </c:pt>
                <c:pt idx="234">
                  <c:v>#235</c:v>
                </c:pt>
                <c:pt idx="235">
                  <c:v>#236</c:v>
                </c:pt>
                <c:pt idx="236">
                  <c:v>#237</c:v>
                </c:pt>
                <c:pt idx="237">
                  <c:v>#238</c:v>
                </c:pt>
                <c:pt idx="238">
                  <c:v>#239</c:v>
                </c:pt>
                <c:pt idx="239">
                  <c:v>#240</c:v>
                </c:pt>
                <c:pt idx="240">
                  <c:v>#241</c:v>
                </c:pt>
                <c:pt idx="241">
                  <c:v>#242</c:v>
                </c:pt>
                <c:pt idx="242">
                  <c:v>#243</c:v>
                </c:pt>
                <c:pt idx="243">
                  <c:v>#244</c:v>
                </c:pt>
                <c:pt idx="244">
                  <c:v>#245</c:v>
                </c:pt>
                <c:pt idx="245">
                  <c:v>#246</c:v>
                </c:pt>
                <c:pt idx="246">
                  <c:v>#247</c:v>
                </c:pt>
                <c:pt idx="247">
                  <c:v>#248</c:v>
                </c:pt>
                <c:pt idx="248">
                  <c:v>#249</c:v>
                </c:pt>
                <c:pt idx="249">
                  <c:v>#250</c:v>
                </c:pt>
                <c:pt idx="250">
                  <c:v>#251</c:v>
                </c:pt>
                <c:pt idx="251">
                  <c:v>#252</c:v>
                </c:pt>
                <c:pt idx="252">
                  <c:v>#253</c:v>
                </c:pt>
                <c:pt idx="253">
                  <c:v>#254</c:v>
                </c:pt>
                <c:pt idx="254">
                  <c:v>#255</c:v>
                </c:pt>
                <c:pt idx="255">
                  <c:v>#256</c:v>
                </c:pt>
                <c:pt idx="256">
                  <c:v>#257</c:v>
                </c:pt>
                <c:pt idx="257">
                  <c:v>#258</c:v>
                </c:pt>
                <c:pt idx="258">
                  <c:v>#259</c:v>
                </c:pt>
                <c:pt idx="259">
                  <c:v>#260</c:v>
                </c:pt>
                <c:pt idx="260">
                  <c:v>#261</c:v>
                </c:pt>
                <c:pt idx="261">
                  <c:v>#262</c:v>
                </c:pt>
                <c:pt idx="262">
                  <c:v>#263</c:v>
                </c:pt>
                <c:pt idx="263">
                  <c:v>#264</c:v>
                </c:pt>
                <c:pt idx="264">
                  <c:v>#265</c:v>
                </c:pt>
                <c:pt idx="265">
                  <c:v>#266</c:v>
                </c:pt>
                <c:pt idx="266">
                  <c:v>#267</c:v>
                </c:pt>
                <c:pt idx="267">
                  <c:v>#268</c:v>
                </c:pt>
                <c:pt idx="268">
                  <c:v>#269</c:v>
                </c:pt>
                <c:pt idx="269">
                  <c:v>#270</c:v>
                </c:pt>
                <c:pt idx="270">
                  <c:v>#271</c:v>
                </c:pt>
                <c:pt idx="271">
                  <c:v>#272</c:v>
                </c:pt>
                <c:pt idx="272">
                  <c:v>#273</c:v>
                </c:pt>
                <c:pt idx="273">
                  <c:v>#274</c:v>
                </c:pt>
                <c:pt idx="274">
                  <c:v>#275</c:v>
                </c:pt>
                <c:pt idx="275">
                  <c:v>#276</c:v>
                </c:pt>
                <c:pt idx="276">
                  <c:v>#277</c:v>
                </c:pt>
                <c:pt idx="277">
                  <c:v>#278</c:v>
                </c:pt>
                <c:pt idx="278">
                  <c:v>#279</c:v>
                </c:pt>
                <c:pt idx="279">
                  <c:v>#280</c:v>
                </c:pt>
                <c:pt idx="280">
                  <c:v>#281</c:v>
                </c:pt>
                <c:pt idx="281">
                  <c:v>#282</c:v>
                </c:pt>
                <c:pt idx="282">
                  <c:v>#283</c:v>
                </c:pt>
                <c:pt idx="283">
                  <c:v>#284</c:v>
                </c:pt>
                <c:pt idx="284">
                  <c:v>#285</c:v>
                </c:pt>
                <c:pt idx="285">
                  <c:v>#286</c:v>
                </c:pt>
                <c:pt idx="286">
                  <c:v>#287</c:v>
                </c:pt>
                <c:pt idx="287">
                  <c:v>#288</c:v>
                </c:pt>
                <c:pt idx="288">
                  <c:v>#289</c:v>
                </c:pt>
                <c:pt idx="289">
                  <c:v>#290</c:v>
                </c:pt>
                <c:pt idx="290">
                  <c:v>#291</c:v>
                </c:pt>
                <c:pt idx="291">
                  <c:v>#292</c:v>
                </c:pt>
                <c:pt idx="292">
                  <c:v>#293</c:v>
                </c:pt>
                <c:pt idx="293">
                  <c:v>#294</c:v>
                </c:pt>
                <c:pt idx="294">
                  <c:v>#295</c:v>
                </c:pt>
                <c:pt idx="295">
                  <c:v>#296</c:v>
                </c:pt>
                <c:pt idx="296">
                  <c:v>#297</c:v>
                </c:pt>
                <c:pt idx="297">
                  <c:v>#298</c:v>
                </c:pt>
                <c:pt idx="298">
                  <c:v>#299</c:v>
                </c:pt>
                <c:pt idx="299">
                  <c:v>#300</c:v>
                </c:pt>
                <c:pt idx="300">
                  <c:v>#301</c:v>
                </c:pt>
                <c:pt idx="301">
                  <c:v>#302</c:v>
                </c:pt>
                <c:pt idx="302">
                  <c:v>#303</c:v>
                </c:pt>
                <c:pt idx="303">
                  <c:v>#304</c:v>
                </c:pt>
                <c:pt idx="304">
                  <c:v>#305</c:v>
                </c:pt>
                <c:pt idx="305">
                  <c:v>#306</c:v>
                </c:pt>
                <c:pt idx="306">
                  <c:v>#307</c:v>
                </c:pt>
                <c:pt idx="307">
                  <c:v>#308</c:v>
                </c:pt>
                <c:pt idx="308">
                  <c:v>#309</c:v>
                </c:pt>
                <c:pt idx="309">
                  <c:v>#310</c:v>
                </c:pt>
              </c:strCache>
            </c:strRef>
          </c:cat>
          <c:val>
            <c:numRef>
              <c:f>출하데이터_data!$L$20:$L$96</c:f>
              <c:numCache>
                <c:formatCode>0.0_ 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5-4A78-BD00-32815C461C3D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출하데이터_data!$B$20:$B$329</c:f>
              <c:strCache>
                <c:ptCount val="310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  <c:pt idx="206">
                  <c:v>#207</c:v>
                </c:pt>
                <c:pt idx="207">
                  <c:v>#208</c:v>
                </c:pt>
                <c:pt idx="208">
                  <c:v>#209</c:v>
                </c:pt>
                <c:pt idx="209">
                  <c:v>#210</c:v>
                </c:pt>
                <c:pt idx="210">
                  <c:v>#211</c:v>
                </c:pt>
                <c:pt idx="211">
                  <c:v>#212</c:v>
                </c:pt>
                <c:pt idx="212">
                  <c:v>#213</c:v>
                </c:pt>
                <c:pt idx="213">
                  <c:v>#214</c:v>
                </c:pt>
                <c:pt idx="214">
                  <c:v>#215</c:v>
                </c:pt>
                <c:pt idx="215">
                  <c:v>#216</c:v>
                </c:pt>
                <c:pt idx="216">
                  <c:v>#217</c:v>
                </c:pt>
                <c:pt idx="217">
                  <c:v>#218</c:v>
                </c:pt>
                <c:pt idx="218">
                  <c:v>#219</c:v>
                </c:pt>
                <c:pt idx="219">
                  <c:v>#220</c:v>
                </c:pt>
                <c:pt idx="220">
                  <c:v>#221</c:v>
                </c:pt>
                <c:pt idx="221">
                  <c:v>#222</c:v>
                </c:pt>
                <c:pt idx="222">
                  <c:v>#223</c:v>
                </c:pt>
                <c:pt idx="223">
                  <c:v>#224</c:v>
                </c:pt>
                <c:pt idx="224">
                  <c:v>#225</c:v>
                </c:pt>
                <c:pt idx="225">
                  <c:v>#226</c:v>
                </c:pt>
                <c:pt idx="226">
                  <c:v>#227</c:v>
                </c:pt>
                <c:pt idx="227">
                  <c:v>#228</c:v>
                </c:pt>
                <c:pt idx="228">
                  <c:v>#229</c:v>
                </c:pt>
                <c:pt idx="229">
                  <c:v>#230</c:v>
                </c:pt>
                <c:pt idx="230">
                  <c:v>#231</c:v>
                </c:pt>
                <c:pt idx="231">
                  <c:v>#232</c:v>
                </c:pt>
                <c:pt idx="232">
                  <c:v>#233</c:v>
                </c:pt>
                <c:pt idx="233">
                  <c:v>#234</c:v>
                </c:pt>
                <c:pt idx="234">
                  <c:v>#235</c:v>
                </c:pt>
                <c:pt idx="235">
                  <c:v>#236</c:v>
                </c:pt>
                <c:pt idx="236">
                  <c:v>#237</c:v>
                </c:pt>
                <c:pt idx="237">
                  <c:v>#238</c:v>
                </c:pt>
                <c:pt idx="238">
                  <c:v>#239</c:v>
                </c:pt>
                <c:pt idx="239">
                  <c:v>#240</c:v>
                </c:pt>
                <c:pt idx="240">
                  <c:v>#241</c:v>
                </c:pt>
                <c:pt idx="241">
                  <c:v>#242</c:v>
                </c:pt>
                <c:pt idx="242">
                  <c:v>#243</c:v>
                </c:pt>
                <c:pt idx="243">
                  <c:v>#244</c:v>
                </c:pt>
                <c:pt idx="244">
                  <c:v>#245</c:v>
                </c:pt>
                <c:pt idx="245">
                  <c:v>#246</c:v>
                </c:pt>
                <c:pt idx="246">
                  <c:v>#247</c:v>
                </c:pt>
                <c:pt idx="247">
                  <c:v>#248</c:v>
                </c:pt>
                <c:pt idx="248">
                  <c:v>#249</c:v>
                </c:pt>
                <c:pt idx="249">
                  <c:v>#250</c:v>
                </c:pt>
                <c:pt idx="250">
                  <c:v>#251</c:v>
                </c:pt>
                <c:pt idx="251">
                  <c:v>#252</c:v>
                </c:pt>
                <c:pt idx="252">
                  <c:v>#253</c:v>
                </c:pt>
                <c:pt idx="253">
                  <c:v>#254</c:v>
                </c:pt>
                <c:pt idx="254">
                  <c:v>#255</c:v>
                </c:pt>
                <c:pt idx="255">
                  <c:v>#256</c:v>
                </c:pt>
                <c:pt idx="256">
                  <c:v>#257</c:v>
                </c:pt>
                <c:pt idx="257">
                  <c:v>#258</c:v>
                </c:pt>
                <c:pt idx="258">
                  <c:v>#259</c:v>
                </c:pt>
                <c:pt idx="259">
                  <c:v>#260</c:v>
                </c:pt>
                <c:pt idx="260">
                  <c:v>#261</c:v>
                </c:pt>
                <c:pt idx="261">
                  <c:v>#262</c:v>
                </c:pt>
                <c:pt idx="262">
                  <c:v>#263</c:v>
                </c:pt>
                <c:pt idx="263">
                  <c:v>#264</c:v>
                </c:pt>
                <c:pt idx="264">
                  <c:v>#265</c:v>
                </c:pt>
                <c:pt idx="265">
                  <c:v>#266</c:v>
                </c:pt>
                <c:pt idx="266">
                  <c:v>#267</c:v>
                </c:pt>
                <c:pt idx="267">
                  <c:v>#268</c:v>
                </c:pt>
                <c:pt idx="268">
                  <c:v>#269</c:v>
                </c:pt>
                <c:pt idx="269">
                  <c:v>#270</c:v>
                </c:pt>
                <c:pt idx="270">
                  <c:v>#271</c:v>
                </c:pt>
                <c:pt idx="271">
                  <c:v>#272</c:v>
                </c:pt>
                <c:pt idx="272">
                  <c:v>#273</c:v>
                </c:pt>
                <c:pt idx="273">
                  <c:v>#274</c:v>
                </c:pt>
                <c:pt idx="274">
                  <c:v>#275</c:v>
                </c:pt>
                <c:pt idx="275">
                  <c:v>#276</c:v>
                </c:pt>
                <c:pt idx="276">
                  <c:v>#277</c:v>
                </c:pt>
                <c:pt idx="277">
                  <c:v>#278</c:v>
                </c:pt>
                <c:pt idx="278">
                  <c:v>#279</c:v>
                </c:pt>
                <c:pt idx="279">
                  <c:v>#280</c:v>
                </c:pt>
                <c:pt idx="280">
                  <c:v>#281</c:v>
                </c:pt>
                <c:pt idx="281">
                  <c:v>#282</c:v>
                </c:pt>
                <c:pt idx="282">
                  <c:v>#283</c:v>
                </c:pt>
                <c:pt idx="283">
                  <c:v>#284</c:v>
                </c:pt>
                <c:pt idx="284">
                  <c:v>#285</c:v>
                </c:pt>
                <c:pt idx="285">
                  <c:v>#286</c:v>
                </c:pt>
                <c:pt idx="286">
                  <c:v>#287</c:v>
                </c:pt>
                <c:pt idx="287">
                  <c:v>#288</c:v>
                </c:pt>
                <c:pt idx="288">
                  <c:v>#289</c:v>
                </c:pt>
                <c:pt idx="289">
                  <c:v>#290</c:v>
                </c:pt>
                <c:pt idx="290">
                  <c:v>#291</c:v>
                </c:pt>
                <c:pt idx="291">
                  <c:v>#292</c:v>
                </c:pt>
                <c:pt idx="292">
                  <c:v>#293</c:v>
                </c:pt>
                <c:pt idx="293">
                  <c:v>#294</c:v>
                </c:pt>
                <c:pt idx="294">
                  <c:v>#295</c:v>
                </c:pt>
                <c:pt idx="295">
                  <c:v>#296</c:v>
                </c:pt>
                <c:pt idx="296">
                  <c:v>#297</c:v>
                </c:pt>
                <c:pt idx="297">
                  <c:v>#298</c:v>
                </c:pt>
                <c:pt idx="298">
                  <c:v>#299</c:v>
                </c:pt>
                <c:pt idx="299">
                  <c:v>#300</c:v>
                </c:pt>
                <c:pt idx="300">
                  <c:v>#301</c:v>
                </c:pt>
                <c:pt idx="301">
                  <c:v>#302</c:v>
                </c:pt>
                <c:pt idx="302">
                  <c:v>#303</c:v>
                </c:pt>
                <c:pt idx="303">
                  <c:v>#304</c:v>
                </c:pt>
                <c:pt idx="304">
                  <c:v>#305</c:v>
                </c:pt>
                <c:pt idx="305">
                  <c:v>#306</c:v>
                </c:pt>
                <c:pt idx="306">
                  <c:v>#307</c:v>
                </c:pt>
                <c:pt idx="307">
                  <c:v>#308</c:v>
                </c:pt>
                <c:pt idx="308">
                  <c:v>#309</c:v>
                </c:pt>
                <c:pt idx="309">
                  <c:v>#310</c:v>
                </c:pt>
              </c:strCache>
            </c:strRef>
          </c:cat>
          <c:val>
            <c:numRef>
              <c:f>출하데이터_data!$L$20:$L$96</c:f>
              <c:numCache>
                <c:formatCode>0.0_ 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5-4A78-BD00-32815C461C3D}"/>
            </c:ext>
          </c:extLst>
        </c:ser>
        <c:ser>
          <c:idx val="4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출하데이터_data!$AY$20:$AY$96</c:f>
              <c:numCache>
                <c:formatCode>0.0_);[Red]\(0.0\)</c:formatCode>
                <c:ptCount val="77"/>
                <c:pt idx="3">
                  <c:v>70.8</c:v>
                </c:pt>
                <c:pt idx="4">
                  <c:v>70.8</c:v>
                </c:pt>
                <c:pt idx="5">
                  <c:v>70.8</c:v>
                </c:pt>
                <c:pt idx="6">
                  <c:v>70.8</c:v>
                </c:pt>
                <c:pt idx="7">
                  <c:v>70.8</c:v>
                </c:pt>
                <c:pt idx="8">
                  <c:v>70.8</c:v>
                </c:pt>
                <c:pt idx="9">
                  <c:v>70.8</c:v>
                </c:pt>
                <c:pt idx="10">
                  <c:v>70.8</c:v>
                </c:pt>
                <c:pt idx="11">
                  <c:v>70.8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70.8</c:v>
                </c:pt>
                <c:pt idx="17">
                  <c:v>70.8</c:v>
                </c:pt>
                <c:pt idx="18">
                  <c:v>70.8</c:v>
                </c:pt>
                <c:pt idx="19">
                  <c:v>70.8</c:v>
                </c:pt>
                <c:pt idx="20">
                  <c:v>70.8</c:v>
                </c:pt>
                <c:pt idx="21">
                  <c:v>70.8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70.8</c:v>
                </c:pt>
                <c:pt idx="26">
                  <c:v>70.8</c:v>
                </c:pt>
                <c:pt idx="27">
                  <c:v>70.8</c:v>
                </c:pt>
                <c:pt idx="28">
                  <c:v>70.8</c:v>
                </c:pt>
                <c:pt idx="29">
                  <c:v>70.8</c:v>
                </c:pt>
                <c:pt idx="30">
                  <c:v>70.8</c:v>
                </c:pt>
                <c:pt idx="31">
                  <c:v>70.8</c:v>
                </c:pt>
                <c:pt idx="32">
                  <c:v>70.8</c:v>
                </c:pt>
                <c:pt idx="33">
                  <c:v>70.8</c:v>
                </c:pt>
                <c:pt idx="34">
                  <c:v>70.8</c:v>
                </c:pt>
                <c:pt idx="35">
                  <c:v>70.8</c:v>
                </c:pt>
                <c:pt idx="36">
                  <c:v>70.8</c:v>
                </c:pt>
                <c:pt idx="37">
                  <c:v>70.8</c:v>
                </c:pt>
                <c:pt idx="38">
                  <c:v>70.8</c:v>
                </c:pt>
                <c:pt idx="39">
                  <c:v>70.8</c:v>
                </c:pt>
                <c:pt idx="40">
                  <c:v>70.8</c:v>
                </c:pt>
                <c:pt idx="41">
                  <c:v>70.8</c:v>
                </c:pt>
                <c:pt idx="42">
                  <c:v>70.8</c:v>
                </c:pt>
                <c:pt idx="43">
                  <c:v>70.8</c:v>
                </c:pt>
                <c:pt idx="44">
                  <c:v>70.8</c:v>
                </c:pt>
                <c:pt idx="45">
                  <c:v>70.8</c:v>
                </c:pt>
                <c:pt idx="46">
                  <c:v>70.8</c:v>
                </c:pt>
                <c:pt idx="47">
                  <c:v>70.8</c:v>
                </c:pt>
                <c:pt idx="48">
                  <c:v>70.8</c:v>
                </c:pt>
                <c:pt idx="49">
                  <c:v>70.8</c:v>
                </c:pt>
                <c:pt idx="50">
                  <c:v>70.8</c:v>
                </c:pt>
                <c:pt idx="51">
                  <c:v>70.8</c:v>
                </c:pt>
                <c:pt idx="52">
                  <c:v>70.8</c:v>
                </c:pt>
                <c:pt idx="53">
                  <c:v>70.8</c:v>
                </c:pt>
                <c:pt idx="54">
                  <c:v>70.8</c:v>
                </c:pt>
                <c:pt idx="55">
                  <c:v>70.8</c:v>
                </c:pt>
                <c:pt idx="56">
                  <c:v>70.8</c:v>
                </c:pt>
                <c:pt idx="57">
                  <c:v>70.8</c:v>
                </c:pt>
                <c:pt idx="58">
                  <c:v>70.8</c:v>
                </c:pt>
                <c:pt idx="59">
                  <c:v>70.8</c:v>
                </c:pt>
                <c:pt idx="60">
                  <c:v>70.8</c:v>
                </c:pt>
                <c:pt idx="61">
                  <c:v>70.8</c:v>
                </c:pt>
                <c:pt idx="62">
                  <c:v>70.8</c:v>
                </c:pt>
                <c:pt idx="63">
                  <c:v>70.8</c:v>
                </c:pt>
                <c:pt idx="64">
                  <c:v>70.8</c:v>
                </c:pt>
                <c:pt idx="65">
                  <c:v>70.8</c:v>
                </c:pt>
                <c:pt idx="66">
                  <c:v>70.8</c:v>
                </c:pt>
                <c:pt idx="67">
                  <c:v>70.8</c:v>
                </c:pt>
                <c:pt idx="68">
                  <c:v>70.8</c:v>
                </c:pt>
                <c:pt idx="69">
                  <c:v>70.8</c:v>
                </c:pt>
                <c:pt idx="70">
                  <c:v>70.8</c:v>
                </c:pt>
                <c:pt idx="71">
                  <c:v>70.8</c:v>
                </c:pt>
                <c:pt idx="72">
                  <c:v>70.8</c:v>
                </c:pt>
                <c:pt idx="73">
                  <c:v>70.8</c:v>
                </c:pt>
                <c:pt idx="74">
                  <c:v>70.8</c:v>
                </c:pt>
                <c:pt idx="75">
                  <c:v>70.8</c:v>
                </c:pt>
                <c:pt idx="76">
                  <c:v>70.8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5-4A78-BD00-32815C461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GCS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276-40E1-9B34-18EDF92FE589}"/>
              </c:ext>
            </c:extLst>
          </c:dPt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출하데이터_data!$R$20:$R$96</c:f>
              <c:numCache>
                <c:formatCode>0.0000_);[Red]\(0.0000\)</c:formatCode>
                <c:ptCount val="77"/>
                <c:pt idx="0">
                  <c:v>0.43387671059875982</c:v>
                </c:pt>
                <c:pt idx="1">
                  <c:v>0.43387671059875982</c:v>
                </c:pt>
                <c:pt idx="2">
                  <c:v>0.43387671059875982</c:v>
                </c:pt>
                <c:pt idx="3">
                  <c:v>0.43387671059875982</c:v>
                </c:pt>
                <c:pt idx="4">
                  <c:v>0.43387671059875982</c:v>
                </c:pt>
                <c:pt idx="5">
                  <c:v>0.43387671059875982</c:v>
                </c:pt>
                <c:pt idx="6">
                  <c:v>0.43387671059875982</c:v>
                </c:pt>
                <c:pt idx="7">
                  <c:v>0.43387671059875982</c:v>
                </c:pt>
                <c:pt idx="8">
                  <c:v>0.43387671059875982</c:v>
                </c:pt>
                <c:pt idx="9">
                  <c:v>0.43387671059875982</c:v>
                </c:pt>
                <c:pt idx="10">
                  <c:v>0.43387671059875982</c:v>
                </c:pt>
                <c:pt idx="11">
                  <c:v>0.43387671059875982</c:v>
                </c:pt>
                <c:pt idx="12">
                  <c:v>0.43387671059875982</c:v>
                </c:pt>
                <c:pt idx="13">
                  <c:v>0.43387671059875982</c:v>
                </c:pt>
                <c:pt idx="14">
                  <c:v>0.43387671059875982</c:v>
                </c:pt>
                <c:pt idx="15">
                  <c:v>0.43387671059875982</c:v>
                </c:pt>
                <c:pt idx="16">
                  <c:v>0.43387671059875982</c:v>
                </c:pt>
                <c:pt idx="17">
                  <c:v>0.43387671059875982</c:v>
                </c:pt>
                <c:pt idx="18">
                  <c:v>0.43387671059875982</c:v>
                </c:pt>
                <c:pt idx="19">
                  <c:v>0.43387671059875982</c:v>
                </c:pt>
                <c:pt idx="20">
                  <c:v>0.43387671059875982</c:v>
                </c:pt>
                <c:pt idx="21">
                  <c:v>0.43387671059875982</c:v>
                </c:pt>
                <c:pt idx="22">
                  <c:v>0.43387671059875982</c:v>
                </c:pt>
                <c:pt idx="23">
                  <c:v>0.43387671059875982</c:v>
                </c:pt>
                <c:pt idx="24">
                  <c:v>0.43387671059875982</c:v>
                </c:pt>
                <c:pt idx="25">
                  <c:v>0.43387671059875982</c:v>
                </c:pt>
                <c:pt idx="26">
                  <c:v>0.43387671059875982</c:v>
                </c:pt>
                <c:pt idx="27">
                  <c:v>0.43387671059875982</c:v>
                </c:pt>
                <c:pt idx="28">
                  <c:v>0.43387671059875982</c:v>
                </c:pt>
                <c:pt idx="29">
                  <c:v>0.43387671059875982</c:v>
                </c:pt>
                <c:pt idx="30">
                  <c:v>0.43387671059875982</c:v>
                </c:pt>
                <c:pt idx="31">
                  <c:v>0.43387671059875982</c:v>
                </c:pt>
                <c:pt idx="32">
                  <c:v>0.43387671059875982</c:v>
                </c:pt>
                <c:pt idx="33">
                  <c:v>0.43387671059875982</c:v>
                </c:pt>
                <c:pt idx="34">
                  <c:v>0.43387671059875982</c:v>
                </c:pt>
                <c:pt idx="35">
                  <c:v>0.43387671059875982</c:v>
                </c:pt>
                <c:pt idx="36">
                  <c:v>0.43387671059875982</c:v>
                </c:pt>
                <c:pt idx="37">
                  <c:v>0.43387671059875982</c:v>
                </c:pt>
                <c:pt idx="38">
                  <c:v>0.43387671059875982</c:v>
                </c:pt>
                <c:pt idx="39">
                  <c:v>0.43387671059875982</c:v>
                </c:pt>
                <c:pt idx="40">
                  <c:v>0.43387671059875982</c:v>
                </c:pt>
                <c:pt idx="41">
                  <c:v>0.43387671059875982</c:v>
                </c:pt>
                <c:pt idx="42">
                  <c:v>0.43387671059875982</c:v>
                </c:pt>
                <c:pt idx="43">
                  <c:v>0.43387671059875982</c:v>
                </c:pt>
                <c:pt idx="44">
                  <c:v>0.43387671059875982</c:v>
                </c:pt>
                <c:pt idx="45">
                  <c:v>0.43387671059875982</c:v>
                </c:pt>
                <c:pt idx="46">
                  <c:v>0.43387671059875982</c:v>
                </c:pt>
                <c:pt idx="47">
                  <c:v>0.43387671059875982</c:v>
                </c:pt>
                <c:pt idx="48">
                  <c:v>0.43387671059875982</c:v>
                </c:pt>
                <c:pt idx="49">
                  <c:v>0.43387671059875982</c:v>
                </c:pt>
                <c:pt idx="50">
                  <c:v>0.43387671059875982</c:v>
                </c:pt>
                <c:pt idx="51">
                  <c:v>0.43387671059875982</c:v>
                </c:pt>
                <c:pt idx="52">
                  <c:v>0.43387671059875982</c:v>
                </c:pt>
                <c:pt idx="53">
                  <c:v>0.43387671059875982</c:v>
                </c:pt>
                <c:pt idx="54">
                  <c:v>0.43387671059875982</c:v>
                </c:pt>
                <c:pt idx="55">
                  <c:v>0.43387671059875982</c:v>
                </c:pt>
                <c:pt idx="56">
                  <c:v>0.43387671059875982</c:v>
                </c:pt>
                <c:pt idx="57">
                  <c:v>0.43387671059875982</c:v>
                </c:pt>
                <c:pt idx="58">
                  <c:v>0.43387671059875982</c:v>
                </c:pt>
                <c:pt idx="59">
                  <c:v>0.43387671059875982</c:v>
                </c:pt>
                <c:pt idx="60">
                  <c:v>0.43387671059875982</c:v>
                </c:pt>
                <c:pt idx="61">
                  <c:v>0.43387671059875982</c:v>
                </c:pt>
                <c:pt idx="62">
                  <c:v>0.43387671059875982</c:v>
                </c:pt>
                <c:pt idx="63">
                  <c:v>0.43387671059875982</c:v>
                </c:pt>
                <c:pt idx="64">
                  <c:v>0.43387671059875982</c:v>
                </c:pt>
                <c:pt idx="65">
                  <c:v>0.43387671059875982</c:v>
                </c:pt>
                <c:pt idx="66">
                  <c:v>0.43387671059875982</c:v>
                </c:pt>
                <c:pt idx="67">
                  <c:v>0.43387671059875982</c:v>
                </c:pt>
                <c:pt idx="68">
                  <c:v>0.43387671059875982</c:v>
                </c:pt>
                <c:pt idx="69">
                  <c:v>0.43387671059875982</c:v>
                </c:pt>
                <c:pt idx="70">
                  <c:v>0.43387671059875982</c:v>
                </c:pt>
                <c:pt idx="71">
                  <c:v>0.43387671059875982</c:v>
                </c:pt>
                <c:pt idx="72">
                  <c:v>0.43387671059875982</c:v>
                </c:pt>
                <c:pt idx="73">
                  <c:v>0.43387671059875982</c:v>
                </c:pt>
                <c:pt idx="74">
                  <c:v>0.43387671059875982</c:v>
                </c:pt>
                <c:pt idx="75">
                  <c:v>0.43387671059875982</c:v>
                </c:pt>
                <c:pt idx="76">
                  <c:v>0.43387671059875982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6-40E1-9B34-18EDF92FE589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출하데이터_data!$B$20:$B$96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출하데이터_data!$BB$20:$BB$96</c:f>
              <c:numCache>
                <c:formatCode>0.000_);[Red]\(0.000\)</c:formatCode>
                <c:ptCount val="77"/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5.0000000000000001E-3</c:v>
                </c:pt>
                <c:pt idx="75">
                  <c:v>5.0000000000000001E-3</c:v>
                </c:pt>
                <c:pt idx="7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6-40E1-9B34-18EDF92F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699887"/>
        <c:axId val="1378698927"/>
      </c:lineChart>
      <c:catAx>
        <c:axId val="13786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8927"/>
        <c:crosses val="autoZero"/>
        <c:auto val="1"/>
        <c:lblAlgn val="ctr"/>
        <c:lblOffset val="100"/>
        <c:noMultiLvlLbl val="0"/>
      </c:catAx>
      <c:valAx>
        <c:axId val="13786989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White </a:t>
            </a:r>
            <a:r>
              <a:rPr lang="ko-KR" altLang="en-US"/>
              <a:t>색좌표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1571881330388631E-2"/>
          <c:y val="8.1482053375550728E-2"/>
          <c:w val="0.93281620324413483"/>
          <c:h val="0.88497729470358744"/>
        </c:manualLayout>
      </c:layout>
      <c:scatterChart>
        <c:scatterStyle val="lineMarker"/>
        <c:varyColors val="0"/>
        <c:ser>
          <c:idx val="0"/>
          <c:order val="0"/>
          <c:tx>
            <c:v>spec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[1]EVENT_YYMMDD_Optical!$AV$21:$AV$381</c:f>
              <c:numCache>
                <c:formatCode>General</c:formatCode>
                <c:ptCount val="361"/>
                <c:pt idx="0">
                  <c:v>0.29799999999999999</c:v>
                </c:pt>
                <c:pt idx="1">
                  <c:v>0.29799923847578191</c:v>
                </c:pt>
                <c:pt idx="2">
                  <c:v>0.29799695413509547</c:v>
                </c:pt>
                <c:pt idx="3">
                  <c:v>0.29799314767377283</c:v>
                </c:pt>
                <c:pt idx="4">
                  <c:v>0.29798782025129911</c:v>
                </c:pt>
                <c:pt idx="5">
                  <c:v>0.29798097349045871</c:v>
                </c:pt>
                <c:pt idx="6">
                  <c:v>0.29797260947684134</c:v>
                </c:pt>
                <c:pt idx="7">
                  <c:v>0.29796273075820662</c:v>
                </c:pt>
                <c:pt idx="8">
                  <c:v>0.29795134034370785</c:v>
                </c:pt>
                <c:pt idx="9">
                  <c:v>0.29793844170297568</c:v>
                </c:pt>
                <c:pt idx="10">
                  <c:v>0.29792403876506102</c:v>
                </c:pt>
                <c:pt idx="11">
                  <c:v>0.2979081359172383</c:v>
                </c:pt>
                <c:pt idx="12">
                  <c:v>0.297890738003669</c:v>
                </c:pt>
                <c:pt idx="13">
                  <c:v>0.29787185032392616</c:v>
                </c:pt>
                <c:pt idx="14">
                  <c:v>0.29785147863137995</c:v>
                </c:pt>
                <c:pt idx="15">
                  <c:v>0.29782962913144534</c:v>
                </c:pt>
                <c:pt idx="16">
                  <c:v>0.29780630847969158</c:v>
                </c:pt>
                <c:pt idx="17">
                  <c:v>0.29778152377981515</c:v>
                </c:pt>
                <c:pt idx="18">
                  <c:v>0.29775528258147577</c:v>
                </c:pt>
                <c:pt idx="19">
                  <c:v>0.29772759287799655</c:v>
                </c:pt>
                <c:pt idx="20">
                  <c:v>0.2976984631039295</c:v>
                </c:pt>
                <c:pt idx="21">
                  <c:v>0.29766790213248601</c:v>
                </c:pt>
                <c:pt idx="22">
                  <c:v>0.29763591927283389</c:v>
                </c:pt>
                <c:pt idx="23">
                  <c:v>0.29760252426726219</c:v>
                </c:pt>
                <c:pt idx="24">
                  <c:v>0.29756772728821301</c:v>
                </c:pt>
                <c:pt idx="25">
                  <c:v>0.29753153893518325</c:v>
                </c:pt>
                <c:pt idx="26">
                  <c:v>0.29749397023149582</c:v>
                </c:pt>
                <c:pt idx="27">
                  <c:v>0.29745503262094181</c:v>
                </c:pt>
                <c:pt idx="28">
                  <c:v>0.29741473796429463</c:v>
                </c:pt>
                <c:pt idx="29">
                  <c:v>0.29737309853569693</c:v>
                </c:pt>
                <c:pt idx="30">
                  <c:v>0.2973301270189222</c:v>
                </c:pt>
                <c:pt idx="31">
                  <c:v>0.29728583650351054</c:v>
                </c:pt>
                <c:pt idx="32">
                  <c:v>0.29724024048078213</c:v>
                </c:pt>
                <c:pt idx="33">
                  <c:v>0.29719335283972709</c:v>
                </c:pt>
                <c:pt idx="34">
                  <c:v>0.29714518786277522</c:v>
                </c:pt>
                <c:pt idx="35">
                  <c:v>0.29709576022144496</c:v>
                </c:pt>
                <c:pt idx="36">
                  <c:v>0.29704508497187471</c:v>
                </c:pt>
                <c:pt idx="37">
                  <c:v>0.29699317755023646</c:v>
                </c:pt>
                <c:pt idx="38">
                  <c:v>0.29694005376803362</c:v>
                </c:pt>
                <c:pt idx="39">
                  <c:v>0.29688572980728484</c:v>
                </c:pt>
                <c:pt idx="40">
                  <c:v>0.29683022221559485</c:v>
                </c:pt>
                <c:pt idx="41">
                  <c:v>0.29677354790111382</c:v>
                </c:pt>
                <c:pt idx="42">
                  <c:v>0.29671572412738695</c:v>
                </c:pt>
                <c:pt idx="43">
                  <c:v>0.29665676850809586</c:v>
                </c:pt>
                <c:pt idx="44">
                  <c:v>0.29659669900169322</c:v>
                </c:pt>
                <c:pt idx="45">
                  <c:v>0.29653553390593274</c:v>
                </c:pt>
                <c:pt idx="46">
                  <c:v>0.29647329185229498</c:v>
                </c:pt>
                <c:pt idx="47">
                  <c:v>0.29640999180031247</c:v>
                </c:pt>
                <c:pt idx="48">
                  <c:v>0.29634565303179428</c:v>
                </c:pt>
                <c:pt idx="49">
                  <c:v>0.29628029514495252</c:v>
                </c:pt>
                <c:pt idx="50">
                  <c:v>0.29621393804843266</c:v>
                </c:pt>
                <c:pt idx="51">
                  <c:v>0.29614660195524917</c:v>
                </c:pt>
                <c:pt idx="52">
                  <c:v>0.29607830737662827</c:v>
                </c:pt>
                <c:pt idx="53">
                  <c:v>0.29600907511576025</c:v>
                </c:pt>
                <c:pt idx="54">
                  <c:v>0.29593892626146234</c:v>
                </c:pt>
                <c:pt idx="55">
                  <c:v>0.29586788218175519</c:v>
                </c:pt>
                <c:pt idx="56">
                  <c:v>0.29579596451735374</c:v>
                </c:pt>
                <c:pt idx="57">
                  <c:v>0.29572319517507512</c:v>
                </c:pt>
                <c:pt idx="58">
                  <c:v>0.295649596321166</c:v>
                </c:pt>
                <c:pt idx="59">
                  <c:v>0.29557519037455027</c:v>
                </c:pt>
                <c:pt idx="60">
                  <c:v>0.29549999999999998</c:v>
                </c:pt>
                <c:pt idx="61">
                  <c:v>0.29542404810123168</c:v>
                </c:pt>
                <c:pt idx="62">
                  <c:v>0.29534735781392946</c:v>
                </c:pt>
                <c:pt idx="63">
                  <c:v>0.2952699524986977</c:v>
                </c:pt>
                <c:pt idx="64">
                  <c:v>0.29519185573394535</c:v>
                </c:pt>
                <c:pt idx="65">
                  <c:v>0.2951130913087035</c:v>
                </c:pt>
                <c:pt idx="66">
                  <c:v>0.29503368321537898</c:v>
                </c:pt>
                <c:pt idx="67">
                  <c:v>0.29495365564244636</c:v>
                </c:pt>
                <c:pt idx="68">
                  <c:v>0.29487303296707956</c:v>
                </c:pt>
                <c:pt idx="69">
                  <c:v>0.29479183974772649</c:v>
                </c:pt>
                <c:pt idx="70">
                  <c:v>0.29471010071662834</c:v>
                </c:pt>
                <c:pt idx="71">
                  <c:v>0.29462784077228577</c:v>
                </c:pt>
                <c:pt idx="72">
                  <c:v>0.2945450849718747</c:v>
                </c:pt>
                <c:pt idx="73">
                  <c:v>0.29446185852361367</c:v>
                </c:pt>
                <c:pt idx="74">
                  <c:v>0.294378186779085</c:v>
                </c:pt>
                <c:pt idx="75">
                  <c:v>0.29429409522551259</c:v>
                </c:pt>
                <c:pt idx="76">
                  <c:v>0.29420960947799835</c:v>
                </c:pt>
                <c:pt idx="77">
                  <c:v>0.29412475527171933</c:v>
                </c:pt>
                <c:pt idx="78">
                  <c:v>0.2940395584540888</c:v>
                </c:pt>
                <c:pt idx="79">
                  <c:v>0.29395404497688271</c:v>
                </c:pt>
                <c:pt idx="80">
                  <c:v>0.29386824088833463</c:v>
                </c:pt>
                <c:pt idx="81">
                  <c:v>0.29378217232520115</c:v>
                </c:pt>
                <c:pt idx="82">
                  <c:v>0.29369586550480031</c:v>
                </c:pt>
                <c:pt idx="83">
                  <c:v>0.29360934671702571</c:v>
                </c:pt>
                <c:pt idx="84">
                  <c:v>0.29352264231633823</c:v>
                </c:pt>
                <c:pt idx="85">
                  <c:v>0.29343577871373827</c:v>
                </c:pt>
                <c:pt idx="86">
                  <c:v>0.29334878236872058</c:v>
                </c:pt>
                <c:pt idx="87">
                  <c:v>0.2932616797812147</c:v>
                </c:pt>
                <c:pt idx="88">
                  <c:v>0.29317449748351249</c:v>
                </c:pt>
                <c:pt idx="89">
                  <c:v>0.29308726203218638</c:v>
                </c:pt>
                <c:pt idx="90">
                  <c:v>0.29299999999999998</c:v>
                </c:pt>
                <c:pt idx="91">
                  <c:v>0.29291273796781359</c:v>
                </c:pt>
                <c:pt idx="92">
                  <c:v>0.29282550251648748</c:v>
                </c:pt>
                <c:pt idx="93">
                  <c:v>0.29273832021878526</c:v>
                </c:pt>
                <c:pt idx="94">
                  <c:v>0.29265121763127938</c:v>
                </c:pt>
                <c:pt idx="95">
                  <c:v>0.29256422128626169</c:v>
                </c:pt>
                <c:pt idx="96">
                  <c:v>0.29247735768366173</c:v>
                </c:pt>
                <c:pt idx="97">
                  <c:v>0.29239065328297426</c:v>
                </c:pt>
                <c:pt idx="98">
                  <c:v>0.29230413449519965</c:v>
                </c:pt>
                <c:pt idx="99">
                  <c:v>0.29221782767479881</c:v>
                </c:pt>
                <c:pt idx="100">
                  <c:v>0.29213175911166533</c:v>
                </c:pt>
                <c:pt idx="101">
                  <c:v>0.29204595502311725</c:v>
                </c:pt>
                <c:pt idx="102">
                  <c:v>0.29196044154591116</c:v>
                </c:pt>
                <c:pt idx="103">
                  <c:v>0.29187524472828064</c:v>
                </c:pt>
                <c:pt idx="104">
                  <c:v>0.29179039052200162</c:v>
                </c:pt>
                <c:pt idx="105">
                  <c:v>0.29170590477448738</c:v>
                </c:pt>
                <c:pt idx="106">
                  <c:v>0.29162181322091496</c:v>
                </c:pt>
                <c:pt idx="107">
                  <c:v>0.29153814147638629</c:v>
                </c:pt>
                <c:pt idx="108">
                  <c:v>0.29145491502812526</c:v>
                </c:pt>
                <c:pt idx="109">
                  <c:v>0.2913721592277142</c:v>
                </c:pt>
                <c:pt idx="110">
                  <c:v>0.29128989928337162</c:v>
                </c:pt>
                <c:pt idx="111">
                  <c:v>0.29120816025227347</c:v>
                </c:pt>
                <c:pt idx="112">
                  <c:v>0.2911269670329204</c:v>
                </c:pt>
                <c:pt idx="113">
                  <c:v>0.29104634435755361</c:v>
                </c:pt>
                <c:pt idx="114">
                  <c:v>0.29096631678462098</c:v>
                </c:pt>
                <c:pt idx="115">
                  <c:v>0.29088690869129646</c:v>
                </c:pt>
                <c:pt idx="116">
                  <c:v>0.29080814426605461</c:v>
                </c:pt>
                <c:pt idx="117">
                  <c:v>0.29073004750130227</c:v>
                </c:pt>
                <c:pt idx="118">
                  <c:v>0.29065264218607051</c:v>
                </c:pt>
                <c:pt idx="119">
                  <c:v>0.29057595189876828</c:v>
                </c:pt>
                <c:pt idx="120">
                  <c:v>0.29049999999999998</c:v>
                </c:pt>
                <c:pt idx="121">
                  <c:v>0.2904248096254497</c:v>
                </c:pt>
                <c:pt idx="122">
                  <c:v>0.29035040367883397</c:v>
                </c:pt>
                <c:pt idx="123">
                  <c:v>0.29027680482492485</c:v>
                </c:pt>
                <c:pt idx="124">
                  <c:v>0.29020403548264623</c:v>
                </c:pt>
                <c:pt idx="125">
                  <c:v>0.29013211781824477</c:v>
                </c:pt>
                <c:pt idx="126">
                  <c:v>0.29006107373853762</c:v>
                </c:pt>
                <c:pt idx="127">
                  <c:v>0.28999092488423972</c:v>
                </c:pt>
                <c:pt idx="128">
                  <c:v>0.2899216926233717</c:v>
                </c:pt>
                <c:pt idx="129">
                  <c:v>0.2898533980447508</c:v>
                </c:pt>
                <c:pt idx="130">
                  <c:v>0.28978606195156731</c:v>
                </c:pt>
                <c:pt idx="131">
                  <c:v>0.28971970485504744</c:v>
                </c:pt>
                <c:pt idx="132">
                  <c:v>0.28965434696820569</c:v>
                </c:pt>
                <c:pt idx="133">
                  <c:v>0.2895900081996875</c:v>
                </c:pt>
                <c:pt idx="134">
                  <c:v>0.28952670814770498</c:v>
                </c:pt>
                <c:pt idx="135">
                  <c:v>0.28946446609406723</c:v>
                </c:pt>
                <c:pt idx="136">
                  <c:v>0.28940330099830675</c:v>
                </c:pt>
                <c:pt idx="137">
                  <c:v>0.28934323149190411</c:v>
                </c:pt>
                <c:pt idx="138">
                  <c:v>0.28928427587261302</c:v>
                </c:pt>
                <c:pt idx="139">
                  <c:v>0.28922645209888614</c:v>
                </c:pt>
                <c:pt idx="140">
                  <c:v>0.28916977778440511</c:v>
                </c:pt>
                <c:pt idx="141">
                  <c:v>0.28911427019271513</c:v>
                </c:pt>
                <c:pt idx="142">
                  <c:v>0.28905994623196635</c:v>
                </c:pt>
                <c:pt idx="143">
                  <c:v>0.2890068224497635</c:v>
                </c:pt>
                <c:pt idx="144">
                  <c:v>0.28895491502812526</c:v>
                </c:pt>
                <c:pt idx="145">
                  <c:v>0.28890423977855501</c:v>
                </c:pt>
                <c:pt idx="146">
                  <c:v>0.28885481213722475</c:v>
                </c:pt>
                <c:pt idx="147">
                  <c:v>0.28880664716027288</c:v>
                </c:pt>
                <c:pt idx="148">
                  <c:v>0.28875975951921784</c:v>
                </c:pt>
                <c:pt idx="149">
                  <c:v>0.28871416349648943</c:v>
                </c:pt>
                <c:pt idx="150">
                  <c:v>0.28866987298107777</c:v>
                </c:pt>
                <c:pt idx="151">
                  <c:v>0.28862690146430303</c:v>
                </c:pt>
                <c:pt idx="152">
                  <c:v>0.28858526203570534</c:v>
                </c:pt>
                <c:pt idx="153">
                  <c:v>0.28854496737905816</c:v>
                </c:pt>
                <c:pt idx="154">
                  <c:v>0.28850602976850415</c:v>
                </c:pt>
                <c:pt idx="155">
                  <c:v>0.28846846106481672</c:v>
                </c:pt>
                <c:pt idx="156">
                  <c:v>0.28843227271178695</c:v>
                </c:pt>
                <c:pt idx="157">
                  <c:v>0.28839747573273777</c:v>
                </c:pt>
                <c:pt idx="158">
                  <c:v>0.28836408072716607</c:v>
                </c:pt>
                <c:pt idx="159">
                  <c:v>0.28833209786751396</c:v>
                </c:pt>
                <c:pt idx="160">
                  <c:v>0.28830153689607046</c:v>
                </c:pt>
                <c:pt idx="161">
                  <c:v>0.28827240712200342</c:v>
                </c:pt>
                <c:pt idx="162">
                  <c:v>0.2882447174185242</c:v>
                </c:pt>
                <c:pt idx="163">
                  <c:v>0.28821847622018482</c:v>
                </c:pt>
                <c:pt idx="164">
                  <c:v>0.28819369152030838</c:v>
                </c:pt>
                <c:pt idx="165">
                  <c:v>0.28817037086855463</c:v>
                </c:pt>
                <c:pt idx="166">
                  <c:v>0.28814852136862001</c:v>
                </c:pt>
                <c:pt idx="167">
                  <c:v>0.28812814967607381</c:v>
                </c:pt>
                <c:pt idx="168">
                  <c:v>0.28810926199633097</c:v>
                </c:pt>
                <c:pt idx="169">
                  <c:v>0.28809186408276166</c:v>
                </c:pt>
                <c:pt idx="170">
                  <c:v>0.28807596123493895</c:v>
                </c:pt>
                <c:pt idx="171">
                  <c:v>0.28806155829702429</c:v>
                </c:pt>
                <c:pt idx="172">
                  <c:v>0.28804865965629212</c:v>
                </c:pt>
                <c:pt idx="173">
                  <c:v>0.28803726924179335</c:v>
                </c:pt>
                <c:pt idx="174">
                  <c:v>0.28802739052315862</c:v>
                </c:pt>
                <c:pt idx="175">
                  <c:v>0.28801902650954125</c:v>
                </c:pt>
                <c:pt idx="176">
                  <c:v>0.28801217974870086</c:v>
                </c:pt>
                <c:pt idx="177">
                  <c:v>0.28800685232622714</c:v>
                </c:pt>
                <c:pt idx="178">
                  <c:v>0.28800304586490449</c:v>
                </c:pt>
                <c:pt idx="179">
                  <c:v>0.28800076152421805</c:v>
                </c:pt>
                <c:pt idx="180">
                  <c:v>0.28799999999999998</c:v>
                </c:pt>
                <c:pt idx="181">
                  <c:v>0.28800076152421805</c:v>
                </c:pt>
                <c:pt idx="182">
                  <c:v>0.28800304586490449</c:v>
                </c:pt>
                <c:pt idx="183">
                  <c:v>0.28800685232622714</c:v>
                </c:pt>
                <c:pt idx="184">
                  <c:v>0.28801217974870086</c:v>
                </c:pt>
                <c:pt idx="185">
                  <c:v>0.28801902650954125</c:v>
                </c:pt>
                <c:pt idx="186">
                  <c:v>0.28802739052315862</c:v>
                </c:pt>
                <c:pt idx="187">
                  <c:v>0.28803726924179335</c:v>
                </c:pt>
                <c:pt idx="188">
                  <c:v>0.28804865965629212</c:v>
                </c:pt>
                <c:pt idx="189">
                  <c:v>0.28806155829702429</c:v>
                </c:pt>
                <c:pt idx="190">
                  <c:v>0.28807596123493895</c:v>
                </c:pt>
                <c:pt idx="191">
                  <c:v>0.28809186408276166</c:v>
                </c:pt>
                <c:pt idx="192">
                  <c:v>0.28810926199633097</c:v>
                </c:pt>
                <c:pt idx="193">
                  <c:v>0.28812814967607381</c:v>
                </c:pt>
                <c:pt idx="194">
                  <c:v>0.28814852136862001</c:v>
                </c:pt>
                <c:pt idx="195">
                  <c:v>0.28817037086855463</c:v>
                </c:pt>
                <c:pt idx="196">
                  <c:v>0.28819369152030838</c:v>
                </c:pt>
                <c:pt idx="197">
                  <c:v>0.28821847622018482</c:v>
                </c:pt>
                <c:pt idx="198">
                  <c:v>0.2882447174185242</c:v>
                </c:pt>
                <c:pt idx="199">
                  <c:v>0.28827240712200342</c:v>
                </c:pt>
                <c:pt idx="200">
                  <c:v>0.28830153689607046</c:v>
                </c:pt>
                <c:pt idx="201">
                  <c:v>0.28833209786751396</c:v>
                </c:pt>
                <c:pt idx="202">
                  <c:v>0.28836408072716607</c:v>
                </c:pt>
                <c:pt idx="203">
                  <c:v>0.28839747573273777</c:v>
                </c:pt>
                <c:pt idx="204">
                  <c:v>0.28843227271178695</c:v>
                </c:pt>
                <c:pt idx="205">
                  <c:v>0.28846846106481672</c:v>
                </c:pt>
                <c:pt idx="206">
                  <c:v>0.28850602976850415</c:v>
                </c:pt>
                <c:pt idx="207">
                  <c:v>0.28854496737905816</c:v>
                </c:pt>
                <c:pt idx="208">
                  <c:v>0.28858526203570534</c:v>
                </c:pt>
                <c:pt idx="209">
                  <c:v>0.28862690146430298</c:v>
                </c:pt>
                <c:pt idx="210">
                  <c:v>0.28866987298107777</c:v>
                </c:pt>
                <c:pt idx="211">
                  <c:v>0.28871416349648943</c:v>
                </c:pt>
                <c:pt idx="212">
                  <c:v>0.28875975951921784</c:v>
                </c:pt>
                <c:pt idx="213">
                  <c:v>0.28880664716027288</c:v>
                </c:pt>
                <c:pt idx="214">
                  <c:v>0.28885481213722475</c:v>
                </c:pt>
                <c:pt idx="215">
                  <c:v>0.28890423977855501</c:v>
                </c:pt>
                <c:pt idx="216">
                  <c:v>0.28895491502812526</c:v>
                </c:pt>
                <c:pt idx="217">
                  <c:v>0.2890068224497635</c:v>
                </c:pt>
                <c:pt idx="218">
                  <c:v>0.28905994623196635</c:v>
                </c:pt>
                <c:pt idx="219">
                  <c:v>0.28911427019271513</c:v>
                </c:pt>
                <c:pt idx="220">
                  <c:v>0.28916977778440511</c:v>
                </c:pt>
                <c:pt idx="221">
                  <c:v>0.28922645209888614</c:v>
                </c:pt>
                <c:pt idx="222">
                  <c:v>0.28928427587261302</c:v>
                </c:pt>
                <c:pt idx="223">
                  <c:v>0.28934323149190411</c:v>
                </c:pt>
                <c:pt idx="224">
                  <c:v>0.28940330099830675</c:v>
                </c:pt>
                <c:pt idx="225">
                  <c:v>0.28946446609406723</c:v>
                </c:pt>
                <c:pt idx="226">
                  <c:v>0.28952670814770498</c:v>
                </c:pt>
                <c:pt idx="227">
                  <c:v>0.2895900081996875</c:v>
                </c:pt>
                <c:pt idx="228">
                  <c:v>0.28965434696820569</c:v>
                </c:pt>
                <c:pt idx="229">
                  <c:v>0.28971970485504744</c:v>
                </c:pt>
                <c:pt idx="230">
                  <c:v>0.28978606195156731</c:v>
                </c:pt>
                <c:pt idx="231">
                  <c:v>0.2898533980447508</c:v>
                </c:pt>
                <c:pt idx="232">
                  <c:v>0.2899216926233717</c:v>
                </c:pt>
                <c:pt idx="233">
                  <c:v>0.28999092488423972</c:v>
                </c:pt>
                <c:pt idx="234">
                  <c:v>0.29006107373853762</c:v>
                </c:pt>
                <c:pt idx="235">
                  <c:v>0.29013211781824477</c:v>
                </c:pt>
                <c:pt idx="236">
                  <c:v>0.29020403548264623</c:v>
                </c:pt>
                <c:pt idx="237">
                  <c:v>0.29027680482492485</c:v>
                </c:pt>
                <c:pt idx="238">
                  <c:v>0.29035040367883397</c:v>
                </c:pt>
                <c:pt idx="239">
                  <c:v>0.2904248096254497</c:v>
                </c:pt>
                <c:pt idx="240">
                  <c:v>0.29049999999999998</c:v>
                </c:pt>
                <c:pt idx="241">
                  <c:v>0.29057595189876828</c:v>
                </c:pt>
                <c:pt idx="242">
                  <c:v>0.29065264218607051</c:v>
                </c:pt>
                <c:pt idx="243">
                  <c:v>0.29073004750130227</c:v>
                </c:pt>
                <c:pt idx="244">
                  <c:v>0.29080814426605461</c:v>
                </c:pt>
                <c:pt idx="245">
                  <c:v>0.29088690869129646</c:v>
                </c:pt>
                <c:pt idx="246">
                  <c:v>0.29096631678462098</c:v>
                </c:pt>
                <c:pt idx="247">
                  <c:v>0.29104634435755361</c:v>
                </c:pt>
                <c:pt idx="248">
                  <c:v>0.2911269670329204</c:v>
                </c:pt>
                <c:pt idx="249">
                  <c:v>0.29120816025227347</c:v>
                </c:pt>
                <c:pt idx="250">
                  <c:v>0.29128989928337162</c:v>
                </c:pt>
                <c:pt idx="251">
                  <c:v>0.2913721592277142</c:v>
                </c:pt>
                <c:pt idx="252">
                  <c:v>0.29145491502812526</c:v>
                </c:pt>
                <c:pt idx="253">
                  <c:v>0.29153814147638629</c:v>
                </c:pt>
                <c:pt idx="254">
                  <c:v>0.29162181322091496</c:v>
                </c:pt>
                <c:pt idx="255">
                  <c:v>0.29170590477448738</c:v>
                </c:pt>
                <c:pt idx="256">
                  <c:v>0.29179039052200162</c:v>
                </c:pt>
                <c:pt idx="257">
                  <c:v>0.29187524472828064</c:v>
                </c:pt>
                <c:pt idx="258">
                  <c:v>0.29196044154591116</c:v>
                </c:pt>
                <c:pt idx="259">
                  <c:v>0.29204595502311725</c:v>
                </c:pt>
                <c:pt idx="260">
                  <c:v>0.29213175911166533</c:v>
                </c:pt>
                <c:pt idx="261">
                  <c:v>0.29221782767479881</c:v>
                </c:pt>
                <c:pt idx="262">
                  <c:v>0.29230413449519965</c:v>
                </c:pt>
                <c:pt idx="263">
                  <c:v>0.29239065328297426</c:v>
                </c:pt>
                <c:pt idx="264">
                  <c:v>0.29247735768366173</c:v>
                </c:pt>
                <c:pt idx="265">
                  <c:v>0.29256422128626169</c:v>
                </c:pt>
                <c:pt idx="266">
                  <c:v>0.29265121763127938</c:v>
                </c:pt>
                <c:pt idx="267">
                  <c:v>0.29273832021878526</c:v>
                </c:pt>
                <c:pt idx="268">
                  <c:v>0.29282550251648748</c:v>
                </c:pt>
                <c:pt idx="269">
                  <c:v>0.29291273796781359</c:v>
                </c:pt>
                <c:pt idx="270">
                  <c:v>0.29299999999999998</c:v>
                </c:pt>
                <c:pt idx="271">
                  <c:v>0.29308726203218638</c:v>
                </c:pt>
                <c:pt idx="272">
                  <c:v>0.29317449748351249</c:v>
                </c:pt>
                <c:pt idx="273">
                  <c:v>0.2932616797812147</c:v>
                </c:pt>
                <c:pt idx="274">
                  <c:v>0.29334878236872058</c:v>
                </c:pt>
                <c:pt idx="275">
                  <c:v>0.29343577871373827</c:v>
                </c:pt>
                <c:pt idx="276">
                  <c:v>0.29352264231633823</c:v>
                </c:pt>
                <c:pt idx="277">
                  <c:v>0.29360934671702571</c:v>
                </c:pt>
                <c:pt idx="278">
                  <c:v>0.29369586550480031</c:v>
                </c:pt>
                <c:pt idx="279">
                  <c:v>0.29378217232520115</c:v>
                </c:pt>
                <c:pt idx="280">
                  <c:v>0.29386824088833463</c:v>
                </c:pt>
                <c:pt idx="281">
                  <c:v>0.29395404497688271</c:v>
                </c:pt>
                <c:pt idx="282">
                  <c:v>0.2940395584540888</c:v>
                </c:pt>
                <c:pt idx="283">
                  <c:v>0.29412475527171933</c:v>
                </c:pt>
                <c:pt idx="284">
                  <c:v>0.29420960947799835</c:v>
                </c:pt>
                <c:pt idx="285">
                  <c:v>0.29429409522551259</c:v>
                </c:pt>
                <c:pt idx="286">
                  <c:v>0.294378186779085</c:v>
                </c:pt>
                <c:pt idx="287">
                  <c:v>0.29446185852361367</c:v>
                </c:pt>
                <c:pt idx="288">
                  <c:v>0.2945450849718747</c:v>
                </c:pt>
                <c:pt idx="289">
                  <c:v>0.29462784077228577</c:v>
                </c:pt>
                <c:pt idx="290">
                  <c:v>0.29471010071662834</c:v>
                </c:pt>
                <c:pt idx="291">
                  <c:v>0.29479183974772649</c:v>
                </c:pt>
                <c:pt idx="292">
                  <c:v>0.29487303296707956</c:v>
                </c:pt>
                <c:pt idx="293">
                  <c:v>0.29495365564244636</c:v>
                </c:pt>
                <c:pt idx="294">
                  <c:v>0.29503368321537898</c:v>
                </c:pt>
                <c:pt idx="295">
                  <c:v>0.2951130913087035</c:v>
                </c:pt>
                <c:pt idx="296">
                  <c:v>0.29519185573394535</c:v>
                </c:pt>
                <c:pt idx="297">
                  <c:v>0.2952699524986977</c:v>
                </c:pt>
                <c:pt idx="298">
                  <c:v>0.29534735781392946</c:v>
                </c:pt>
                <c:pt idx="299">
                  <c:v>0.29542404810123168</c:v>
                </c:pt>
                <c:pt idx="300">
                  <c:v>0.29549999999999998</c:v>
                </c:pt>
                <c:pt idx="301">
                  <c:v>0.29557519037455027</c:v>
                </c:pt>
                <c:pt idx="302">
                  <c:v>0.295649596321166</c:v>
                </c:pt>
                <c:pt idx="303">
                  <c:v>0.29572319517507512</c:v>
                </c:pt>
                <c:pt idx="304">
                  <c:v>0.29579596451735374</c:v>
                </c:pt>
                <c:pt idx="305">
                  <c:v>0.29586788218175519</c:v>
                </c:pt>
                <c:pt idx="306">
                  <c:v>0.29593892626146234</c:v>
                </c:pt>
                <c:pt idx="307">
                  <c:v>0.29600907511576025</c:v>
                </c:pt>
                <c:pt idx="308">
                  <c:v>0.29607830737662827</c:v>
                </c:pt>
                <c:pt idx="309">
                  <c:v>0.29614660195524917</c:v>
                </c:pt>
                <c:pt idx="310">
                  <c:v>0.29621393804843266</c:v>
                </c:pt>
                <c:pt idx="311">
                  <c:v>0.29628029514495252</c:v>
                </c:pt>
                <c:pt idx="312">
                  <c:v>0.29634565303179428</c:v>
                </c:pt>
                <c:pt idx="313">
                  <c:v>0.29640999180031247</c:v>
                </c:pt>
                <c:pt idx="314">
                  <c:v>0.29647329185229498</c:v>
                </c:pt>
                <c:pt idx="315">
                  <c:v>0.29653553390593274</c:v>
                </c:pt>
                <c:pt idx="316">
                  <c:v>0.29659669900169322</c:v>
                </c:pt>
                <c:pt idx="317">
                  <c:v>0.29665676850809586</c:v>
                </c:pt>
                <c:pt idx="318">
                  <c:v>0.29671572412738695</c:v>
                </c:pt>
                <c:pt idx="319">
                  <c:v>0.29677354790111382</c:v>
                </c:pt>
                <c:pt idx="320">
                  <c:v>0.29683022221559485</c:v>
                </c:pt>
                <c:pt idx="321">
                  <c:v>0.29688572980728484</c:v>
                </c:pt>
                <c:pt idx="322">
                  <c:v>0.29694005376803362</c:v>
                </c:pt>
                <c:pt idx="323">
                  <c:v>0.29699317755023646</c:v>
                </c:pt>
                <c:pt idx="324">
                  <c:v>0.29704508497187471</c:v>
                </c:pt>
                <c:pt idx="325">
                  <c:v>0.29709576022144496</c:v>
                </c:pt>
                <c:pt idx="326">
                  <c:v>0.29714518786277522</c:v>
                </c:pt>
                <c:pt idx="327">
                  <c:v>0.29719335283972709</c:v>
                </c:pt>
                <c:pt idx="328">
                  <c:v>0.29724024048078213</c:v>
                </c:pt>
                <c:pt idx="329">
                  <c:v>0.29728583650351054</c:v>
                </c:pt>
                <c:pt idx="330">
                  <c:v>0.2973301270189222</c:v>
                </c:pt>
                <c:pt idx="331">
                  <c:v>0.29737309853569699</c:v>
                </c:pt>
                <c:pt idx="332">
                  <c:v>0.29741473796429463</c:v>
                </c:pt>
                <c:pt idx="333">
                  <c:v>0.29745503262094181</c:v>
                </c:pt>
                <c:pt idx="334">
                  <c:v>0.29749397023149582</c:v>
                </c:pt>
                <c:pt idx="335">
                  <c:v>0.29753153893518325</c:v>
                </c:pt>
                <c:pt idx="336">
                  <c:v>0.29756772728821301</c:v>
                </c:pt>
                <c:pt idx="337">
                  <c:v>0.29760252426726219</c:v>
                </c:pt>
                <c:pt idx="338">
                  <c:v>0.29763591927283389</c:v>
                </c:pt>
                <c:pt idx="339">
                  <c:v>0.29766790213248601</c:v>
                </c:pt>
                <c:pt idx="340">
                  <c:v>0.2976984631039295</c:v>
                </c:pt>
                <c:pt idx="341">
                  <c:v>0.29772759287799655</c:v>
                </c:pt>
                <c:pt idx="342">
                  <c:v>0.29775528258147577</c:v>
                </c:pt>
                <c:pt idx="343">
                  <c:v>0.29778152377981515</c:v>
                </c:pt>
                <c:pt idx="344">
                  <c:v>0.29780630847969158</c:v>
                </c:pt>
                <c:pt idx="345">
                  <c:v>0.29782962913144534</c:v>
                </c:pt>
                <c:pt idx="346">
                  <c:v>0.29785147863137995</c:v>
                </c:pt>
                <c:pt idx="347">
                  <c:v>0.29787185032392616</c:v>
                </c:pt>
                <c:pt idx="348">
                  <c:v>0.297890738003669</c:v>
                </c:pt>
                <c:pt idx="349">
                  <c:v>0.2979081359172383</c:v>
                </c:pt>
                <c:pt idx="350">
                  <c:v>0.29792403876506102</c:v>
                </c:pt>
                <c:pt idx="351">
                  <c:v>0.29793844170297568</c:v>
                </c:pt>
                <c:pt idx="352">
                  <c:v>0.29795134034370785</c:v>
                </c:pt>
                <c:pt idx="353">
                  <c:v>0.29796273075820662</c:v>
                </c:pt>
                <c:pt idx="354">
                  <c:v>0.29797260947684134</c:v>
                </c:pt>
                <c:pt idx="355">
                  <c:v>0.29798097349045871</c:v>
                </c:pt>
                <c:pt idx="356">
                  <c:v>0.29798782025129911</c:v>
                </c:pt>
                <c:pt idx="357">
                  <c:v>0.29799314767377283</c:v>
                </c:pt>
                <c:pt idx="358">
                  <c:v>0.29799695413509547</c:v>
                </c:pt>
                <c:pt idx="359">
                  <c:v>0.29799923847578191</c:v>
                </c:pt>
                <c:pt idx="360">
                  <c:v>0.29799999999999999</c:v>
                </c:pt>
              </c:numCache>
            </c:numRef>
          </c:xVal>
          <c:yVal>
            <c:numRef>
              <c:f>[1]EVENT_YYMMDD_Optical!$AW$21:$AW$381</c:f>
              <c:numCache>
                <c:formatCode>General</c:formatCode>
                <c:ptCount val="361"/>
                <c:pt idx="0">
                  <c:v>0.32</c:v>
                </c:pt>
                <c:pt idx="1">
                  <c:v>0.3200872620321864</c:v>
                </c:pt>
                <c:pt idx="2">
                  <c:v>0.32017449748351251</c:v>
                </c:pt>
                <c:pt idx="3">
                  <c:v>0.32026167978121473</c:v>
                </c:pt>
                <c:pt idx="4">
                  <c:v>0.32034878236872061</c:v>
                </c:pt>
                <c:pt idx="5">
                  <c:v>0.3204357787137383</c:v>
                </c:pt>
                <c:pt idx="6">
                  <c:v>0.32052264231633826</c:v>
                </c:pt>
                <c:pt idx="7">
                  <c:v>0.32060934671702573</c:v>
                </c:pt>
                <c:pt idx="8">
                  <c:v>0.32069586550480034</c:v>
                </c:pt>
                <c:pt idx="9">
                  <c:v>0.32078217232520118</c:v>
                </c:pt>
                <c:pt idx="10">
                  <c:v>0.32086824088833465</c:v>
                </c:pt>
                <c:pt idx="11">
                  <c:v>0.32095404497688274</c:v>
                </c:pt>
                <c:pt idx="12">
                  <c:v>0.32103955845408882</c:v>
                </c:pt>
                <c:pt idx="13">
                  <c:v>0.32112475527171935</c:v>
                </c:pt>
                <c:pt idx="14">
                  <c:v>0.32120960947799837</c:v>
                </c:pt>
                <c:pt idx="15">
                  <c:v>0.32129409522551261</c:v>
                </c:pt>
                <c:pt idx="16">
                  <c:v>0.32137818677908503</c:v>
                </c:pt>
                <c:pt idx="17">
                  <c:v>0.3214618585236137</c:v>
                </c:pt>
                <c:pt idx="18">
                  <c:v>0.32154508497187473</c:v>
                </c:pt>
                <c:pt idx="19">
                  <c:v>0.32162784077228579</c:v>
                </c:pt>
                <c:pt idx="20">
                  <c:v>0.32171010071662837</c:v>
                </c:pt>
                <c:pt idx="21">
                  <c:v>0.32179183974772652</c:v>
                </c:pt>
                <c:pt idx="22">
                  <c:v>0.32187303296707959</c:v>
                </c:pt>
                <c:pt idx="23">
                  <c:v>0.32195365564244638</c:v>
                </c:pt>
                <c:pt idx="24">
                  <c:v>0.32203368321537901</c:v>
                </c:pt>
                <c:pt idx="25">
                  <c:v>0.32211309130870353</c:v>
                </c:pt>
                <c:pt idx="26">
                  <c:v>0.32219185573394538</c:v>
                </c:pt>
                <c:pt idx="27">
                  <c:v>0.32226995249869772</c:v>
                </c:pt>
                <c:pt idx="28">
                  <c:v>0.32234735781392948</c:v>
                </c:pt>
                <c:pt idx="29">
                  <c:v>0.32242404810123171</c:v>
                </c:pt>
                <c:pt idx="30">
                  <c:v>0.32250000000000001</c:v>
                </c:pt>
                <c:pt idx="31">
                  <c:v>0.32257519037455029</c:v>
                </c:pt>
                <c:pt idx="32">
                  <c:v>0.32264959632116602</c:v>
                </c:pt>
                <c:pt idx="33">
                  <c:v>0.32272319517507514</c:v>
                </c:pt>
                <c:pt idx="34">
                  <c:v>0.32279596451735376</c:v>
                </c:pt>
                <c:pt idx="35">
                  <c:v>0.32286788218175522</c:v>
                </c:pt>
                <c:pt idx="36">
                  <c:v>0.32293892626146237</c:v>
                </c:pt>
                <c:pt idx="37">
                  <c:v>0.32300907511576027</c:v>
                </c:pt>
                <c:pt idx="38">
                  <c:v>0.32307830737662829</c:v>
                </c:pt>
                <c:pt idx="39">
                  <c:v>0.32314660195524919</c:v>
                </c:pt>
                <c:pt idx="40">
                  <c:v>0.32321393804843268</c:v>
                </c:pt>
                <c:pt idx="41">
                  <c:v>0.32328029514495255</c:v>
                </c:pt>
                <c:pt idx="42">
                  <c:v>0.3233456530317943</c:v>
                </c:pt>
                <c:pt idx="43">
                  <c:v>0.32340999180031249</c:v>
                </c:pt>
                <c:pt idx="44">
                  <c:v>0.32347329185229501</c:v>
                </c:pt>
                <c:pt idx="45">
                  <c:v>0.32353553390593276</c:v>
                </c:pt>
                <c:pt idx="46">
                  <c:v>0.32359669900169324</c:v>
                </c:pt>
                <c:pt idx="47">
                  <c:v>0.32365676850809588</c:v>
                </c:pt>
                <c:pt idx="48">
                  <c:v>0.32371572412738697</c:v>
                </c:pt>
                <c:pt idx="49">
                  <c:v>0.32377354790111385</c:v>
                </c:pt>
                <c:pt idx="50">
                  <c:v>0.32383022221559488</c:v>
                </c:pt>
                <c:pt idx="51">
                  <c:v>0.32388572980728486</c:v>
                </c:pt>
                <c:pt idx="52">
                  <c:v>0.32394005376803364</c:v>
                </c:pt>
                <c:pt idx="53">
                  <c:v>0.32399317755023649</c:v>
                </c:pt>
                <c:pt idx="54">
                  <c:v>0.32404508497187473</c:v>
                </c:pt>
                <c:pt idx="55">
                  <c:v>0.32409576022144498</c:v>
                </c:pt>
                <c:pt idx="56">
                  <c:v>0.32414518786277524</c:v>
                </c:pt>
                <c:pt idx="57">
                  <c:v>0.32419335283972711</c:v>
                </c:pt>
                <c:pt idx="58">
                  <c:v>0.32424024048078215</c:v>
                </c:pt>
                <c:pt idx="59">
                  <c:v>0.32428583650351056</c:v>
                </c:pt>
                <c:pt idx="60">
                  <c:v>0.32433012701892222</c:v>
                </c:pt>
                <c:pt idx="61">
                  <c:v>0.32437309853569696</c:v>
                </c:pt>
                <c:pt idx="62">
                  <c:v>0.32441473796429465</c:v>
                </c:pt>
                <c:pt idx="63">
                  <c:v>0.32445503262094183</c:v>
                </c:pt>
                <c:pt idx="64">
                  <c:v>0.32449397023149584</c:v>
                </c:pt>
                <c:pt idx="65">
                  <c:v>0.32453153893518327</c:v>
                </c:pt>
                <c:pt idx="66">
                  <c:v>0.32456772728821304</c:v>
                </c:pt>
                <c:pt idx="67">
                  <c:v>0.32460252426726222</c:v>
                </c:pt>
                <c:pt idx="68">
                  <c:v>0.32463591927283392</c:v>
                </c:pt>
                <c:pt idx="69">
                  <c:v>0.32466790213248603</c:v>
                </c:pt>
                <c:pt idx="70">
                  <c:v>0.32469846310392952</c:v>
                </c:pt>
                <c:pt idx="71">
                  <c:v>0.32472759287799657</c:v>
                </c:pt>
                <c:pt idx="72">
                  <c:v>0.32475528258147579</c:v>
                </c:pt>
                <c:pt idx="73">
                  <c:v>0.32478152377981517</c:v>
                </c:pt>
                <c:pt idx="74">
                  <c:v>0.32480630847969161</c:v>
                </c:pt>
                <c:pt idx="75">
                  <c:v>0.32482962913144536</c:v>
                </c:pt>
                <c:pt idx="76">
                  <c:v>0.32485147863137998</c:v>
                </c:pt>
                <c:pt idx="77">
                  <c:v>0.32487185032392618</c:v>
                </c:pt>
                <c:pt idx="78">
                  <c:v>0.32489073800366902</c:v>
                </c:pt>
                <c:pt idx="79">
                  <c:v>0.32490813591723833</c:v>
                </c:pt>
                <c:pt idx="80">
                  <c:v>0.32492403876506104</c:v>
                </c:pt>
                <c:pt idx="81">
                  <c:v>0.3249384417029757</c:v>
                </c:pt>
                <c:pt idx="82">
                  <c:v>0.32495134034370787</c:v>
                </c:pt>
                <c:pt idx="83">
                  <c:v>0.32496273075820664</c:v>
                </c:pt>
                <c:pt idx="84">
                  <c:v>0.32497260947684137</c:v>
                </c:pt>
                <c:pt idx="85">
                  <c:v>0.32498097349045874</c:v>
                </c:pt>
                <c:pt idx="86">
                  <c:v>0.32498782025129913</c:v>
                </c:pt>
                <c:pt idx="87">
                  <c:v>0.32499314767377285</c:v>
                </c:pt>
                <c:pt idx="88">
                  <c:v>0.32499695413509549</c:v>
                </c:pt>
                <c:pt idx="89">
                  <c:v>0.32499923847578194</c:v>
                </c:pt>
                <c:pt idx="90">
                  <c:v>0.32500000000000001</c:v>
                </c:pt>
                <c:pt idx="91">
                  <c:v>0.32499923847578194</c:v>
                </c:pt>
                <c:pt idx="92">
                  <c:v>0.32499695413509549</c:v>
                </c:pt>
                <c:pt idx="93">
                  <c:v>0.32499314767377285</c:v>
                </c:pt>
                <c:pt idx="94">
                  <c:v>0.32498782025129913</c:v>
                </c:pt>
                <c:pt idx="95">
                  <c:v>0.32498097349045874</c:v>
                </c:pt>
                <c:pt idx="96">
                  <c:v>0.32497260947684137</c:v>
                </c:pt>
                <c:pt idx="97">
                  <c:v>0.32496273075820664</c:v>
                </c:pt>
                <c:pt idx="98">
                  <c:v>0.32495134034370787</c:v>
                </c:pt>
                <c:pt idx="99">
                  <c:v>0.3249384417029757</c:v>
                </c:pt>
                <c:pt idx="100">
                  <c:v>0.32492403876506104</c:v>
                </c:pt>
                <c:pt idx="101">
                  <c:v>0.32490813591723833</c:v>
                </c:pt>
                <c:pt idx="102">
                  <c:v>0.32489073800366902</c:v>
                </c:pt>
                <c:pt idx="103">
                  <c:v>0.32487185032392618</c:v>
                </c:pt>
                <c:pt idx="104">
                  <c:v>0.32485147863137998</c:v>
                </c:pt>
                <c:pt idx="105">
                  <c:v>0.32482962913144536</c:v>
                </c:pt>
                <c:pt idx="106">
                  <c:v>0.32480630847969161</c:v>
                </c:pt>
                <c:pt idx="107">
                  <c:v>0.32478152377981517</c:v>
                </c:pt>
                <c:pt idx="108">
                  <c:v>0.32475528258147579</c:v>
                </c:pt>
                <c:pt idx="109">
                  <c:v>0.32472759287799657</c:v>
                </c:pt>
                <c:pt idx="110">
                  <c:v>0.32469846310392952</c:v>
                </c:pt>
                <c:pt idx="111">
                  <c:v>0.32466790213248603</c:v>
                </c:pt>
                <c:pt idx="112">
                  <c:v>0.32463591927283392</c:v>
                </c:pt>
                <c:pt idx="113">
                  <c:v>0.32460252426726222</c:v>
                </c:pt>
                <c:pt idx="114">
                  <c:v>0.32456772728821304</c:v>
                </c:pt>
                <c:pt idx="115">
                  <c:v>0.32453153893518327</c:v>
                </c:pt>
                <c:pt idx="116">
                  <c:v>0.32449397023149584</c:v>
                </c:pt>
                <c:pt idx="117">
                  <c:v>0.32445503262094183</c:v>
                </c:pt>
                <c:pt idx="118">
                  <c:v>0.32441473796429465</c:v>
                </c:pt>
                <c:pt idx="119">
                  <c:v>0.32437309853569701</c:v>
                </c:pt>
                <c:pt idx="120">
                  <c:v>0.32433012701892222</c:v>
                </c:pt>
                <c:pt idx="121">
                  <c:v>0.32428583650351056</c:v>
                </c:pt>
                <c:pt idx="122">
                  <c:v>0.32424024048078215</c:v>
                </c:pt>
                <c:pt idx="123">
                  <c:v>0.32419335283972711</c:v>
                </c:pt>
                <c:pt idx="124">
                  <c:v>0.32414518786277524</c:v>
                </c:pt>
                <c:pt idx="125">
                  <c:v>0.32409576022144498</c:v>
                </c:pt>
                <c:pt idx="126">
                  <c:v>0.32404508497187473</c:v>
                </c:pt>
                <c:pt idx="127">
                  <c:v>0.32399317755023649</c:v>
                </c:pt>
                <c:pt idx="128">
                  <c:v>0.32394005376803364</c:v>
                </c:pt>
                <c:pt idx="129">
                  <c:v>0.32388572980728486</c:v>
                </c:pt>
                <c:pt idx="130">
                  <c:v>0.32383022221559488</c:v>
                </c:pt>
                <c:pt idx="131">
                  <c:v>0.32377354790111385</c:v>
                </c:pt>
                <c:pt idx="132">
                  <c:v>0.32371572412738697</c:v>
                </c:pt>
                <c:pt idx="133">
                  <c:v>0.32365676850809588</c:v>
                </c:pt>
                <c:pt idx="134">
                  <c:v>0.32359669900169324</c:v>
                </c:pt>
                <c:pt idx="135">
                  <c:v>0.32353553390593276</c:v>
                </c:pt>
                <c:pt idx="136">
                  <c:v>0.32347329185229501</c:v>
                </c:pt>
                <c:pt idx="137">
                  <c:v>0.32340999180031249</c:v>
                </c:pt>
                <c:pt idx="138">
                  <c:v>0.3233456530317943</c:v>
                </c:pt>
                <c:pt idx="139">
                  <c:v>0.32328029514495255</c:v>
                </c:pt>
                <c:pt idx="140">
                  <c:v>0.32321393804843268</c:v>
                </c:pt>
                <c:pt idx="141">
                  <c:v>0.32314660195524919</c:v>
                </c:pt>
                <c:pt idx="142">
                  <c:v>0.32307830737662829</c:v>
                </c:pt>
                <c:pt idx="143">
                  <c:v>0.32300907511576027</c:v>
                </c:pt>
                <c:pt idx="144">
                  <c:v>0.32293892626146237</c:v>
                </c:pt>
                <c:pt idx="145">
                  <c:v>0.32286788218175522</c:v>
                </c:pt>
                <c:pt idx="146">
                  <c:v>0.32279596451735376</c:v>
                </c:pt>
                <c:pt idx="147">
                  <c:v>0.32272319517507514</c:v>
                </c:pt>
                <c:pt idx="148">
                  <c:v>0.32264959632116602</c:v>
                </c:pt>
                <c:pt idx="149">
                  <c:v>0.32257519037455029</c:v>
                </c:pt>
                <c:pt idx="150">
                  <c:v>0.32250000000000001</c:v>
                </c:pt>
                <c:pt idx="151">
                  <c:v>0.32242404810123171</c:v>
                </c:pt>
                <c:pt idx="152">
                  <c:v>0.32234735781392948</c:v>
                </c:pt>
                <c:pt idx="153">
                  <c:v>0.32226995249869772</c:v>
                </c:pt>
                <c:pt idx="154">
                  <c:v>0.32219185573394538</c:v>
                </c:pt>
                <c:pt idx="155">
                  <c:v>0.32211309130870353</c:v>
                </c:pt>
                <c:pt idx="156">
                  <c:v>0.32203368321537901</c:v>
                </c:pt>
                <c:pt idx="157">
                  <c:v>0.32195365564244638</c:v>
                </c:pt>
                <c:pt idx="158">
                  <c:v>0.32187303296707959</c:v>
                </c:pt>
                <c:pt idx="159">
                  <c:v>0.32179183974772652</c:v>
                </c:pt>
                <c:pt idx="160">
                  <c:v>0.32171010071662837</c:v>
                </c:pt>
                <c:pt idx="161">
                  <c:v>0.32162784077228579</c:v>
                </c:pt>
                <c:pt idx="162">
                  <c:v>0.32154508497187473</c:v>
                </c:pt>
                <c:pt idx="163">
                  <c:v>0.3214618585236137</c:v>
                </c:pt>
                <c:pt idx="164">
                  <c:v>0.32137818677908503</c:v>
                </c:pt>
                <c:pt idx="165">
                  <c:v>0.32129409522551261</c:v>
                </c:pt>
                <c:pt idx="166">
                  <c:v>0.32120960947799837</c:v>
                </c:pt>
                <c:pt idx="167">
                  <c:v>0.32112475527171935</c:v>
                </c:pt>
                <c:pt idx="168">
                  <c:v>0.32103955845408882</c:v>
                </c:pt>
                <c:pt idx="169">
                  <c:v>0.32095404497688274</c:v>
                </c:pt>
                <c:pt idx="170">
                  <c:v>0.32086824088833465</c:v>
                </c:pt>
                <c:pt idx="171">
                  <c:v>0.32078217232520118</c:v>
                </c:pt>
                <c:pt idx="172">
                  <c:v>0.32069586550480034</c:v>
                </c:pt>
                <c:pt idx="173">
                  <c:v>0.32060934671702573</c:v>
                </c:pt>
                <c:pt idx="174">
                  <c:v>0.32052264231633826</c:v>
                </c:pt>
                <c:pt idx="175">
                  <c:v>0.3204357787137383</c:v>
                </c:pt>
                <c:pt idx="176">
                  <c:v>0.32034878236872061</c:v>
                </c:pt>
                <c:pt idx="177">
                  <c:v>0.32026167978121473</c:v>
                </c:pt>
                <c:pt idx="178">
                  <c:v>0.32017449748351251</c:v>
                </c:pt>
                <c:pt idx="179">
                  <c:v>0.3200872620321864</c:v>
                </c:pt>
                <c:pt idx="180">
                  <c:v>0.32</c:v>
                </c:pt>
                <c:pt idx="181">
                  <c:v>0.31991273796781361</c:v>
                </c:pt>
                <c:pt idx="182">
                  <c:v>0.3198255025164875</c:v>
                </c:pt>
                <c:pt idx="183">
                  <c:v>0.31973832021878529</c:v>
                </c:pt>
                <c:pt idx="184">
                  <c:v>0.31965121763127941</c:v>
                </c:pt>
                <c:pt idx="185">
                  <c:v>0.31956422128626172</c:v>
                </c:pt>
                <c:pt idx="186">
                  <c:v>0.31947735768366176</c:v>
                </c:pt>
                <c:pt idx="187">
                  <c:v>0.31939065328297428</c:v>
                </c:pt>
                <c:pt idx="188">
                  <c:v>0.31930413449519968</c:v>
                </c:pt>
                <c:pt idx="189">
                  <c:v>0.31921782767479884</c:v>
                </c:pt>
                <c:pt idx="190">
                  <c:v>0.31913175911166536</c:v>
                </c:pt>
                <c:pt idx="191">
                  <c:v>0.31904595502311728</c:v>
                </c:pt>
                <c:pt idx="192">
                  <c:v>0.31896044154591119</c:v>
                </c:pt>
                <c:pt idx="193">
                  <c:v>0.31887524472828066</c:v>
                </c:pt>
                <c:pt idx="194">
                  <c:v>0.31879039052200164</c:v>
                </c:pt>
                <c:pt idx="195">
                  <c:v>0.3187059047744874</c:v>
                </c:pt>
                <c:pt idx="196">
                  <c:v>0.31862181322091498</c:v>
                </c:pt>
                <c:pt idx="197">
                  <c:v>0.31853814147638632</c:v>
                </c:pt>
                <c:pt idx="198">
                  <c:v>0.31845491502812528</c:v>
                </c:pt>
                <c:pt idx="199">
                  <c:v>0.31837215922771422</c:v>
                </c:pt>
                <c:pt idx="200">
                  <c:v>0.31828989928337165</c:v>
                </c:pt>
                <c:pt idx="201">
                  <c:v>0.3182081602522735</c:v>
                </c:pt>
                <c:pt idx="202">
                  <c:v>0.31812696703292043</c:v>
                </c:pt>
                <c:pt idx="203">
                  <c:v>0.31804634435755363</c:v>
                </c:pt>
                <c:pt idx="204">
                  <c:v>0.31796631678462101</c:v>
                </c:pt>
                <c:pt idx="205">
                  <c:v>0.31788690869129649</c:v>
                </c:pt>
                <c:pt idx="206">
                  <c:v>0.31780814426605464</c:v>
                </c:pt>
                <c:pt idx="207">
                  <c:v>0.31773004750130229</c:v>
                </c:pt>
                <c:pt idx="208">
                  <c:v>0.31765264218607053</c:v>
                </c:pt>
                <c:pt idx="209">
                  <c:v>0.3175759518987683</c:v>
                </c:pt>
                <c:pt idx="210">
                  <c:v>0.3175</c:v>
                </c:pt>
                <c:pt idx="211">
                  <c:v>0.31742480962544972</c:v>
                </c:pt>
                <c:pt idx="212">
                  <c:v>0.31735040367883399</c:v>
                </c:pt>
                <c:pt idx="213">
                  <c:v>0.31727680482492487</c:v>
                </c:pt>
                <c:pt idx="214">
                  <c:v>0.31720403548264625</c:v>
                </c:pt>
                <c:pt idx="215">
                  <c:v>0.3171321178182448</c:v>
                </c:pt>
                <c:pt idx="216">
                  <c:v>0.31706107373853765</c:v>
                </c:pt>
                <c:pt idx="217">
                  <c:v>0.31699092488423974</c:v>
                </c:pt>
                <c:pt idx="218">
                  <c:v>0.31692169262337172</c:v>
                </c:pt>
                <c:pt idx="219">
                  <c:v>0.31685339804475082</c:v>
                </c:pt>
                <c:pt idx="220">
                  <c:v>0.31678606195156733</c:v>
                </c:pt>
                <c:pt idx="221">
                  <c:v>0.31671970485504747</c:v>
                </c:pt>
                <c:pt idx="222">
                  <c:v>0.31665434696820571</c:v>
                </c:pt>
                <c:pt idx="223">
                  <c:v>0.31659000819968752</c:v>
                </c:pt>
                <c:pt idx="224">
                  <c:v>0.316526708147705</c:v>
                </c:pt>
                <c:pt idx="225">
                  <c:v>0.31646446609406725</c:v>
                </c:pt>
                <c:pt idx="226">
                  <c:v>0.31640330099830677</c:v>
                </c:pt>
                <c:pt idx="227">
                  <c:v>0.31634323149190413</c:v>
                </c:pt>
                <c:pt idx="228">
                  <c:v>0.31628427587261304</c:v>
                </c:pt>
                <c:pt idx="229">
                  <c:v>0.31622645209888617</c:v>
                </c:pt>
                <c:pt idx="230">
                  <c:v>0.31616977778440514</c:v>
                </c:pt>
                <c:pt idx="231">
                  <c:v>0.31611427019271515</c:v>
                </c:pt>
                <c:pt idx="232">
                  <c:v>0.31605994623196637</c:v>
                </c:pt>
                <c:pt idx="233">
                  <c:v>0.31600682244976352</c:v>
                </c:pt>
                <c:pt idx="234">
                  <c:v>0.31595491502812528</c:v>
                </c:pt>
                <c:pt idx="235">
                  <c:v>0.31590423977855503</c:v>
                </c:pt>
                <c:pt idx="236">
                  <c:v>0.31585481213722477</c:v>
                </c:pt>
                <c:pt idx="237">
                  <c:v>0.3158066471602729</c:v>
                </c:pt>
                <c:pt idx="238">
                  <c:v>0.31575975951921786</c:v>
                </c:pt>
                <c:pt idx="239">
                  <c:v>0.31571416349648945</c:v>
                </c:pt>
                <c:pt idx="240">
                  <c:v>0.31566987298107779</c:v>
                </c:pt>
                <c:pt idx="241">
                  <c:v>0.315626901464303</c:v>
                </c:pt>
                <c:pt idx="242">
                  <c:v>0.31558526203570536</c:v>
                </c:pt>
                <c:pt idx="243">
                  <c:v>0.31554496737905818</c:v>
                </c:pt>
                <c:pt idx="244">
                  <c:v>0.31550602976850417</c:v>
                </c:pt>
                <c:pt idx="245">
                  <c:v>0.31546846106481674</c:v>
                </c:pt>
                <c:pt idx="246">
                  <c:v>0.31543227271178698</c:v>
                </c:pt>
                <c:pt idx="247">
                  <c:v>0.3153974757327378</c:v>
                </c:pt>
                <c:pt idx="248">
                  <c:v>0.3153640807271661</c:v>
                </c:pt>
                <c:pt idx="249">
                  <c:v>0.31533209786751398</c:v>
                </c:pt>
                <c:pt idx="250">
                  <c:v>0.31530153689607049</c:v>
                </c:pt>
                <c:pt idx="251">
                  <c:v>0.31527240712200344</c:v>
                </c:pt>
                <c:pt idx="252">
                  <c:v>0.31524471741852422</c:v>
                </c:pt>
                <c:pt idx="253">
                  <c:v>0.31521847622018484</c:v>
                </c:pt>
                <c:pt idx="254">
                  <c:v>0.31519369152030841</c:v>
                </c:pt>
                <c:pt idx="255">
                  <c:v>0.31517037086855465</c:v>
                </c:pt>
                <c:pt idx="256">
                  <c:v>0.31514852136862004</c:v>
                </c:pt>
                <c:pt idx="257">
                  <c:v>0.31512814967607383</c:v>
                </c:pt>
                <c:pt idx="258">
                  <c:v>0.31510926199633099</c:v>
                </c:pt>
                <c:pt idx="259">
                  <c:v>0.31509186408276169</c:v>
                </c:pt>
                <c:pt idx="260">
                  <c:v>0.31507596123493897</c:v>
                </c:pt>
                <c:pt idx="261">
                  <c:v>0.31506155829702431</c:v>
                </c:pt>
                <c:pt idx="262">
                  <c:v>0.31504865965629214</c:v>
                </c:pt>
                <c:pt idx="263">
                  <c:v>0.31503726924179337</c:v>
                </c:pt>
                <c:pt idx="264">
                  <c:v>0.31502739052315865</c:v>
                </c:pt>
                <c:pt idx="265">
                  <c:v>0.31501902650954128</c:v>
                </c:pt>
                <c:pt idx="266">
                  <c:v>0.31501217974870088</c:v>
                </c:pt>
                <c:pt idx="267">
                  <c:v>0.31500685232622716</c:v>
                </c:pt>
                <c:pt idx="268">
                  <c:v>0.31500304586490452</c:v>
                </c:pt>
                <c:pt idx="269">
                  <c:v>0.31500076152421808</c:v>
                </c:pt>
                <c:pt idx="270">
                  <c:v>0.315</c:v>
                </c:pt>
                <c:pt idx="271">
                  <c:v>0.31500076152421808</c:v>
                </c:pt>
                <c:pt idx="272">
                  <c:v>0.31500304586490452</c:v>
                </c:pt>
                <c:pt idx="273">
                  <c:v>0.31500685232622716</c:v>
                </c:pt>
                <c:pt idx="274">
                  <c:v>0.31501217974870088</c:v>
                </c:pt>
                <c:pt idx="275">
                  <c:v>0.31501902650954128</c:v>
                </c:pt>
                <c:pt idx="276">
                  <c:v>0.31502739052315865</c:v>
                </c:pt>
                <c:pt idx="277">
                  <c:v>0.31503726924179337</c:v>
                </c:pt>
                <c:pt idx="278">
                  <c:v>0.31504865965629214</c:v>
                </c:pt>
                <c:pt idx="279">
                  <c:v>0.31506155829702431</c:v>
                </c:pt>
                <c:pt idx="280">
                  <c:v>0.31507596123493897</c:v>
                </c:pt>
                <c:pt idx="281">
                  <c:v>0.31509186408276169</c:v>
                </c:pt>
                <c:pt idx="282">
                  <c:v>0.31510926199633099</c:v>
                </c:pt>
                <c:pt idx="283">
                  <c:v>0.31512814967607383</c:v>
                </c:pt>
                <c:pt idx="284">
                  <c:v>0.31514852136862004</c:v>
                </c:pt>
                <c:pt idx="285">
                  <c:v>0.31517037086855465</c:v>
                </c:pt>
                <c:pt idx="286">
                  <c:v>0.31519369152030841</c:v>
                </c:pt>
                <c:pt idx="287">
                  <c:v>0.31521847622018484</c:v>
                </c:pt>
                <c:pt idx="288">
                  <c:v>0.31524471741852422</c:v>
                </c:pt>
                <c:pt idx="289">
                  <c:v>0.31527240712200344</c:v>
                </c:pt>
                <c:pt idx="290">
                  <c:v>0.31530153689607049</c:v>
                </c:pt>
                <c:pt idx="291">
                  <c:v>0.31533209786751398</c:v>
                </c:pt>
                <c:pt idx="292">
                  <c:v>0.3153640807271661</c:v>
                </c:pt>
                <c:pt idx="293">
                  <c:v>0.3153974757327378</c:v>
                </c:pt>
                <c:pt idx="294">
                  <c:v>0.31543227271178698</c:v>
                </c:pt>
                <c:pt idx="295">
                  <c:v>0.31546846106481674</c:v>
                </c:pt>
                <c:pt idx="296">
                  <c:v>0.31550602976850417</c:v>
                </c:pt>
                <c:pt idx="297">
                  <c:v>0.31554496737905818</c:v>
                </c:pt>
                <c:pt idx="298">
                  <c:v>0.31558526203570536</c:v>
                </c:pt>
                <c:pt idx="299">
                  <c:v>0.31562690146430306</c:v>
                </c:pt>
                <c:pt idx="300">
                  <c:v>0.31566987298107779</c:v>
                </c:pt>
                <c:pt idx="301">
                  <c:v>0.31571416349648945</c:v>
                </c:pt>
                <c:pt idx="302">
                  <c:v>0.31575975951921786</c:v>
                </c:pt>
                <c:pt idx="303">
                  <c:v>0.3158066471602729</c:v>
                </c:pt>
                <c:pt idx="304">
                  <c:v>0.31585481213722477</c:v>
                </c:pt>
                <c:pt idx="305">
                  <c:v>0.31590423977855503</c:v>
                </c:pt>
                <c:pt idx="306">
                  <c:v>0.31595491502812528</c:v>
                </c:pt>
                <c:pt idx="307">
                  <c:v>0.31600682244976352</c:v>
                </c:pt>
                <c:pt idx="308">
                  <c:v>0.31605994623196637</c:v>
                </c:pt>
                <c:pt idx="309">
                  <c:v>0.31611427019271515</c:v>
                </c:pt>
                <c:pt idx="310">
                  <c:v>0.31616977778440514</c:v>
                </c:pt>
                <c:pt idx="311">
                  <c:v>0.31622645209888617</c:v>
                </c:pt>
                <c:pt idx="312">
                  <c:v>0.31628427587261304</c:v>
                </c:pt>
                <c:pt idx="313">
                  <c:v>0.31634323149190413</c:v>
                </c:pt>
                <c:pt idx="314">
                  <c:v>0.31640330099830677</c:v>
                </c:pt>
                <c:pt idx="315">
                  <c:v>0.31646446609406725</c:v>
                </c:pt>
                <c:pt idx="316">
                  <c:v>0.316526708147705</c:v>
                </c:pt>
                <c:pt idx="317">
                  <c:v>0.31659000819968752</c:v>
                </c:pt>
                <c:pt idx="318">
                  <c:v>0.31665434696820571</c:v>
                </c:pt>
                <c:pt idx="319">
                  <c:v>0.31671970485504747</c:v>
                </c:pt>
                <c:pt idx="320">
                  <c:v>0.31678606195156733</c:v>
                </c:pt>
                <c:pt idx="321">
                  <c:v>0.31685339804475082</c:v>
                </c:pt>
                <c:pt idx="322">
                  <c:v>0.31692169262337172</c:v>
                </c:pt>
                <c:pt idx="323">
                  <c:v>0.31699092488423974</c:v>
                </c:pt>
                <c:pt idx="324">
                  <c:v>0.31706107373853765</c:v>
                </c:pt>
                <c:pt idx="325">
                  <c:v>0.3171321178182448</c:v>
                </c:pt>
                <c:pt idx="326">
                  <c:v>0.31720403548264625</c:v>
                </c:pt>
                <c:pt idx="327">
                  <c:v>0.31727680482492487</c:v>
                </c:pt>
                <c:pt idx="328">
                  <c:v>0.31735040367883399</c:v>
                </c:pt>
                <c:pt idx="329">
                  <c:v>0.31742480962544972</c:v>
                </c:pt>
                <c:pt idx="330">
                  <c:v>0.3175</c:v>
                </c:pt>
                <c:pt idx="331">
                  <c:v>0.3175759518987683</c:v>
                </c:pt>
                <c:pt idx="332">
                  <c:v>0.31765264218607053</c:v>
                </c:pt>
                <c:pt idx="333">
                  <c:v>0.31773004750130229</c:v>
                </c:pt>
                <c:pt idx="334">
                  <c:v>0.31780814426605464</c:v>
                </c:pt>
                <c:pt idx="335">
                  <c:v>0.31788690869129649</c:v>
                </c:pt>
                <c:pt idx="336">
                  <c:v>0.31796631678462101</c:v>
                </c:pt>
                <c:pt idx="337">
                  <c:v>0.31804634435755363</c:v>
                </c:pt>
                <c:pt idx="338">
                  <c:v>0.31812696703292043</c:v>
                </c:pt>
                <c:pt idx="339">
                  <c:v>0.3182081602522735</c:v>
                </c:pt>
                <c:pt idx="340">
                  <c:v>0.31828989928337165</c:v>
                </c:pt>
                <c:pt idx="341">
                  <c:v>0.31837215922771422</c:v>
                </c:pt>
                <c:pt idx="342">
                  <c:v>0.31845491502812528</c:v>
                </c:pt>
                <c:pt idx="343">
                  <c:v>0.31853814147638632</c:v>
                </c:pt>
                <c:pt idx="344">
                  <c:v>0.31862181322091498</c:v>
                </c:pt>
                <c:pt idx="345">
                  <c:v>0.3187059047744874</c:v>
                </c:pt>
                <c:pt idx="346">
                  <c:v>0.31879039052200164</c:v>
                </c:pt>
                <c:pt idx="347">
                  <c:v>0.31887524472828066</c:v>
                </c:pt>
                <c:pt idx="348">
                  <c:v>0.31896044154591119</c:v>
                </c:pt>
                <c:pt idx="349">
                  <c:v>0.31904595502311728</c:v>
                </c:pt>
                <c:pt idx="350">
                  <c:v>0.31913175911166536</c:v>
                </c:pt>
                <c:pt idx="351">
                  <c:v>0.31921782767479884</c:v>
                </c:pt>
                <c:pt idx="352">
                  <c:v>0.31930413449519968</c:v>
                </c:pt>
                <c:pt idx="353">
                  <c:v>0.31939065328297428</c:v>
                </c:pt>
                <c:pt idx="354">
                  <c:v>0.31947735768366176</c:v>
                </c:pt>
                <c:pt idx="355">
                  <c:v>0.31956422128626172</c:v>
                </c:pt>
                <c:pt idx="356">
                  <c:v>0.31965121763127941</c:v>
                </c:pt>
                <c:pt idx="357">
                  <c:v>0.31973832021878529</c:v>
                </c:pt>
                <c:pt idx="358">
                  <c:v>0.3198255025164875</c:v>
                </c:pt>
                <c:pt idx="359">
                  <c:v>0.31991273796781361</c:v>
                </c:pt>
                <c:pt idx="36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B-40A7-936C-7E79979A3B63}"/>
            </c:ext>
          </c:extLst>
        </c:ser>
        <c:ser>
          <c:idx val="1"/>
          <c:order val="1"/>
          <c:tx>
            <c:v>원점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[1]EVENT_YYMMDD_Optical!$L$12</c:f>
              <c:numCache>
                <c:formatCode>General</c:formatCode>
                <c:ptCount val="1"/>
                <c:pt idx="0">
                  <c:v>0.29299999999999998</c:v>
                </c:pt>
              </c:numCache>
            </c:numRef>
          </c:xVal>
          <c:yVal>
            <c:numRef>
              <c:f>[1]EVENT_YYMMDD_Optical!$M$12</c:f>
              <c:numCache>
                <c:formatCode>General</c:formatCode>
                <c:ptCount val="1"/>
                <c:pt idx="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B-40A7-936C-7E79979A3B63}"/>
            </c:ext>
          </c:extLst>
        </c:ser>
        <c:ser>
          <c:idx val="2"/>
          <c:order val="2"/>
          <c:tx>
            <c:v>DV9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출하데이터_data!$M$20:$M$600</c:f>
              <c:numCache>
                <c:formatCode>0.0000_);[Red]\(0.0000\)</c:formatCode>
                <c:ptCount val="581"/>
              </c:numCache>
            </c:numRef>
          </c:xVal>
          <c:yVal>
            <c:numRef>
              <c:f>출하데이터_data!$N$20:$N$600</c:f>
              <c:numCache>
                <c:formatCode>0.0000_);[Red]\(0.0000\)</c:formatCode>
                <c:ptCount val="58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BB-40A7-936C-7E79979A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147728"/>
        <c:axId val="1200160208"/>
        <c:extLst/>
      </c:scatterChart>
      <c:valAx>
        <c:axId val="120014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60208"/>
        <c:crosses val="autoZero"/>
        <c:crossBetween val="midCat"/>
        <c:majorUnit val="5.000000000000001E-3"/>
      </c:valAx>
      <c:valAx>
        <c:axId val="12001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4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5287029238526"/>
          <c:y val="0.71091942515059448"/>
          <c:w val="0.1237144944245923"/>
          <c:h val="0.21619042479198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RED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양식!$F$20:$F$225</c:f>
              <c:numCache>
                <c:formatCode>0.0000_);[Red]\(0.0000\)</c:formatCode>
                <c:ptCount val="206"/>
              </c:numCache>
            </c:numRef>
          </c:xVal>
          <c:yVal>
            <c:numRef>
              <c:f>양식!$G$20:$G$225</c:f>
              <c:numCache>
                <c:formatCode>0.0000_);[Red]\(0.0000\)</c:formatCode>
                <c:ptCount val="20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1-4AED-8F77-D91C75A78DB2}"/>
            </c:ext>
          </c:extLst>
        </c:ser>
        <c:ser>
          <c:idx val="3"/>
          <c:order val="1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양식!$F$12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양식!$G$12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1-4AED-8F77-D91C75A78DB2}"/>
            </c:ext>
          </c:extLst>
        </c:ser>
        <c:ser>
          <c:idx val="1"/>
          <c:order val="2"/>
          <c:tx>
            <c:v>RED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양식!$F$12</c:f>
              <c:numCache>
                <c:formatCode>0.000_);[Red]\(0.000\)</c:formatCode>
                <c:ptCount val="1"/>
                <c:pt idx="0">
                  <c:v>0.64</c:v>
                </c:pt>
              </c:numCache>
            </c:numRef>
          </c:xVal>
          <c:yVal>
            <c:numRef>
              <c:f>양식!$G$12</c:f>
              <c:numCache>
                <c:formatCode>0.000_);[Red]\(0.000\)</c:formatCode>
                <c:ptCount val="1"/>
                <c:pt idx="0">
                  <c:v>0.35099999999999998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01-4AED-8F77-D91C75A78DB2}"/>
            </c:ext>
          </c:extLst>
        </c:ser>
        <c:ser>
          <c:idx val="4"/>
          <c:order val="3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양식!$AQ$30:$AQ$34</c:f>
              <c:numCache>
                <c:formatCode>0.000_);[Red]\(0.000\)</c:formatCode>
                <c:ptCount val="5"/>
                <c:pt idx="0">
                  <c:v>0.61</c:v>
                </c:pt>
                <c:pt idx="1">
                  <c:v>0.61</c:v>
                </c:pt>
                <c:pt idx="2">
                  <c:v>0.67</c:v>
                </c:pt>
                <c:pt idx="3">
                  <c:v>0.67</c:v>
                </c:pt>
                <c:pt idx="4">
                  <c:v>0.61</c:v>
                </c:pt>
              </c:numCache>
            </c:numRef>
          </c:xVal>
          <c:yVal>
            <c:numRef>
              <c:f>양식!$AR$30:$AR$34</c:f>
              <c:numCache>
                <c:formatCode>0.000_);[Red]\(0.000\)</c:formatCode>
                <c:ptCount val="5"/>
                <c:pt idx="0">
                  <c:v>0.32099999999999995</c:v>
                </c:pt>
                <c:pt idx="1">
                  <c:v>0.38100000000000001</c:v>
                </c:pt>
                <c:pt idx="2">
                  <c:v>0.38100000000000001</c:v>
                </c:pt>
                <c:pt idx="3">
                  <c:v>0.32099999999999995</c:v>
                </c:pt>
                <c:pt idx="4">
                  <c:v>0.32099999999999995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01-4AED-8F77-D91C75A7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482272"/>
        <c:axId val="687480312"/>
      </c:scatterChart>
      <c:valAx>
        <c:axId val="68748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0312"/>
        <c:crosses val="autoZero"/>
        <c:crossBetween val="midCat"/>
      </c:valAx>
      <c:valAx>
        <c:axId val="687480312"/>
        <c:scaling>
          <c:orientation val="minMax"/>
          <c:min val="0.31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74822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GREEN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양식!$H$20:$H$225</c:f>
              <c:numCache>
                <c:formatCode>0.0000_);[Red]\(0.0000\)</c:formatCode>
                <c:ptCount val="206"/>
              </c:numCache>
            </c:numRef>
          </c:xVal>
          <c:yVal>
            <c:numRef>
              <c:f>양식!$I$20:$I$225</c:f>
              <c:numCache>
                <c:formatCode>0.0000_);[Red]\(0.0000\)</c:formatCode>
                <c:ptCount val="20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5-4662-808C-E138D16663BF}"/>
            </c:ext>
          </c:extLst>
        </c:ser>
        <c:ser>
          <c:idx val="1"/>
          <c:order val="1"/>
          <c:tx>
            <c:v>GREEN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양식!$H$12</c:f>
              <c:numCache>
                <c:formatCode>0.000_);[Red]\(0.000\)</c:formatCode>
                <c:ptCount val="1"/>
                <c:pt idx="0">
                  <c:v>0.29199999999999998</c:v>
                </c:pt>
              </c:numCache>
            </c:numRef>
          </c:xVal>
          <c:yVal>
            <c:numRef>
              <c:f>양식!$I$12</c:f>
              <c:numCache>
                <c:formatCode>0.000_);[Red]\(0.000\)</c:formatCode>
                <c:ptCount val="1"/>
                <c:pt idx="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5-4662-808C-E138D16663BF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양식!$AH$48:$AH$52</c:f>
              <c:numCache>
                <c:formatCode>0.000_);[Red]\(0.000\)</c:formatCode>
                <c:ptCount val="5"/>
                <c:pt idx="0">
                  <c:v>0.26200000000000001</c:v>
                </c:pt>
                <c:pt idx="1">
                  <c:v>0.26200000000000001</c:v>
                </c:pt>
                <c:pt idx="2">
                  <c:v>0.32199999999999995</c:v>
                </c:pt>
                <c:pt idx="3">
                  <c:v>0.32199999999999995</c:v>
                </c:pt>
                <c:pt idx="4">
                  <c:v>0.26200000000000001</c:v>
                </c:pt>
              </c:numCache>
            </c:numRef>
          </c:xVal>
          <c:yVal>
            <c:numRef>
              <c:f>양식!$AI$48:$AI$52</c:f>
              <c:numCache>
                <c:formatCode>0.000_);[Red]\(0.000\)</c:formatCode>
                <c:ptCount val="5"/>
                <c:pt idx="0">
                  <c:v>0.61699999999999999</c:v>
                </c:pt>
                <c:pt idx="1">
                  <c:v>0.67700000000000005</c:v>
                </c:pt>
                <c:pt idx="2">
                  <c:v>0.67700000000000005</c:v>
                </c:pt>
                <c:pt idx="3">
                  <c:v>0.61699999999999999</c:v>
                </c:pt>
                <c:pt idx="4">
                  <c:v>0.61699999999999999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5-4662-808C-E138D1666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58512"/>
        <c:axId val="679362040"/>
      </c:scatterChart>
      <c:valAx>
        <c:axId val="679358512"/>
        <c:scaling>
          <c:orientation val="minMax"/>
          <c:max val="0.33000000000000007"/>
          <c:min val="0.2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2040"/>
        <c:crosses val="autoZero"/>
        <c:crossBetween val="midCat"/>
        <c:majorUnit val="5.000000000000001E-3"/>
      </c:valAx>
      <c:valAx>
        <c:axId val="679362040"/>
        <c:scaling>
          <c:orientation val="minMax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58512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BLUE 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색좌표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양식!$J$20:$J$225</c:f>
              <c:numCache>
                <c:formatCode>0.0000_);[Red]\(0.0000\)</c:formatCode>
                <c:ptCount val="206"/>
              </c:numCache>
            </c:numRef>
          </c:xVal>
          <c:yVal>
            <c:numRef>
              <c:f>양식!$K$20:$K$225</c:f>
              <c:numCache>
                <c:formatCode>0.0000_);[Red]\(0.0000\)</c:formatCode>
                <c:ptCount val="20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4-4C18-9F2A-A56648823E74}"/>
            </c:ext>
          </c:extLst>
        </c:ser>
        <c:ser>
          <c:idx val="1"/>
          <c:order val="1"/>
          <c:tx>
            <c:v>BLUE SPEC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양식!$J$12</c:f>
              <c:numCache>
                <c:formatCode>0.000_);[Red]\(0.000\)</c:formatCode>
                <c:ptCount val="1"/>
                <c:pt idx="0">
                  <c:v>0.15</c:v>
                </c:pt>
              </c:numCache>
            </c:numRef>
          </c:xVal>
          <c:yVal>
            <c:numRef>
              <c:f>양식!$K$12</c:f>
              <c:numCache>
                <c:formatCode>0.000_);[Red]\(0.000\)</c:formatCode>
                <c:ptCount val="1"/>
                <c:pt idx="0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04-4C18-9F2A-A56648823E74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양식!$AQ$48:$AQ$52</c:f>
              <c:numCache>
                <c:formatCode>0.000_);[Red]\(0.000\)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0.18</c:v>
                </c:pt>
                <c:pt idx="3">
                  <c:v>0.18</c:v>
                </c:pt>
                <c:pt idx="4">
                  <c:v>0.12</c:v>
                </c:pt>
              </c:numCache>
            </c:numRef>
          </c:xVal>
          <c:yVal>
            <c:numRef>
              <c:f>양식!$AR$48:$AR$52</c:f>
              <c:numCache>
                <c:formatCode>0.000_);[Red]\(0.000\)</c:formatCode>
                <c:ptCount val="5"/>
                <c:pt idx="0">
                  <c:v>0.03</c:v>
                </c:pt>
                <c:pt idx="1">
                  <c:v>0.09</c:v>
                </c:pt>
                <c:pt idx="2">
                  <c:v>0.09</c:v>
                </c:pt>
                <c:pt idx="3">
                  <c:v>0.03</c:v>
                </c:pt>
                <c:pt idx="4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04-4C18-9F2A-A56648823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360864"/>
        <c:axId val="679361256"/>
      </c:scatterChart>
      <c:valAx>
        <c:axId val="679360864"/>
        <c:scaling>
          <c:orientation val="minMax"/>
          <c:min val="0.115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1256"/>
        <c:crosses val="autoZero"/>
        <c:crossBetween val="midCat"/>
        <c:majorUnit val="5.000000000000001E-3"/>
      </c:valAx>
      <c:valAx>
        <c:axId val="679361256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360864"/>
        <c:crosses val="autoZero"/>
        <c:crossBetween val="midCat"/>
        <c:maj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휘도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양식!$O$20:$O$96</c:f>
              <c:numCache>
                <c:formatCode>0.0000_);[Red]\(0.0000\)</c:formatCode>
                <c:ptCount val="7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9-478A-A230-4888F9D72878}"/>
            </c:ext>
          </c:extLst>
        </c:ser>
        <c:ser>
          <c:idx val="1"/>
          <c:order val="1"/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양식!$AZ$20:$AZ$96</c:f>
              <c:numCache>
                <c:formatCode>0.0_);[Red]\(0.0\)</c:formatCode>
                <c:ptCount val="77"/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79-478A-A230-4888F9D72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  <c:max val="12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  <c:majorUnit val="50"/>
        <c:min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CR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측정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양식!$Q$20:$Q$96</c:f>
              <c:numCache>
                <c:formatCode>0_);[Red]\(0\)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1-42A1-BF9F-8124C327A909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양식!$Q$20:$Q$96</c:f>
              <c:numCache>
                <c:formatCode>0_);[Red]\(0\)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11-42A1-BF9F-8124C327A909}"/>
            </c:ext>
          </c:extLst>
        </c:ser>
        <c:ser>
          <c:idx val="2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양식!$BA$20:$BA$96</c:f>
              <c:numCache>
                <c:formatCode>0.0_);[Red]\(0.0\)</c:formatCode>
                <c:ptCount val="77"/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11-42A1-BF9F-8124C327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색재현율</a:t>
            </a:r>
            <a:r>
              <a:rPr lang="en-US" altLang="ko-KR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</a:t>
            </a:r>
            <a:r>
              <a:rPr lang="ko-KR" altLang="en-US" baseline="0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측정</a:t>
            </a:r>
            <a:r>
              <a:rPr lang="ko-KR" altLang="en-US"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결과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양식!$B$20:$B$225</c:f>
              <c:strCache>
                <c:ptCount val="206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</c:strCache>
            </c:strRef>
          </c:cat>
          <c:val>
            <c:numRef>
              <c:f>양식!$L$20:$L$96</c:f>
              <c:numCache>
                <c:formatCode>0.0_ 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B-42B3-B060-310DA2EF0F9F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양식!$B$20:$B$225</c:f>
              <c:strCache>
                <c:ptCount val="206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  <c:pt idx="77">
                  <c:v>#78</c:v>
                </c:pt>
                <c:pt idx="78">
                  <c:v>#79</c:v>
                </c:pt>
                <c:pt idx="79">
                  <c:v>#80</c:v>
                </c:pt>
                <c:pt idx="80">
                  <c:v>#81</c:v>
                </c:pt>
                <c:pt idx="81">
                  <c:v>#82</c:v>
                </c:pt>
                <c:pt idx="82">
                  <c:v>#83</c:v>
                </c:pt>
                <c:pt idx="83">
                  <c:v>#84</c:v>
                </c:pt>
                <c:pt idx="84">
                  <c:v>#85</c:v>
                </c:pt>
                <c:pt idx="85">
                  <c:v>#86</c:v>
                </c:pt>
                <c:pt idx="86">
                  <c:v>#87</c:v>
                </c:pt>
                <c:pt idx="87">
                  <c:v>#88</c:v>
                </c:pt>
                <c:pt idx="88">
                  <c:v>#89</c:v>
                </c:pt>
                <c:pt idx="89">
                  <c:v>#90</c:v>
                </c:pt>
                <c:pt idx="90">
                  <c:v>#91</c:v>
                </c:pt>
                <c:pt idx="91">
                  <c:v>#92</c:v>
                </c:pt>
                <c:pt idx="92">
                  <c:v>#93</c:v>
                </c:pt>
                <c:pt idx="93">
                  <c:v>#94</c:v>
                </c:pt>
                <c:pt idx="94">
                  <c:v>#95</c:v>
                </c:pt>
                <c:pt idx="95">
                  <c:v>#96</c:v>
                </c:pt>
                <c:pt idx="96">
                  <c:v>#97</c:v>
                </c:pt>
                <c:pt idx="97">
                  <c:v>#98</c:v>
                </c:pt>
                <c:pt idx="98">
                  <c:v>#99</c:v>
                </c:pt>
                <c:pt idx="99">
                  <c:v>#100</c:v>
                </c:pt>
                <c:pt idx="100">
                  <c:v>#101</c:v>
                </c:pt>
                <c:pt idx="101">
                  <c:v>#102</c:v>
                </c:pt>
                <c:pt idx="102">
                  <c:v>#103</c:v>
                </c:pt>
                <c:pt idx="103">
                  <c:v>#104</c:v>
                </c:pt>
                <c:pt idx="104">
                  <c:v>#105</c:v>
                </c:pt>
                <c:pt idx="105">
                  <c:v>#106</c:v>
                </c:pt>
                <c:pt idx="106">
                  <c:v>#107</c:v>
                </c:pt>
                <c:pt idx="107">
                  <c:v>#108</c:v>
                </c:pt>
                <c:pt idx="108">
                  <c:v>#109</c:v>
                </c:pt>
                <c:pt idx="109">
                  <c:v>#110</c:v>
                </c:pt>
                <c:pt idx="110">
                  <c:v>#111</c:v>
                </c:pt>
                <c:pt idx="111">
                  <c:v>#112</c:v>
                </c:pt>
                <c:pt idx="112">
                  <c:v>#113</c:v>
                </c:pt>
                <c:pt idx="113">
                  <c:v>#114</c:v>
                </c:pt>
                <c:pt idx="114">
                  <c:v>#115</c:v>
                </c:pt>
                <c:pt idx="115">
                  <c:v>#116</c:v>
                </c:pt>
                <c:pt idx="116">
                  <c:v>#117</c:v>
                </c:pt>
                <c:pt idx="117">
                  <c:v>#118</c:v>
                </c:pt>
                <c:pt idx="118">
                  <c:v>#119</c:v>
                </c:pt>
                <c:pt idx="119">
                  <c:v>#120</c:v>
                </c:pt>
                <c:pt idx="120">
                  <c:v>#121</c:v>
                </c:pt>
                <c:pt idx="121">
                  <c:v>#122</c:v>
                </c:pt>
                <c:pt idx="122">
                  <c:v>#123</c:v>
                </c:pt>
                <c:pt idx="123">
                  <c:v>#124</c:v>
                </c:pt>
                <c:pt idx="124">
                  <c:v>#125</c:v>
                </c:pt>
                <c:pt idx="125">
                  <c:v>#126</c:v>
                </c:pt>
                <c:pt idx="126">
                  <c:v>#127</c:v>
                </c:pt>
                <c:pt idx="127">
                  <c:v>#128</c:v>
                </c:pt>
                <c:pt idx="128">
                  <c:v>#129</c:v>
                </c:pt>
                <c:pt idx="129">
                  <c:v>#130</c:v>
                </c:pt>
                <c:pt idx="130">
                  <c:v>#131</c:v>
                </c:pt>
                <c:pt idx="131">
                  <c:v>#132</c:v>
                </c:pt>
                <c:pt idx="132">
                  <c:v>#133</c:v>
                </c:pt>
                <c:pt idx="133">
                  <c:v>#134</c:v>
                </c:pt>
                <c:pt idx="134">
                  <c:v>#135</c:v>
                </c:pt>
                <c:pt idx="135">
                  <c:v>#136</c:v>
                </c:pt>
                <c:pt idx="136">
                  <c:v>#137</c:v>
                </c:pt>
                <c:pt idx="137">
                  <c:v>#138</c:v>
                </c:pt>
                <c:pt idx="138">
                  <c:v>#139</c:v>
                </c:pt>
                <c:pt idx="139">
                  <c:v>#140</c:v>
                </c:pt>
                <c:pt idx="140">
                  <c:v>#141</c:v>
                </c:pt>
                <c:pt idx="141">
                  <c:v>#142</c:v>
                </c:pt>
                <c:pt idx="142">
                  <c:v>#143</c:v>
                </c:pt>
                <c:pt idx="143">
                  <c:v>#144</c:v>
                </c:pt>
                <c:pt idx="144">
                  <c:v>#145</c:v>
                </c:pt>
                <c:pt idx="145">
                  <c:v>#146</c:v>
                </c:pt>
                <c:pt idx="146">
                  <c:v>#147</c:v>
                </c:pt>
                <c:pt idx="147">
                  <c:v>#148</c:v>
                </c:pt>
                <c:pt idx="148">
                  <c:v>#149</c:v>
                </c:pt>
                <c:pt idx="149">
                  <c:v>#150</c:v>
                </c:pt>
                <c:pt idx="150">
                  <c:v>#151</c:v>
                </c:pt>
                <c:pt idx="151">
                  <c:v>#152</c:v>
                </c:pt>
                <c:pt idx="152">
                  <c:v>#153</c:v>
                </c:pt>
                <c:pt idx="153">
                  <c:v>#154</c:v>
                </c:pt>
                <c:pt idx="154">
                  <c:v>#155</c:v>
                </c:pt>
                <c:pt idx="155">
                  <c:v>#156</c:v>
                </c:pt>
                <c:pt idx="156">
                  <c:v>#157</c:v>
                </c:pt>
                <c:pt idx="157">
                  <c:v>#158</c:v>
                </c:pt>
                <c:pt idx="158">
                  <c:v>#159</c:v>
                </c:pt>
                <c:pt idx="159">
                  <c:v>#160</c:v>
                </c:pt>
                <c:pt idx="160">
                  <c:v>#161</c:v>
                </c:pt>
                <c:pt idx="161">
                  <c:v>#162</c:v>
                </c:pt>
                <c:pt idx="162">
                  <c:v>#163</c:v>
                </c:pt>
                <c:pt idx="163">
                  <c:v>#164</c:v>
                </c:pt>
                <c:pt idx="164">
                  <c:v>#165</c:v>
                </c:pt>
                <c:pt idx="165">
                  <c:v>#166</c:v>
                </c:pt>
                <c:pt idx="166">
                  <c:v>#167</c:v>
                </c:pt>
                <c:pt idx="167">
                  <c:v>#168</c:v>
                </c:pt>
                <c:pt idx="168">
                  <c:v>#169</c:v>
                </c:pt>
                <c:pt idx="169">
                  <c:v>#170</c:v>
                </c:pt>
                <c:pt idx="170">
                  <c:v>#171</c:v>
                </c:pt>
                <c:pt idx="171">
                  <c:v>#172</c:v>
                </c:pt>
                <c:pt idx="172">
                  <c:v>#173</c:v>
                </c:pt>
                <c:pt idx="173">
                  <c:v>#174</c:v>
                </c:pt>
                <c:pt idx="174">
                  <c:v>#175</c:v>
                </c:pt>
                <c:pt idx="175">
                  <c:v>#176</c:v>
                </c:pt>
                <c:pt idx="176">
                  <c:v>#177</c:v>
                </c:pt>
                <c:pt idx="177">
                  <c:v>#178</c:v>
                </c:pt>
                <c:pt idx="178">
                  <c:v>#179</c:v>
                </c:pt>
                <c:pt idx="179">
                  <c:v>#180</c:v>
                </c:pt>
                <c:pt idx="180">
                  <c:v>#181</c:v>
                </c:pt>
                <c:pt idx="181">
                  <c:v>#182</c:v>
                </c:pt>
                <c:pt idx="182">
                  <c:v>#183</c:v>
                </c:pt>
                <c:pt idx="183">
                  <c:v>#184</c:v>
                </c:pt>
                <c:pt idx="184">
                  <c:v>#185</c:v>
                </c:pt>
                <c:pt idx="185">
                  <c:v>#186</c:v>
                </c:pt>
                <c:pt idx="186">
                  <c:v>#187</c:v>
                </c:pt>
                <c:pt idx="187">
                  <c:v>#188</c:v>
                </c:pt>
                <c:pt idx="188">
                  <c:v>#189</c:v>
                </c:pt>
                <c:pt idx="189">
                  <c:v>#190</c:v>
                </c:pt>
                <c:pt idx="190">
                  <c:v>#191</c:v>
                </c:pt>
                <c:pt idx="191">
                  <c:v>#192</c:v>
                </c:pt>
                <c:pt idx="192">
                  <c:v>#193</c:v>
                </c:pt>
                <c:pt idx="193">
                  <c:v>#194</c:v>
                </c:pt>
                <c:pt idx="194">
                  <c:v>#195</c:v>
                </c:pt>
                <c:pt idx="195">
                  <c:v>#196</c:v>
                </c:pt>
                <c:pt idx="196">
                  <c:v>#197</c:v>
                </c:pt>
                <c:pt idx="197">
                  <c:v>#198</c:v>
                </c:pt>
                <c:pt idx="198">
                  <c:v>#199</c:v>
                </c:pt>
                <c:pt idx="199">
                  <c:v>#200</c:v>
                </c:pt>
                <c:pt idx="200">
                  <c:v>#201</c:v>
                </c:pt>
                <c:pt idx="201">
                  <c:v>#202</c:v>
                </c:pt>
                <c:pt idx="202">
                  <c:v>#203</c:v>
                </c:pt>
                <c:pt idx="203">
                  <c:v>#204</c:v>
                </c:pt>
                <c:pt idx="204">
                  <c:v>#205</c:v>
                </c:pt>
                <c:pt idx="205">
                  <c:v>#206</c:v>
                </c:pt>
              </c:strCache>
            </c:strRef>
          </c:cat>
          <c:val>
            <c:numRef>
              <c:f>양식!$L$20:$L$96</c:f>
              <c:numCache>
                <c:formatCode>0.0_ 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B-42B3-B060-310DA2EF0F9F}"/>
            </c:ext>
          </c:extLst>
        </c:ser>
        <c:ser>
          <c:idx val="4"/>
          <c:order val="2"/>
          <c:tx>
            <c:v>Spec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양식!$AY$20:$AY$96</c:f>
              <c:numCache>
                <c:formatCode>0.0_);[Red]\(0.0\)</c:formatCode>
                <c:ptCount val="77"/>
                <c:pt idx="3">
                  <c:v>70.8</c:v>
                </c:pt>
                <c:pt idx="4">
                  <c:v>70.8</c:v>
                </c:pt>
                <c:pt idx="5">
                  <c:v>70.8</c:v>
                </c:pt>
                <c:pt idx="6">
                  <c:v>70.8</c:v>
                </c:pt>
                <c:pt idx="7">
                  <c:v>70.8</c:v>
                </c:pt>
                <c:pt idx="8">
                  <c:v>70.8</c:v>
                </c:pt>
                <c:pt idx="9">
                  <c:v>70.8</c:v>
                </c:pt>
                <c:pt idx="10">
                  <c:v>70.8</c:v>
                </c:pt>
                <c:pt idx="11">
                  <c:v>70.8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70.8</c:v>
                </c:pt>
                <c:pt idx="17">
                  <c:v>70.8</c:v>
                </c:pt>
                <c:pt idx="18">
                  <c:v>70.8</c:v>
                </c:pt>
                <c:pt idx="19">
                  <c:v>70.8</c:v>
                </c:pt>
                <c:pt idx="20">
                  <c:v>70.8</c:v>
                </c:pt>
                <c:pt idx="21">
                  <c:v>70.8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70.8</c:v>
                </c:pt>
                <c:pt idx="26">
                  <c:v>70.8</c:v>
                </c:pt>
                <c:pt idx="27">
                  <c:v>70.8</c:v>
                </c:pt>
                <c:pt idx="28">
                  <c:v>70.8</c:v>
                </c:pt>
                <c:pt idx="29">
                  <c:v>70.8</c:v>
                </c:pt>
                <c:pt idx="30">
                  <c:v>70.8</c:v>
                </c:pt>
                <c:pt idx="31">
                  <c:v>70.8</c:v>
                </c:pt>
                <c:pt idx="32">
                  <c:v>70.8</c:v>
                </c:pt>
                <c:pt idx="33">
                  <c:v>70.8</c:v>
                </c:pt>
                <c:pt idx="34">
                  <c:v>70.8</c:v>
                </c:pt>
                <c:pt idx="35">
                  <c:v>70.8</c:v>
                </c:pt>
                <c:pt idx="36">
                  <c:v>70.8</c:v>
                </c:pt>
                <c:pt idx="37">
                  <c:v>70.8</c:v>
                </c:pt>
                <c:pt idx="38">
                  <c:v>70.8</c:v>
                </c:pt>
                <c:pt idx="39">
                  <c:v>70.8</c:v>
                </c:pt>
                <c:pt idx="40">
                  <c:v>70.8</c:v>
                </c:pt>
                <c:pt idx="41">
                  <c:v>70.8</c:v>
                </c:pt>
                <c:pt idx="42">
                  <c:v>70.8</c:v>
                </c:pt>
                <c:pt idx="43">
                  <c:v>70.8</c:v>
                </c:pt>
                <c:pt idx="44">
                  <c:v>70.8</c:v>
                </c:pt>
                <c:pt idx="45">
                  <c:v>70.8</c:v>
                </c:pt>
                <c:pt idx="46">
                  <c:v>70.8</c:v>
                </c:pt>
                <c:pt idx="47">
                  <c:v>70.8</c:v>
                </c:pt>
                <c:pt idx="48">
                  <c:v>70.8</c:v>
                </c:pt>
                <c:pt idx="49">
                  <c:v>70.8</c:v>
                </c:pt>
                <c:pt idx="50">
                  <c:v>70.8</c:v>
                </c:pt>
                <c:pt idx="51">
                  <c:v>70.8</c:v>
                </c:pt>
                <c:pt idx="52">
                  <c:v>70.8</c:v>
                </c:pt>
                <c:pt idx="53">
                  <c:v>70.8</c:v>
                </c:pt>
                <c:pt idx="54">
                  <c:v>70.8</c:v>
                </c:pt>
                <c:pt idx="55">
                  <c:v>70.8</c:v>
                </c:pt>
                <c:pt idx="56">
                  <c:v>70.8</c:v>
                </c:pt>
                <c:pt idx="57">
                  <c:v>70.8</c:v>
                </c:pt>
                <c:pt idx="58">
                  <c:v>70.8</c:v>
                </c:pt>
                <c:pt idx="59">
                  <c:v>70.8</c:v>
                </c:pt>
                <c:pt idx="60">
                  <c:v>70.8</c:v>
                </c:pt>
                <c:pt idx="61">
                  <c:v>70.8</c:v>
                </c:pt>
                <c:pt idx="62">
                  <c:v>70.8</c:v>
                </c:pt>
                <c:pt idx="63">
                  <c:v>70.8</c:v>
                </c:pt>
                <c:pt idx="64">
                  <c:v>70.8</c:v>
                </c:pt>
                <c:pt idx="65">
                  <c:v>70.8</c:v>
                </c:pt>
                <c:pt idx="66">
                  <c:v>70.8</c:v>
                </c:pt>
                <c:pt idx="67">
                  <c:v>70.8</c:v>
                </c:pt>
                <c:pt idx="68">
                  <c:v>70.8</c:v>
                </c:pt>
                <c:pt idx="69">
                  <c:v>70.8</c:v>
                </c:pt>
                <c:pt idx="70">
                  <c:v>70.8</c:v>
                </c:pt>
                <c:pt idx="71">
                  <c:v>70.8</c:v>
                </c:pt>
                <c:pt idx="72">
                  <c:v>70.8</c:v>
                </c:pt>
                <c:pt idx="73">
                  <c:v>70.8</c:v>
                </c:pt>
                <c:pt idx="74">
                  <c:v>70.8</c:v>
                </c:pt>
                <c:pt idx="75">
                  <c:v>70.8</c:v>
                </c:pt>
                <c:pt idx="76">
                  <c:v>70.8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B-42B3-B060-310DA2EF0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49215"/>
        <c:axId val="648450879"/>
      </c:lineChart>
      <c:catAx>
        <c:axId val="6484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50879"/>
        <c:crosses val="autoZero"/>
        <c:auto val="1"/>
        <c:lblAlgn val="ctr"/>
        <c:lblOffset val="100"/>
        <c:noMultiLvlLbl val="0"/>
      </c:catAx>
      <c:valAx>
        <c:axId val="6484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8449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GCS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861-4BBF-BA85-26C82D4824DA}"/>
              </c:ext>
            </c:extLst>
          </c:dPt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양식!$R$20:$R$96</c:f>
              <c:numCache>
                <c:formatCode>0.0000_);[Red]\(0.0000\)</c:formatCode>
                <c:ptCount val="77"/>
                <c:pt idx="0">
                  <c:v>0.43387671059875982</c:v>
                </c:pt>
                <c:pt idx="1">
                  <c:v>0.43387671059875982</c:v>
                </c:pt>
                <c:pt idx="2">
                  <c:v>0.43387671059875982</c:v>
                </c:pt>
                <c:pt idx="3">
                  <c:v>0.43387671059875982</c:v>
                </c:pt>
                <c:pt idx="4">
                  <c:v>0.43387671059875982</c:v>
                </c:pt>
                <c:pt idx="5">
                  <c:v>0.43387671059875982</c:v>
                </c:pt>
                <c:pt idx="6">
                  <c:v>0.43387671059875982</c:v>
                </c:pt>
                <c:pt idx="7">
                  <c:v>0.43387671059875982</c:v>
                </c:pt>
                <c:pt idx="8">
                  <c:v>0.43387671059875982</c:v>
                </c:pt>
                <c:pt idx="9">
                  <c:v>0.43387671059875982</c:v>
                </c:pt>
                <c:pt idx="10">
                  <c:v>0.43387671059875982</c:v>
                </c:pt>
                <c:pt idx="11">
                  <c:v>0.43387671059875982</c:v>
                </c:pt>
                <c:pt idx="12">
                  <c:v>0.43387671059875982</c:v>
                </c:pt>
                <c:pt idx="13">
                  <c:v>0.43387671059875982</c:v>
                </c:pt>
                <c:pt idx="14">
                  <c:v>0.43387671059875982</c:v>
                </c:pt>
                <c:pt idx="15">
                  <c:v>0.43387671059875982</c:v>
                </c:pt>
                <c:pt idx="16">
                  <c:v>0.43387671059875982</c:v>
                </c:pt>
                <c:pt idx="17">
                  <c:v>0.43387671059875982</c:v>
                </c:pt>
                <c:pt idx="18">
                  <c:v>0.43387671059875982</c:v>
                </c:pt>
                <c:pt idx="19">
                  <c:v>0.43387671059875982</c:v>
                </c:pt>
                <c:pt idx="20">
                  <c:v>0.43387671059875982</c:v>
                </c:pt>
                <c:pt idx="21">
                  <c:v>0.43387671059875982</c:v>
                </c:pt>
                <c:pt idx="22">
                  <c:v>0.43387671059875982</c:v>
                </c:pt>
                <c:pt idx="23">
                  <c:v>0.43387671059875982</c:v>
                </c:pt>
                <c:pt idx="24">
                  <c:v>0.43387671059875982</c:v>
                </c:pt>
                <c:pt idx="25">
                  <c:v>0.43387671059875982</c:v>
                </c:pt>
                <c:pt idx="26">
                  <c:v>0.43387671059875982</c:v>
                </c:pt>
                <c:pt idx="27">
                  <c:v>0.43387671059875982</c:v>
                </c:pt>
                <c:pt idx="28">
                  <c:v>0.43387671059875982</c:v>
                </c:pt>
                <c:pt idx="29">
                  <c:v>0.43387671059875982</c:v>
                </c:pt>
                <c:pt idx="30">
                  <c:v>0.43387671059875982</c:v>
                </c:pt>
                <c:pt idx="31">
                  <c:v>0.43387671059875982</c:v>
                </c:pt>
                <c:pt idx="32">
                  <c:v>0.43387671059875982</c:v>
                </c:pt>
                <c:pt idx="33">
                  <c:v>0.43387671059875982</c:v>
                </c:pt>
                <c:pt idx="34">
                  <c:v>0.43387671059875982</c:v>
                </c:pt>
                <c:pt idx="35">
                  <c:v>0.43387671059875982</c:v>
                </c:pt>
                <c:pt idx="36">
                  <c:v>0.43387671059875982</c:v>
                </c:pt>
                <c:pt idx="37">
                  <c:v>0.43387671059875982</c:v>
                </c:pt>
                <c:pt idx="38">
                  <c:v>0.43387671059875982</c:v>
                </c:pt>
                <c:pt idx="39">
                  <c:v>0.43387671059875982</c:v>
                </c:pt>
                <c:pt idx="40">
                  <c:v>0.43387671059875982</c:v>
                </c:pt>
                <c:pt idx="41">
                  <c:v>0.43387671059875982</c:v>
                </c:pt>
                <c:pt idx="42">
                  <c:v>0.43387671059875982</c:v>
                </c:pt>
                <c:pt idx="43">
                  <c:v>0.43387671059875982</c:v>
                </c:pt>
                <c:pt idx="44">
                  <c:v>0.43387671059875982</c:v>
                </c:pt>
                <c:pt idx="45">
                  <c:v>0.43387671059875982</c:v>
                </c:pt>
                <c:pt idx="46">
                  <c:v>0.43387671059875982</c:v>
                </c:pt>
                <c:pt idx="47">
                  <c:v>0.43387671059875982</c:v>
                </c:pt>
                <c:pt idx="48">
                  <c:v>0.43387671059875982</c:v>
                </c:pt>
                <c:pt idx="49">
                  <c:v>0.43387671059875982</c:v>
                </c:pt>
                <c:pt idx="50">
                  <c:v>0.43387671059875982</c:v>
                </c:pt>
                <c:pt idx="51">
                  <c:v>0.43387671059875982</c:v>
                </c:pt>
                <c:pt idx="52">
                  <c:v>0.43387671059875982</c:v>
                </c:pt>
                <c:pt idx="53">
                  <c:v>0.43387671059875982</c:v>
                </c:pt>
                <c:pt idx="54">
                  <c:v>0.43387671059875982</c:v>
                </c:pt>
                <c:pt idx="55">
                  <c:v>0.43387671059875982</c:v>
                </c:pt>
                <c:pt idx="56">
                  <c:v>0.43387671059875982</c:v>
                </c:pt>
                <c:pt idx="57">
                  <c:v>0.43387671059875982</c:v>
                </c:pt>
                <c:pt idx="58">
                  <c:v>0.43387671059875982</c:v>
                </c:pt>
                <c:pt idx="59">
                  <c:v>0.43387671059875982</c:v>
                </c:pt>
                <c:pt idx="60">
                  <c:v>0.43387671059875982</c:v>
                </c:pt>
                <c:pt idx="61">
                  <c:v>0.43387671059875982</c:v>
                </c:pt>
                <c:pt idx="62">
                  <c:v>0.43387671059875982</c:v>
                </c:pt>
                <c:pt idx="63">
                  <c:v>0.43387671059875982</c:v>
                </c:pt>
                <c:pt idx="64">
                  <c:v>0.43387671059875982</c:v>
                </c:pt>
                <c:pt idx="65">
                  <c:v>0.43387671059875982</c:v>
                </c:pt>
                <c:pt idx="66">
                  <c:v>0.43387671059875982</c:v>
                </c:pt>
                <c:pt idx="67">
                  <c:v>0.43387671059875982</c:v>
                </c:pt>
                <c:pt idx="68">
                  <c:v>0.43387671059875982</c:v>
                </c:pt>
                <c:pt idx="69">
                  <c:v>0.43387671059875982</c:v>
                </c:pt>
                <c:pt idx="70">
                  <c:v>0.43387671059875982</c:v>
                </c:pt>
                <c:pt idx="71">
                  <c:v>0.43387671059875982</c:v>
                </c:pt>
                <c:pt idx="72">
                  <c:v>0.43387671059875982</c:v>
                </c:pt>
                <c:pt idx="73">
                  <c:v>0.43387671059875982</c:v>
                </c:pt>
                <c:pt idx="74">
                  <c:v>0.43387671059875982</c:v>
                </c:pt>
                <c:pt idx="75">
                  <c:v>0.43387671059875982</c:v>
                </c:pt>
                <c:pt idx="76">
                  <c:v>0.43387671059875982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1-4BBF-BA85-26C82D4824DA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양식!$B$20:$B$96</c:f>
              <c:strCache>
                <c:ptCount val="77"/>
                <c:pt idx="0">
                  <c:v>#1</c:v>
                </c:pt>
                <c:pt idx="1">
                  <c:v>#2</c:v>
                </c:pt>
                <c:pt idx="2">
                  <c:v>#3</c:v>
                </c:pt>
                <c:pt idx="3">
                  <c:v>#4</c:v>
                </c:pt>
                <c:pt idx="4">
                  <c:v>#5</c:v>
                </c:pt>
                <c:pt idx="5">
                  <c:v>#6</c:v>
                </c:pt>
                <c:pt idx="6">
                  <c:v>#7</c:v>
                </c:pt>
                <c:pt idx="7">
                  <c:v>#8</c:v>
                </c:pt>
                <c:pt idx="8">
                  <c:v>#9</c:v>
                </c:pt>
                <c:pt idx="9">
                  <c:v>#10</c:v>
                </c:pt>
                <c:pt idx="10">
                  <c:v>#11</c:v>
                </c:pt>
                <c:pt idx="11">
                  <c:v>#12</c:v>
                </c:pt>
                <c:pt idx="12">
                  <c:v>#13</c:v>
                </c:pt>
                <c:pt idx="13">
                  <c:v>#14</c:v>
                </c:pt>
                <c:pt idx="14">
                  <c:v>#15</c:v>
                </c:pt>
                <c:pt idx="15">
                  <c:v>#16</c:v>
                </c:pt>
                <c:pt idx="16">
                  <c:v>#17</c:v>
                </c:pt>
                <c:pt idx="17">
                  <c:v>#18</c:v>
                </c:pt>
                <c:pt idx="18">
                  <c:v>#19</c:v>
                </c:pt>
                <c:pt idx="19">
                  <c:v>#20</c:v>
                </c:pt>
                <c:pt idx="20">
                  <c:v>#21</c:v>
                </c:pt>
                <c:pt idx="21">
                  <c:v>#22</c:v>
                </c:pt>
                <c:pt idx="22">
                  <c:v>#23</c:v>
                </c:pt>
                <c:pt idx="23">
                  <c:v>#24</c:v>
                </c:pt>
                <c:pt idx="24">
                  <c:v>#25</c:v>
                </c:pt>
                <c:pt idx="25">
                  <c:v>#26</c:v>
                </c:pt>
                <c:pt idx="26">
                  <c:v>#27</c:v>
                </c:pt>
                <c:pt idx="27">
                  <c:v>#28</c:v>
                </c:pt>
                <c:pt idx="28">
                  <c:v>#29</c:v>
                </c:pt>
                <c:pt idx="29">
                  <c:v>#30</c:v>
                </c:pt>
                <c:pt idx="30">
                  <c:v>#31</c:v>
                </c:pt>
                <c:pt idx="31">
                  <c:v>#32</c:v>
                </c:pt>
                <c:pt idx="32">
                  <c:v>#33</c:v>
                </c:pt>
                <c:pt idx="33">
                  <c:v>#34</c:v>
                </c:pt>
                <c:pt idx="34">
                  <c:v>#35</c:v>
                </c:pt>
                <c:pt idx="35">
                  <c:v>#36</c:v>
                </c:pt>
                <c:pt idx="36">
                  <c:v>#37</c:v>
                </c:pt>
                <c:pt idx="37">
                  <c:v>#38</c:v>
                </c:pt>
                <c:pt idx="38">
                  <c:v>#39</c:v>
                </c:pt>
                <c:pt idx="39">
                  <c:v>#40</c:v>
                </c:pt>
                <c:pt idx="40">
                  <c:v>#41</c:v>
                </c:pt>
                <c:pt idx="41">
                  <c:v>#42</c:v>
                </c:pt>
                <c:pt idx="42">
                  <c:v>#43</c:v>
                </c:pt>
                <c:pt idx="43">
                  <c:v>#44</c:v>
                </c:pt>
                <c:pt idx="44">
                  <c:v>#45</c:v>
                </c:pt>
                <c:pt idx="45">
                  <c:v>#46</c:v>
                </c:pt>
                <c:pt idx="46">
                  <c:v>#47</c:v>
                </c:pt>
                <c:pt idx="47">
                  <c:v>#48</c:v>
                </c:pt>
                <c:pt idx="48">
                  <c:v>#49</c:v>
                </c:pt>
                <c:pt idx="49">
                  <c:v>#50</c:v>
                </c:pt>
                <c:pt idx="50">
                  <c:v>#51</c:v>
                </c:pt>
                <c:pt idx="51">
                  <c:v>#52</c:v>
                </c:pt>
                <c:pt idx="52">
                  <c:v>#53</c:v>
                </c:pt>
                <c:pt idx="53">
                  <c:v>#54</c:v>
                </c:pt>
                <c:pt idx="54">
                  <c:v>#55</c:v>
                </c:pt>
                <c:pt idx="55">
                  <c:v>#56</c:v>
                </c:pt>
                <c:pt idx="56">
                  <c:v>#57</c:v>
                </c:pt>
                <c:pt idx="57">
                  <c:v>#58</c:v>
                </c:pt>
                <c:pt idx="58">
                  <c:v>#59</c:v>
                </c:pt>
                <c:pt idx="59">
                  <c:v>#60</c:v>
                </c:pt>
                <c:pt idx="60">
                  <c:v>#61</c:v>
                </c:pt>
                <c:pt idx="61">
                  <c:v>#62</c:v>
                </c:pt>
                <c:pt idx="62">
                  <c:v>#63</c:v>
                </c:pt>
                <c:pt idx="63">
                  <c:v>#64</c:v>
                </c:pt>
                <c:pt idx="64">
                  <c:v>#65</c:v>
                </c:pt>
                <c:pt idx="65">
                  <c:v>#66</c:v>
                </c:pt>
                <c:pt idx="66">
                  <c:v>#67</c:v>
                </c:pt>
                <c:pt idx="67">
                  <c:v>#68</c:v>
                </c:pt>
                <c:pt idx="68">
                  <c:v>#69</c:v>
                </c:pt>
                <c:pt idx="69">
                  <c:v>#70</c:v>
                </c:pt>
                <c:pt idx="70">
                  <c:v>#71</c:v>
                </c:pt>
                <c:pt idx="71">
                  <c:v>#72</c:v>
                </c:pt>
                <c:pt idx="72">
                  <c:v>#73</c:v>
                </c:pt>
                <c:pt idx="73">
                  <c:v>#74</c:v>
                </c:pt>
                <c:pt idx="74">
                  <c:v>#75</c:v>
                </c:pt>
                <c:pt idx="75">
                  <c:v>#76</c:v>
                </c:pt>
                <c:pt idx="76">
                  <c:v>#77</c:v>
                </c:pt>
              </c:strCache>
            </c:strRef>
          </c:cat>
          <c:val>
            <c:numRef>
              <c:f>양식!$BB$20:$BB$96</c:f>
              <c:numCache>
                <c:formatCode>0.000_);[Red]\(0.000\)</c:formatCode>
                <c:ptCount val="77"/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5.0000000000000001E-3</c:v>
                </c:pt>
                <c:pt idx="75">
                  <c:v>5.0000000000000001E-3</c:v>
                </c:pt>
                <c:pt idx="7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61-4BBF-BA85-26C82D48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699887"/>
        <c:axId val="1378698927"/>
      </c:lineChart>
      <c:catAx>
        <c:axId val="13786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8927"/>
        <c:crosses val="autoZero"/>
        <c:auto val="1"/>
        <c:lblAlgn val="ctr"/>
        <c:lblOffset val="100"/>
        <c:noMultiLvlLbl val="0"/>
      </c:catAx>
      <c:valAx>
        <c:axId val="13786989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69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White </a:t>
            </a:r>
            <a:r>
              <a:rPr lang="ko-KR" altLang="en-US"/>
              <a:t>색좌표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1571881330388631E-2"/>
          <c:y val="8.1482053375550728E-2"/>
          <c:w val="0.93281620324413483"/>
          <c:h val="0.88497729470358744"/>
        </c:manualLayout>
      </c:layout>
      <c:scatterChart>
        <c:scatterStyle val="lineMarker"/>
        <c:varyColors val="0"/>
        <c:ser>
          <c:idx val="0"/>
          <c:order val="0"/>
          <c:tx>
            <c:v>spec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[1]EVENT_YYMMDD_Optical!$AV$21:$AV$381</c:f>
              <c:numCache>
                <c:formatCode>General</c:formatCode>
                <c:ptCount val="361"/>
                <c:pt idx="0">
                  <c:v>0.29799999999999999</c:v>
                </c:pt>
                <c:pt idx="1">
                  <c:v>0.29799923847578191</c:v>
                </c:pt>
                <c:pt idx="2">
                  <c:v>0.29799695413509547</c:v>
                </c:pt>
                <c:pt idx="3">
                  <c:v>0.29799314767377283</c:v>
                </c:pt>
                <c:pt idx="4">
                  <c:v>0.29798782025129911</c:v>
                </c:pt>
                <c:pt idx="5">
                  <c:v>0.29798097349045871</c:v>
                </c:pt>
                <c:pt idx="6">
                  <c:v>0.29797260947684134</c:v>
                </c:pt>
                <c:pt idx="7">
                  <c:v>0.29796273075820662</c:v>
                </c:pt>
                <c:pt idx="8">
                  <c:v>0.29795134034370785</c:v>
                </c:pt>
                <c:pt idx="9">
                  <c:v>0.29793844170297568</c:v>
                </c:pt>
                <c:pt idx="10">
                  <c:v>0.29792403876506102</c:v>
                </c:pt>
                <c:pt idx="11">
                  <c:v>0.2979081359172383</c:v>
                </c:pt>
                <c:pt idx="12">
                  <c:v>0.297890738003669</c:v>
                </c:pt>
                <c:pt idx="13">
                  <c:v>0.29787185032392616</c:v>
                </c:pt>
                <c:pt idx="14">
                  <c:v>0.29785147863137995</c:v>
                </c:pt>
                <c:pt idx="15">
                  <c:v>0.29782962913144534</c:v>
                </c:pt>
                <c:pt idx="16">
                  <c:v>0.29780630847969158</c:v>
                </c:pt>
                <c:pt idx="17">
                  <c:v>0.29778152377981515</c:v>
                </c:pt>
                <c:pt idx="18">
                  <c:v>0.29775528258147577</c:v>
                </c:pt>
                <c:pt idx="19">
                  <c:v>0.29772759287799655</c:v>
                </c:pt>
                <c:pt idx="20">
                  <c:v>0.2976984631039295</c:v>
                </c:pt>
                <c:pt idx="21">
                  <c:v>0.29766790213248601</c:v>
                </c:pt>
                <c:pt idx="22">
                  <c:v>0.29763591927283389</c:v>
                </c:pt>
                <c:pt idx="23">
                  <c:v>0.29760252426726219</c:v>
                </c:pt>
                <c:pt idx="24">
                  <c:v>0.29756772728821301</c:v>
                </c:pt>
                <c:pt idx="25">
                  <c:v>0.29753153893518325</c:v>
                </c:pt>
                <c:pt idx="26">
                  <c:v>0.29749397023149582</c:v>
                </c:pt>
                <c:pt idx="27">
                  <c:v>0.29745503262094181</c:v>
                </c:pt>
                <c:pt idx="28">
                  <c:v>0.29741473796429463</c:v>
                </c:pt>
                <c:pt idx="29">
                  <c:v>0.29737309853569693</c:v>
                </c:pt>
                <c:pt idx="30">
                  <c:v>0.2973301270189222</c:v>
                </c:pt>
                <c:pt idx="31">
                  <c:v>0.29728583650351054</c:v>
                </c:pt>
                <c:pt idx="32">
                  <c:v>0.29724024048078213</c:v>
                </c:pt>
                <c:pt idx="33">
                  <c:v>0.29719335283972709</c:v>
                </c:pt>
                <c:pt idx="34">
                  <c:v>0.29714518786277522</c:v>
                </c:pt>
                <c:pt idx="35">
                  <c:v>0.29709576022144496</c:v>
                </c:pt>
                <c:pt idx="36">
                  <c:v>0.29704508497187471</c:v>
                </c:pt>
                <c:pt idx="37">
                  <c:v>0.29699317755023646</c:v>
                </c:pt>
                <c:pt idx="38">
                  <c:v>0.29694005376803362</c:v>
                </c:pt>
                <c:pt idx="39">
                  <c:v>0.29688572980728484</c:v>
                </c:pt>
                <c:pt idx="40">
                  <c:v>0.29683022221559485</c:v>
                </c:pt>
                <c:pt idx="41">
                  <c:v>0.29677354790111382</c:v>
                </c:pt>
                <c:pt idx="42">
                  <c:v>0.29671572412738695</c:v>
                </c:pt>
                <c:pt idx="43">
                  <c:v>0.29665676850809586</c:v>
                </c:pt>
                <c:pt idx="44">
                  <c:v>0.29659669900169322</c:v>
                </c:pt>
                <c:pt idx="45">
                  <c:v>0.29653553390593274</c:v>
                </c:pt>
                <c:pt idx="46">
                  <c:v>0.29647329185229498</c:v>
                </c:pt>
                <c:pt idx="47">
                  <c:v>0.29640999180031247</c:v>
                </c:pt>
                <c:pt idx="48">
                  <c:v>0.29634565303179428</c:v>
                </c:pt>
                <c:pt idx="49">
                  <c:v>0.29628029514495252</c:v>
                </c:pt>
                <c:pt idx="50">
                  <c:v>0.29621393804843266</c:v>
                </c:pt>
                <c:pt idx="51">
                  <c:v>0.29614660195524917</c:v>
                </c:pt>
                <c:pt idx="52">
                  <c:v>0.29607830737662827</c:v>
                </c:pt>
                <c:pt idx="53">
                  <c:v>0.29600907511576025</c:v>
                </c:pt>
                <c:pt idx="54">
                  <c:v>0.29593892626146234</c:v>
                </c:pt>
                <c:pt idx="55">
                  <c:v>0.29586788218175519</c:v>
                </c:pt>
                <c:pt idx="56">
                  <c:v>0.29579596451735374</c:v>
                </c:pt>
                <c:pt idx="57">
                  <c:v>0.29572319517507512</c:v>
                </c:pt>
                <c:pt idx="58">
                  <c:v>0.295649596321166</c:v>
                </c:pt>
                <c:pt idx="59">
                  <c:v>0.29557519037455027</c:v>
                </c:pt>
                <c:pt idx="60">
                  <c:v>0.29549999999999998</c:v>
                </c:pt>
                <c:pt idx="61">
                  <c:v>0.29542404810123168</c:v>
                </c:pt>
                <c:pt idx="62">
                  <c:v>0.29534735781392946</c:v>
                </c:pt>
                <c:pt idx="63">
                  <c:v>0.2952699524986977</c:v>
                </c:pt>
                <c:pt idx="64">
                  <c:v>0.29519185573394535</c:v>
                </c:pt>
                <c:pt idx="65">
                  <c:v>0.2951130913087035</c:v>
                </c:pt>
                <c:pt idx="66">
                  <c:v>0.29503368321537898</c:v>
                </c:pt>
                <c:pt idx="67">
                  <c:v>0.29495365564244636</c:v>
                </c:pt>
                <c:pt idx="68">
                  <c:v>0.29487303296707956</c:v>
                </c:pt>
                <c:pt idx="69">
                  <c:v>0.29479183974772649</c:v>
                </c:pt>
                <c:pt idx="70">
                  <c:v>0.29471010071662834</c:v>
                </c:pt>
                <c:pt idx="71">
                  <c:v>0.29462784077228577</c:v>
                </c:pt>
                <c:pt idx="72">
                  <c:v>0.2945450849718747</c:v>
                </c:pt>
                <c:pt idx="73">
                  <c:v>0.29446185852361367</c:v>
                </c:pt>
                <c:pt idx="74">
                  <c:v>0.294378186779085</c:v>
                </c:pt>
                <c:pt idx="75">
                  <c:v>0.29429409522551259</c:v>
                </c:pt>
                <c:pt idx="76">
                  <c:v>0.29420960947799835</c:v>
                </c:pt>
                <c:pt idx="77">
                  <c:v>0.29412475527171933</c:v>
                </c:pt>
                <c:pt idx="78">
                  <c:v>0.2940395584540888</c:v>
                </c:pt>
                <c:pt idx="79">
                  <c:v>0.29395404497688271</c:v>
                </c:pt>
                <c:pt idx="80">
                  <c:v>0.29386824088833463</c:v>
                </c:pt>
                <c:pt idx="81">
                  <c:v>0.29378217232520115</c:v>
                </c:pt>
                <c:pt idx="82">
                  <c:v>0.29369586550480031</c:v>
                </c:pt>
                <c:pt idx="83">
                  <c:v>0.29360934671702571</c:v>
                </c:pt>
                <c:pt idx="84">
                  <c:v>0.29352264231633823</c:v>
                </c:pt>
                <c:pt idx="85">
                  <c:v>0.29343577871373827</c:v>
                </c:pt>
                <c:pt idx="86">
                  <c:v>0.29334878236872058</c:v>
                </c:pt>
                <c:pt idx="87">
                  <c:v>0.2932616797812147</c:v>
                </c:pt>
                <c:pt idx="88">
                  <c:v>0.29317449748351249</c:v>
                </c:pt>
                <c:pt idx="89">
                  <c:v>0.29308726203218638</c:v>
                </c:pt>
                <c:pt idx="90">
                  <c:v>0.29299999999999998</c:v>
                </c:pt>
                <c:pt idx="91">
                  <c:v>0.29291273796781359</c:v>
                </c:pt>
                <c:pt idx="92">
                  <c:v>0.29282550251648748</c:v>
                </c:pt>
                <c:pt idx="93">
                  <c:v>0.29273832021878526</c:v>
                </c:pt>
                <c:pt idx="94">
                  <c:v>0.29265121763127938</c:v>
                </c:pt>
                <c:pt idx="95">
                  <c:v>0.29256422128626169</c:v>
                </c:pt>
                <c:pt idx="96">
                  <c:v>0.29247735768366173</c:v>
                </c:pt>
                <c:pt idx="97">
                  <c:v>0.29239065328297426</c:v>
                </c:pt>
                <c:pt idx="98">
                  <c:v>0.29230413449519965</c:v>
                </c:pt>
                <c:pt idx="99">
                  <c:v>0.29221782767479881</c:v>
                </c:pt>
                <c:pt idx="100">
                  <c:v>0.29213175911166533</c:v>
                </c:pt>
                <c:pt idx="101">
                  <c:v>0.29204595502311725</c:v>
                </c:pt>
                <c:pt idx="102">
                  <c:v>0.29196044154591116</c:v>
                </c:pt>
                <c:pt idx="103">
                  <c:v>0.29187524472828064</c:v>
                </c:pt>
                <c:pt idx="104">
                  <c:v>0.29179039052200162</c:v>
                </c:pt>
                <c:pt idx="105">
                  <c:v>0.29170590477448738</c:v>
                </c:pt>
                <c:pt idx="106">
                  <c:v>0.29162181322091496</c:v>
                </c:pt>
                <c:pt idx="107">
                  <c:v>0.29153814147638629</c:v>
                </c:pt>
                <c:pt idx="108">
                  <c:v>0.29145491502812526</c:v>
                </c:pt>
                <c:pt idx="109">
                  <c:v>0.2913721592277142</c:v>
                </c:pt>
                <c:pt idx="110">
                  <c:v>0.29128989928337162</c:v>
                </c:pt>
                <c:pt idx="111">
                  <c:v>0.29120816025227347</c:v>
                </c:pt>
                <c:pt idx="112">
                  <c:v>0.2911269670329204</c:v>
                </c:pt>
                <c:pt idx="113">
                  <c:v>0.29104634435755361</c:v>
                </c:pt>
                <c:pt idx="114">
                  <c:v>0.29096631678462098</c:v>
                </c:pt>
                <c:pt idx="115">
                  <c:v>0.29088690869129646</c:v>
                </c:pt>
                <c:pt idx="116">
                  <c:v>0.29080814426605461</c:v>
                </c:pt>
                <c:pt idx="117">
                  <c:v>0.29073004750130227</c:v>
                </c:pt>
                <c:pt idx="118">
                  <c:v>0.29065264218607051</c:v>
                </c:pt>
                <c:pt idx="119">
                  <c:v>0.29057595189876828</c:v>
                </c:pt>
                <c:pt idx="120">
                  <c:v>0.29049999999999998</c:v>
                </c:pt>
                <c:pt idx="121">
                  <c:v>0.2904248096254497</c:v>
                </c:pt>
                <c:pt idx="122">
                  <c:v>0.29035040367883397</c:v>
                </c:pt>
                <c:pt idx="123">
                  <c:v>0.29027680482492485</c:v>
                </c:pt>
                <c:pt idx="124">
                  <c:v>0.29020403548264623</c:v>
                </c:pt>
                <c:pt idx="125">
                  <c:v>0.29013211781824477</c:v>
                </c:pt>
                <c:pt idx="126">
                  <c:v>0.29006107373853762</c:v>
                </c:pt>
                <c:pt idx="127">
                  <c:v>0.28999092488423972</c:v>
                </c:pt>
                <c:pt idx="128">
                  <c:v>0.2899216926233717</c:v>
                </c:pt>
                <c:pt idx="129">
                  <c:v>0.2898533980447508</c:v>
                </c:pt>
                <c:pt idx="130">
                  <c:v>0.28978606195156731</c:v>
                </c:pt>
                <c:pt idx="131">
                  <c:v>0.28971970485504744</c:v>
                </c:pt>
                <c:pt idx="132">
                  <c:v>0.28965434696820569</c:v>
                </c:pt>
                <c:pt idx="133">
                  <c:v>0.2895900081996875</c:v>
                </c:pt>
                <c:pt idx="134">
                  <c:v>0.28952670814770498</c:v>
                </c:pt>
                <c:pt idx="135">
                  <c:v>0.28946446609406723</c:v>
                </c:pt>
                <c:pt idx="136">
                  <c:v>0.28940330099830675</c:v>
                </c:pt>
                <c:pt idx="137">
                  <c:v>0.28934323149190411</c:v>
                </c:pt>
                <c:pt idx="138">
                  <c:v>0.28928427587261302</c:v>
                </c:pt>
                <c:pt idx="139">
                  <c:v>0.28922645209888614</c:v>
                </c:pt>
                <c:pt idx="140">
                  <c:v>0.28916977778440511</c:v>
                </c:pt>
                <c:pt idx="141">
                  <c:v>0.28911427019271513</c:v>
                </c:pt>
                <c:pt idx="142">
                  <c:v>0.28905994623196635</c:v>
                </c:pt>
                <c:pt idx="143">
                  <c:v>0.2890068224497635</c:v>
                </c:pt>
                <c:pt idx="144">
                  <c:v>0.28895491502812526</c:v>
                </c:pt>
                <c:pt idx="145">
                  <c:v>0.28890423977855501</c:v>
                </c:pt>
                <c:pt idx="146">
                  <c:v>0.28885481213722475</c:v>
                </c:pt>
                <c:pt idx="147">
                  <c:v>0.28880664716027288</c:v>
                </c:pt>
                <c:pt idx="148">
                  <c:v>0.28875975951921784</c:v>
                </c:pt>
                <c:pt idx="149">
                  <c:v>0.28871416349648943</c:v>
                </c:pt>
                <c:pt idx="150">
                  <c:v>0.28866987298107777</c:v>
                </c:pt>
                <c:pt idx="151">
                  <c:v>0.28862690146430303</c:v>
                </c:pt>
                <c:pt idx="152">
                  <c:v>0.28858526203570534</c:v>
                </c:pt>
                <c:pt idx="153">
                  <c:v>0.28854496737905816</c:v>
                </c:pt>
                <c:pt idx="154">
                  <c:v>0.28850602976850415</c:v>
                </c:pt>
                <c:pt idx="155">
                  <c:v>0.28846846106481672</c:v>
                </c:pt>
                <c:pt idx="156">
                  <c:v>0.28843227271178695</c:v>
                </c:pt>
                <c:pt idx="157">
                  <c:v>0.28839747573273777</c:v>
                </c:pt>
                <c:pt idx="158">
                  <c:v>0.28836408072716607</c:v>
                </c:pt>
                <c:pt idx="159">
                  <c:v>0.28833209786751396</c:v>
                </c:pt>
                <c:pt idx="160">
                  <c:v>0.28830153689607046</c:v>
                </c:pt>
                <c:pt idx="161">
                  <c:v>0.28827240712200342</c:v>
                </c:pt>
                <c:pt idx="162">
                  <c:v>0.2882447174185242</c:v>
                </c:pt>
                <c:pt idx="163">
                  <c:v>0.28821847622018482</c:v>
                </c:pt>
                <c:pt idx="164">
                  <c:v>0.28819369152030838</c:v>
                </c:pt>
                <c:pt idx="165">
                  <c:v>0.28817037086855463</c:v>
                </c:pt>
                <c:pt idx="166">
                  <c:v>0.28814852136862001</c:v>
                </c:pt>
                <c:pt idx="167">
                  <c:v>0.28812814967607381</c:v>
                </c:pt>
                <c:pt idx="168">
                  <c:v>0.28810926199633097</c:v>
                </c:pt>
                <c:pt idx="169">
                  <c:v>0.28809186408276166</c:v>
                </c:pt>
                <c:pt idx="170">
                  <c:v>0.28807596123493895</c:v>
                </c:pt>
                <c:pt idx="171">
                  <c:v>0.28806155829702429</c:v>
                </c:pt>
                <c:pt idx="172">
                  <c:v>0.28804865965629212</c:v>
                </c:pt>
                <c:pt idx="173">
                  <c:v>0.28803726924179335</c:v>
                </c:pt>
                <c:pt idx="174">
                  <c:v>0.28802739052315862</c:v>
                </c:pt>
                <c:pt idx="175">
                  <c:v>0.28801902650954125</c:v>
                </c:pt>
                <c:pt idx="176">
                  <c:v>0.28801217974870086</c:v>
                </c:pt>
                <c:pt idx="177">
                  <c:v>0.28800685232622714</c:v>
                </c:pt>
                <c:pt idx="178">
                  <c:v>0.28800304586490449</c:v>
                </c:pt>
                <c:pt idx="179">
                  <c:v>0.28800076152421805</c:v>
                </c:pt>
                <c:pt idx="180">
                  <c:v>0.28799999999999998</c:v>
                </c:pt>
                <c:pt idx="181">
                  <c:v>0.28800076152421805</c:v>
                </c:pt>
                <c:pt idx="182">
                  <c:v>0.28800304586490449</c:v>
                </c:pt>
                <c:pt idx="183">
                  <c:v>0.28800685232622714</c:v>
                </c:pt>
                <c:pt idx="184">
                  <c:v>0.28801217974870086</c:v>
                </c:pt>
                <c:pt idx="185">
                  <c:v>0.28801902650954125</c:v>
                </c:pt>
                <c:pt idx="186">
                  <c:v>0.28802739052315862</c:v>
                </c:pt>
                <c:pt idx="187">
                  <c:v>0.28803726924179335</c:v>
                </c:pt>
                <c:pt idx="188">
                  <c:v>0.28804865965629212</c:v>
                </c:pt>
                <c:pt idx="189">
                  <c:v>0.28806155829702429</c:v>
                </c:pt>
                <c:pt idx="190">
                  <c:v>0.28807596123493895</c:v>
                </c:pt>
                <c:pt idx="191">
                  <c:v>0.28809186408276166</c:v>
                </c:pt>
                <c:pt idx="192">
                  <c:v>0.28810926199633097</c:v>
                </c:pt>
                <c:pt idx="193">
                  <c:v>0.28812814967607381</c:v>
                </c:pt>
                <c:pt idx="194">
                  <c:v>0.28814852136862001</c:v>
                </c:pt>
                <c:pt idx="195">
                  <c:v>0.28817037086855463</c:v>
                </c:pt>
                <c:pt idx="196">
                  <c:v>0.28819369152030838</c:v>
                </c:pt>
                <c:pt idx="197">
                  <c:v>0.28821847622018482</c:v>
                </c:pt>
                <c:pt idx="198">
                  <c:v>0.2882447174185242</c:v>
                </c:pt>
                <c:pt idx="199">
                  <c:v>0.28827240712200342</c:v>
                </c:pt>
                <c:pt idx="200">
                  <c:v>0.28830153689607046</c:v>
                </c:pt>
                <c:pt idx="201">
                  <c:v>0.28833209786751396</c:v>
                </c:pt>
                <c:pt idx="202">
                  <c:v>0.28836408072716607</c:v>
                </c:pt>
                <c:pt idx="203">
                  <c:v>0.28839747573273777</c:v>
                </c:pt>
                <c:pt idx="204">
                  <c:v>0.28843227271178695</c:v>
                </c:pt>
                <c:pt idx="205">
                  <c:v>0.28846846106481672</c:v>
                </c:pt>
                <c:pt idx="206">
                  <c:v>0.28850602976850415</c:v>
                </c:pt>
                <c:pt idx="207">
                  <c:v>0.28854496737905816</c:v>
                </c:pt>
                <c:pt idx="208">
                  <c:v>0.28858526203570534</c:v>
                </c:pt>
                <c:pt idx="209">
                  <c:v>0.28862690146430298</c:v>
                </c:pt>
                <c:pt idx="210">
                  <c:v>0.28866987298107777</c:v>
                </c:pt>
                <c:pt idx="211">
                  <c:v>0.28871416349648943</c:v>
                </c:pt>
                <c:pt idx="212">
                  <c:v>0.28875975951921784</c:v>
                </c:pt>
                <c:pt idx="213">
                  <c:v>0.28880664716027288</c:v>
                </c:pt>
                <c:pt idx="214">
                  <c:v>0.28885481213722475</c:v>
                </c:pt>
                <c:pt idx="215">
                  <c:v>0.28890423977855501</c:v>
                </c:pt>
                <c:pt idx="216">
                  <c:v>0.28895491502812526</c:v>
                </c:pt>
                <c:pt idx="217">
                  <c:v>0.2890068224497635</c:v>
                </c:pt>
                <c:pt idx="218">
                  <c:v>0.28905994623196635</c:v>
                </c:pt>
                <c:pt idx="219">
                  <c:v>0.28911427019271513</c:v>
                </c:pt>
                <c:pt idx="220">
                  <c:v>0.28916977778440511</c:v>
                </c:pt>
                <c:pt idx="221">
                  <c:v>0.28922645209888614</c:v>
                </c:pt>
                <c:pt idx="222">
                  <c:v>0.28928427587261302</c:v>
                </c:pt>
                <c:pt idx="223">
                  <c:v>0.28934323149190411</c:v>
                </c:pt>
                <c:pt idx="224">
                  <c:v>0.28940330099830675</c:v>
                </c:pt>
                <c:pt idx="225">
                  <c:v>0.28946446609406723</c:v>
                </c:pt>
                <c:pt idx="226">
                  <c:v>0.28952670814770498</c:v>
                </c:pt>
                <c:pt idx="227">
                  <c:v>0.2895900081996875</c:v>
                </c:pt>
                <c:pt idx="228">
                  <c:v>0.28965434696820569</c:v>
                </c:pt>
                <c:pt idx="229">
                  <c:v>0.28971970485504744</c:v>
                </c:pt>
                <c:pt idx="230">
                  <c:v>0.28978606195156731</c:v>
                </c:pt>
                <c:pt idx="231">
                  <c:v>0.2898533980447508</c:v>
                </c:pt>
                <c:pt idx="232">
                  <c:v>0.2899216926233717</c:v>
                </c:pt>
                <c:pt idx="233">
                  <c:v>0.28999092488423972</c:v>
                </c:pt>
                <c:pt idx="234">
                  <c:v>0.29006107373853762</c:v>
                </c:pt>
                <c:pt idx="235">
                  <c:v>0.29013211781824477</c:v>
                </c:pt>
                <c:pt idx="236">
                  <c:v>0.29020403548264623</c:v>
                </c:pt>
                <c:pt idx="237">
                  <c:v>0.29027680482492485</c:v>
                </c:pt>
                <c:pt idx="238">
                  <c:v>0.29035040367883397</c:v>
                </c:pt>
                <c:pt idx="239">
                  <c:v>0.2904248096254497</c:v>
                </c:pt>
                <c:pt idx="240">
                  <c:v>0.29049999999999998</c:v>
                </c:pt>
                <c:pt idx="241">
                  <c:v>0.29057595189876828</c:v>
                </c:pt>
                <c:pt idx="242">
                  <c:v>0.29065264218607051</c:v>
                </c:pt>
                <c:pt idx="243">
                  <c:v>0.29073004750130227</c:v>
                </c:pt>
                <c:pt idx="244">
                  <c:v>0.29080814426605461</c:v>
                </c:pt>
                <c:pt idx="245">
                  <c:v>0.29088690869129646</c:v>
                </c:pt>
                <c:pt idx="246">
                  <c:v>0.29096631678462098</c:v>
                </c:pt>
                <c:pt idx="247">
                  <c:v>0.29104634435755361</c:v>
                </c:pt>
                <c:pt idx="248">
                  <c:v>0.2911269670329204</c:v>
                </c:pt>
                <c:pt idx="249">
                  <c:v>0.29120816025227347</c:v>
                </c:pt>
                <c:pt idx="250">
                  <c:v>0.29128989928337162</c:v>
                </c:pt>
                <c:pt idx="251">
                  <c:v>0.2913721592277142</c:v>
                </c:pt>
                <c:pt idx="252">
                  <c:v>0.29145491502812526</c:v>
                </c:pt>
                <c:pt idx="253">
                  <c:v>0.29153814147638629</c:v>
                </c:pt>
                <c:pt idx="254">
                  <c:v>0.29162181322091496</c:v>
                </c:pt>
                <c:pt idx="255">
                  <c:v>0.29170590477448738</c:v>
                </c:pt>
                <c:pt idx="256">
                  <c:v>0.29179039052200162</c:v>
                </c:pt>
                <c:pt idx="257">
                  <c:v>0.29187524472828064</c:v>
                </c:pt>
                <c:pt idx="258">
                  <c:v>0.29196044154591116</c:v>
                </c:pt>
                <c:pt idx="259">
                  <c:v>0.29204595502311725</c:v>
                </c:pt>
                <c:pt idx="260">
                  <c:v>0.29213175911166533</c:v>
                </c:pt>
                <c:pt idx="261">
                  <c:v>0.29221782767479881</c:v>
                </c:pt>
                <c:pt idx="262">
                  <c:v>0.29230413449519965</c:v>
                </c:pt>
                <c:pt idx="263">
                  <c:v>0.29239065328297426</c:v>
                </c:pt>
                <c:pt idx="264">
                  <c:v>0.29247735768366173</c:v>
                </c:pt>
                <c:pt idx="265">
                  <c:v>0.29256422128626169</c:v>
                </c:pt>
                <c:pt idx="266">
                  <c:v>0.29265121763127938</c:v>
                </c:pt>
                <c:pt idx="267">
                  <c:v>0.29273832021878526</c:v>
                </c:pt>
                <c:pt idx="268">
                  <c:v>0.29282550251648748</c:v>
                </c:pt>
                <c:pt idx="269">
                  <c:v>0.29291273796781359</c:v>
                </c:pt>
                <c:pt idx="270">
                  <c:v>0.29299999999999998</c:v>
                </c:pt>
                <c:pt idx="271">
                  <c:v>0.29308726203218638</c:v>
                </c:pt>
                <c:pt idx="272">
                  <c:v>0.29317449748351249</c:v>
                </c:pt>
                <c:pt idx="273">
                  <c:v>0.2932616797812147</c:v>
                </c:pt>
                <c:pt idx="274">
                  <c:v>0.29334878236872058</c:v>
                </c:pt>
                <c:pt idx="275">
                  <c:v>0.29343577871373827</c:v>
                </c:pt>
                <c:pt idx="276">
                  <c:v>0.29352264231633823</c:v>
                </c:pt>
                <c:pt idx="277">
                  <c:v>0.29360934671702571</c:v>
                </c:pt>
                <c:pt idx="278">
                  <c:v>0.29369586550480031</c:v>
                </c:pt>
                <c:pt idx="279">
                  <c:v>0.29378217232520115</c:v>
                </c:pt>
                <c:pt idx="280">
                  <c:v>0.29386824088833463</c:v>
                </c:pt>
                <c:pt idx="281">
                  <c:v>0.29395404497688271</c:v>
                </c:pt>
                <c:pt idx="282">
                  <c:v>0.2940395584540888</c:v>
                </c:pt>
                <c:pt idx="283">
                  <c:v>0.29412475527171933</c:v>
                </c:pt>
                <c:pt idx="284">
                  <c:v>0.29420960947799835</c:v>
                </c:pt>
                <c:pt idx="285">
                  <c:v>0.29429409522551259</c:v>
                </c:pt>
                <c:pt idx="286">
                  <c:v>0.294378186779085</c:v>
                </c:pt>
                <c:pt idx="287">
                  <c:v>0.29446185852361367</c:v>
                </c:pt>
                <c:pt idx="288">
                  <c:v>0.2945450849718747</c:v>
                </c:pt>
                <c:pt idx="289">
                  <c:v>0.29462784077228577</c:v>
                </c:pt>
                <c:pt idx="290">
                  <c:v>0.29471010071662834</c:v>
                </c:pt>
                <c:pt idx="291">
                  <c:v>0.29479183974772649</c:v>
                </c:pt>
                <c:pt idx="292">
                  <c:v>0.29487303296707956</c:v>
                </c:pt>
                <c:pt idx="293">
                  <c:v>0.29495365564244636</c:v>
                </c:pt>
                <c:pt idx="294">
                  <c:v>0.29503368321537898</c:v>
                </c:pt>
                <c:pt idx="295">
                  <c:v>0.2951130913087035</c:v>
                </c:pt>
                <c:pt idx="296">
                  <c:v>0.29519185573394535</c:v>
                </c:pt>
                <c:pt idx="297">
                  <c:v>0.2952699524986977</c:v>
                </c:pt>
                <c:pt idx="298">
                  <c:v>0.29534735781392946</c:v>
                </c:pt>
                <c:pt idx="299">
                  <c:v>0.29542404810123168</c:v>
                </c:pt>
                <c:pt idx="300">
                  <c:v>0.29549999999999998</c:v>
                </c:pt>
                <c:pt idx="301">
                  <c:v>0.29557519037455027</c:v>
                </c:pt>
                <c:pt idx="302">
                  <c:v>0.295649596321166</c:v>
                </c:pt>
                <c:pt idx="303">
                  <c:v>0.29572319517507512</c:v>
                </c:pt>
                <c:pt idx="304">
                  <c:v>0.29579596451735374</c:v>
                </c:pt>
                <c:pt idx="305">
                  <c:v>0.29586788218175519</c:v>
                </c:pt>
                <c:pt idx="306">
                  <c:v>0.29593892626146234</c:v>
                </c:pt>
                <c:pt idx="307">
                  <c:v>0.29600907511576025</c:v>
                </c:pt>
                <c:pt idx="308">
                  <c:v>0.29607830737662827</c:v>
                </c:pt>
                <c:pt idx="309">
                  <c:v>0.29614660195524917</c:v>
                </c:pt>
                <c:pt idx="310">
                  <c:v>0.29621393804843266</c:v>
                </c:pt>
                <c:pt idx="311">
                  <c:v>0.29628029514495252</c:v>
                </c:pt>
                <c:pt idx="312">
                  <c:v>0.29634565303179428</c:v>
                </c:pt>
                <c:pt idx="313">
                  <c:v>0.29640999180031247</c:v>
                </c:pt>
                <c:pt idx="314">
                  <c:v>0.29647329185229498</c:v>
                </c:pt>
                <c:pt idx="315">
                  <c:v>0.29653553390593274</c:v>
                </c:pt>
                <c:pt idx="316">
                  <c:v>0.29659669900169322</c:v>
                </c:pt>
                <c:pt idx="317">
                  <c:v>0.29665676850809586</c:v>
                </c:pt>
                <c:pt idx="318">
                  <c:v>0.29671572412738695</c:v>
                </c:pt>
                <c:pt idx="319">
                  <c:v>0.29677354790111382</c:v>
                </c:pt>
                <c:pt idx="320">
                  <c:v>0.29683022221559485</c:v>
                </c:pt>
                <c:pt idx="321">
                  <c:v>0.29688572980728484</c:v>
                </c:pt>
                <c:pt idx="322">
                  <c:v>0.29694005376803362</c:v>
                </c:pt>
                <c:pt idx="323">
                  <c:v>0.29699317755023646</c:v>
                </c:pt>
                <c:pt idx="324">
                  <c:v>0.29704508497187471</c:v>
                </c:pt>
                <c:pt idx="325">
                  <c:v>0.29709576022144496</c:v>
                </c:pt>
                <c:pt idx="326">
                  <c:v>0.29714518786277522</c:v>
                </c:pt>
                <c:pt idx="327">
                  <c:v>0.29719335283972709</c:v>
                </c:pt>
                <c:pt idx="328">
                  <c:v>0.29724024048078213</c:v>
                </c:pt>
                <c:pt idx="329">
                  <c:v>0.29728583650351054</c:v>
                </c:pt>
                <c:pt idx="330">
                  <c:v>0.2973301270189222</c:v>
                </c:pt>
                <c:pt idx="331">
                  <c:v>0.29737309853569699</c:v>
                </c:pt>
                <c:pt idx="332">
                  <c:v>0.29741473796429463</c:v>
                </c:pt>
                <c:pt idx="333">
                  <c:v>0.29745503262094181</c:v>
                </c:pt>
                <c:pt idx="334">
                  <c:v>0.29749397023149582</c:v>
                </c:pt>
                <c:pt idx="335">
                  <c:v>0.29753153893518325</c:v>
                </c:pt>
                <c:pt idx="336">
                  <c:v>0.29756772728821301</c:v>
                </c:pt>
                <c:pt idx="337">
                  <c:v>0.29760252426726219</c:v>
                </c:pt>
                <c:pt idx="338">
                  <c:v>0.29763591927283389</c:v>
                </c:pt>
                <c:pt idx="339">
                  <c:v>0.29766790213248601</c:v>
                </c:pt>
                <c:pt idx="340">
                  <c:v>0.2976984631039295</c:v>
                </c:pt>
                <c:pt idx="341">
                  <c:v>0.29772759287799655</c:v>
                </c:pt>
                <c:pt idx="342">
                  <c:v>0.29775528258147577</c:v>
                </c:pt>
                <c:pt idx="343">
                  <c:v>0.29778152377981515</c:v>
                </c:pt>
                <c:pt idx="344">
                  <c:v>0.29780630847969158</c:v>
                </c:pt>
                <c:pt idx="345">
                  <c:v>0.29782962913144534</c:v>
                </c:pt>
                <c:pt idx="346">
                  <c:v>0.29785147863137995</c:v>
                </c:pt>
                <c:pt idx="347">
                  <c:v>0.29787185032392616</c:v>
                </c:pt>
                <c:pt idx="348">
                  <c:v>0.297890738003669</c:v>
                </c:pt>
                <c:pt idx="349">
                  <c:v>0.2979081359172383</c:v>
                </c:pt>
                <c:pt idx="350">
                  <c:v>0.29792403876506102</c:v>
                </c:pt>
                <c:pt idx="351">
                  <c:v>0.29793844170297568</c:v>
                </c:pt>
                <c:pt idx="352">
                  <c:v>0.29795134034370785</c:v>
                </c:pt>
                <c:pt idx="353">
                  <c:v>0.29796273075820662</c:v>
                </c:pt>
                <c:pt idx="354">
                  <c:v>0.29797260947684134</c:v>
                </c:pt>
                <c:pt idx="355">
                  <c:v>0.29798097349045871</c:v>
                </c:pt>
                <c:pt idx="356">
                  <c:v>0.29798782025129911</c:v>
                </c:pt>
                <c:pt idx="357">
                  <c:v>0.29799314767377283</c:v>
                </c:pt>
                <c:pt idx="358">
                  <c:v>0.29799695413509547</c:v>
                </c:pt>
                <c:pt idx="359">
                  <c:v>0.29799923847578191</c:v>
                </c:pt>
                <c:pt idx="360">
                  <c:v>0.29799999999999999</c:v>
                </c:pt>
              </c:numCache>
            </c:numRef>
          </c:xVal>
          <c:yVal>
            <c:numRef>
              <c:f>[1]EVENT_YYMMDD_Optical!$AW$21:$AW$381</c:f>
              <c:numCache>
                <c:formatCode>General</c:formatCode>
                <c:ptCount val="361"/>
                <c:pt idx="0">
                  <c:v>0.32</c:v>
                </c:pt>
                <c:pt idx="1">
                  <c:v>0.3200872620321864</c:v>
                </c:pt>
                <c:pt idx="2">
                  <c:v>0.32017449748351251</c:v>
                </c:pt>
                <c:pt idx="3">
                  <c:v>0.32026167978121473</c:v>
                </c:pt>
                <c:pt idx="4">
                  <c:v>0.32034878236872061</c:v>
                </c:pt>
                <c:pt idx="5">
                  <c:v>0.3204357787137383</c:v>
                </c:pt>
                <c:pt idx="6">
                  <c:v>0.32052264231633826</c:v>
                </c:pt>
                <c:pt idx="7">
                  <c:v>0.32060934671702573</c:v>
                </c:pt>
                <c:pt idx="8">
                  <c:v>0.32069586550480034</c:v>
                </c:pt>
                <c:pt idx="9">
                  <c:v>0.32078217232520118</c:v>
                </c:pt>
                <c:pt idx="10">
                  <c:v>0.32086824088833465</c:v>
                </c:pt>
                <c:pt idx="11">
                  <c:v>0.32095404497688274</c:v>
                </c:pt>
                <c:pt idx="12">
                  <c:v>0.32103955845408882</c:v>
                </c:pt>
                <c:pt idx="13">
                  <c:v>0.32112475527171935</c:v>
                </c:pt>
                <c:pt idx="14">
                  <c:v>0.32120960947799837</c:v>
                </c:pt>
                <c:pt idx="15">
                  <c:v>0.32129409522551261</c:v>
                </c:pt>
                <c:pt idx="16">
                  <c:v>0.32137818677908503</c:v>
                </c:pt>
                <c:pt idx="17">
                  <c:v>0.3214618585236137</c:v>
                </c:pt>
                <c:pt idx="18">
                  <c:v>0.32154508497187473</c:v>
                </c:pt>
                <c:pt idx="19">
                  <c:v>0.32162784077228579</c:v>
                </c:pt>
                <c:pt idx="20">
                  <c:v>0.32171010071662837</c:v>
                </c:pt>
                <c:pt idx="21">
                  <c:v>0.32179183974772652</c:v>
                </c:pt>
                <c:pt idx="22">
                  <c:v>0.32187303296707959</c:v>
                </c:pt>
                <c:pt idx="23">
                  <c:v>0.32195365564244638</c:v>
                </c:pt>
                <c:pt idx="24">
                  <c:v>0.32203368321537901</c:v>
                </c:pt>
                <c:pt idx="25">
                  <c:v>0.32211309130870353</c:v>
                </c:pt>
                <c:pt idx="26">
                  <c:v>0.32219185573394538</c:v>
                </c:pt>
                <c:pt idx="27">
                  <c:v>0.32226995249869772</c:v>
                </c:pt>
                <c:pt idx="28">
                  <c:v>0.32234735781392948</c:v>
                </c:pt>
                <c:pt idx="29">
                  <c:v>0.32242404810123171</c:v>
                </c:pt>
                <c:pt idx="30">
                  <c:v>0.32250000000000001</c:v>
                </c:pt>
                <c:pt idx="31">
                  <c:v>0.32257519037455029</c:v>
                </c:pt>
                <c:pt idx="32">
                  <c:v>0.32264959632116602</c:v>
                </c:pt>
                <c:pt idx="33">
                  <c:v>0.32272319517507514</c:v>
                </c:pt>
                <c:pt idx="34">
                  <c:v>0.32279596451735376</c:v>
                </c:pt>
                <c:pt idx="35">
                  <c:v>0.32286788218175522</c:v>
                </c:pt>
                <c:pt idx="36">
                  <c:v>0.32293892626146237</c:v>
                </c:pt>
                <c:pt idx="37">
                  <c:v>0.32300907511576027</c:v>
                </c:pt>
                <c:pt idx="38">
                  <c:v>0.32307830737662829</c:v>
                </c:pt>
                <c:pt idx="39">
                  <c:v>0.32314660195524919</c:v>
                </c:pt>
                <c:pt idx="40">
                  <c:v>0.32321393804843268</c:v>
                </c:pt>
                <c:pt idx="41">
                  <c:v>0.32328029514495255</c:v>
                </c:pt>
                <c:pt idx="42">
                  <c:v>0.3233456530317943</c:v>
                </c:pt>
                <c:pt idx="43">
                  <c:v>0.32340999180031249</c:v>
                </c:pt>
                <c:pt idx="44">
                  <c:v>0.32347329185229501</c:v>
                </c:pt>
                <c:pt idx="45">
                  <c:v>0.32353553390593276</c:v>
                </c:pt>
                <c:pt idx="46">
                  <c:v>0.32359669900169324</c:v>
                </c:pt>
                <c:pt idx="47">
                  <c:v>0.32365676850809588</c:v>
                </c:pt>
                <c:pt idx="48">
                  <c:v>0.32371572412738697</c:v>
                </c:pt>
                <c:pt idx="49">
                  <c:v>0.32377354790111385</c:v>
                </c:pt>
                <c:pt idx="50">
                  <c:v>0.32383022221559488</c:v>
                </c:pt>
                <c:pt idx="51">
                  <c:v>0.32388572980728486</c:v>
                </c:pt>
                <c:pt idx="52">
                  <c:v>0.32394005376803364</c:v>
                </c:pt>
                <c:pt idx="53">
                  <c:v>0.32399317755023649</c:v>
                </c:pt>
                <c:pt idx="54">
                  <c:v>0.32404508497187473</c:v>
                </c:pt>
                <c:pt idx="55">
                  <c:v>0.32409576022144498</c:v>
                </c:pt>
                <c:pt idx="56">
                  <c:v>0.32414518786277524</c:v>
                </c:pt>
                <c:pt idx="57">
                  <c:v>0.32419335283972711</c:v>
                </c:pt>
                <c:pt idx="58">
                  <c:v>0.32424024048078215</c:v>
                </c:pt>
                <c:pt idx="59">
                  <c:v>0.32428583650351056</c:v>
                </c:pt>
                <c:pt idx="60">
                  <c:v>0.32433012701892222</c:v>
                </c:pt>
                <c:pt idx="61">
                  <c:v>0.32437309853569696</c:v>
                </c:pt>
                <c:pt idx="62">
                  <c:v>0.32441473796429465</c:v>
                </c:pt>
                <c:pt idx="63">
                  <c:v>0.32445503262094183</c:v>
                </c:pt>
                <c:pt idx="64">
                  <c:v>0.32449397023149584</c:v>
                </c:pt>
                <c:pt idx="65">
                  <c:v>0.32453153893518327</c:v>
                </c:pt>
                <c:pt idx="66">
                  <c:v>0.32456772728821304</c:v>
                </c:pt>
                <c:pt idx="67">
                  <c:v>0.32460252426726222</c:v>
                </c:pt>
                <c:pt idx="68">
                  <c:v>0.32463591927283392</c:v>
                </c:pt>
                <c:pt idx="69">
                  <c:v>0.32466790213248603</c:v>
                </c:pt>
                <c:pt idx="70">
                  <c:v>0.32469846310392952</c:v>
                </c:pt>
                <c:pt idx="71">
                  <c:v>0.32472759287799657</c:v>
                </c:pt>
                <c:pt idx="72">
                  <c:v>0.32475528258147579</c:v>
                </c:pt>
                <c:pt idx="73">
                  <c:v>0.32478152377981517</c:v>
                </c:pt>
                <c:pt idx="74">
                  <c:v>0.32480630847969161</c:v>
                </c:pt>
                <c:pt idx="75">
                  <c:v>0.32482962913144536</c:v>
                </c:pt>
                <c:pt idx="76">
                  <c:v>0.32485147863137998</c:v>
                </c:pt>
                <c:pt idx="77">
                  <c:v>0.32487185032392618</c:v>
                </c:pt>
                <c:pt idx="78">
                  <c:v>0.32489073800366902</c:v>
                </c:pt>
                <c:pt idx="79">
                  <c:v>0.32490813591723833</c:v>
                </c:pt>
                <c:pt idx="80">
                  <c:v>0.32492403876506104</c:v>
                </c:pt>
                <c:pt idx="81">
                  <c:v>0.3249384417029757</c:v>
                </c:pt>
                <c:pt idx="82">
                  <c:v>0.32495134034370787</c:v>
                </c:pt>
                <c:pt idx="83">
                  <c:v>0.32496273075820664</c:v>
                </c:pt>
                <c:pt idx="84">
                  <c:v>0.32497260947684137</c:v>
                </c:pt>
                <c:pt idx="85">
                  <c:v>0.32498097349045874</c:v>
                </c:pt>
                <c:pt idx="86">
                  <c:v>0.32498782025129913</c:v>
                </c:pt>
                <c:pt idx="87">
                  <c:v>0.32499314767377285</c:v>
                </c:pt>
                <c:pt idx="88">
                  <c:v>0.32499695413509549</c:v>
                </c:pt>
                <c:pt idx="89">
                  <c:v>0.32499923847578194</c:v>
                </c:pt>
                <c:pt idx="90">
                  <c:v>0.32500000000000001</c:v>
                </c:pt>
                <c:pt idx="91">
                  <c:v>0.32499923847578194</c:v>
                </c:pt>
                <c:pt idx="92">
                  <c:v>0.32499695413509549</c:v>
                </c:pt>
                <c:pt idx="93">
                  <c:v>0.32499314767377285</c:v>
                </c:pt>
                <c:pt idx="94">
                  <c:v>0.32498782025129913</c:v>
                </c:pt>
                <c:pt idx="95">
                  <c:v>0.32498097349045874</c:v>
                </c:pt>
                <c:pt idx="96">
                  <c:v>0.32497260947684137</c:v>
                </c:pt>
                <c:pt idx="97">
                  <c:v>0.32496273075820664</c:v>
                </c:pt>
                <c:pt idx="98">
                  <c:v>0.32495134034370787</c:v>
                </c:pt>
                <c:pt idx="99">
                  <c:v>0.3249384417029757</c:v>
                </c:pt>
                <c:pt idx="100">
                  <c:v>0.32492403876506104</c:v>
                </c:pt>
                <c:pt idx="101">
                  <c:v>0.32490813591723833</c:v>
                </c:pt>
                <c:pt idx="102">
                  <c:v>0.32489073800366902</c:v>
                </c:pt>
                <c:pt idx="103">
                  <c:v>0.32487185032392618</c:v>
                </c:pt>
                <c:pt idx="104">
                  <c:v>0.32485147863137998</c:v>
                </c:pt>
                <c:pt idx="105">
                  <c:v>0.32482962913144536</c:v>
                </c:pt>
                <c:pt idx="106">
                  <c:v>0.32480630847969161</c:v>
                </c:pt>
                <c:pt idx="107">
                  <c:v>0.32478152377981517</c:v>
                </c:pt>
                <c:pt idx="108">
                  <c:v>0.32475528258147579</c:v>
                </c:pt>
                <c:pt idx="109">
                  <c:v>0.32472759287799657</c:v>
                </c:pt>
                <c:pt idx="110">
                  <c:v>0.32469846310392952</c:v>
                </c:pt>
                <c:pt idx="111">
                  <c:v>0.32466790213248603</c:v>
                </c:pt>
                <c:pt idx="112">
                  <c:v>0.32463591927283392</c:v>
                </c:pt>
                <c:pt idx="113">
                  <c:v>0.32460252426726222</c:v>
                </c:pt>
                <c:pt idx="114">
                  <c:v>0.32456772728821304</c:v>
                </c:pt>
                <c:pt idx="115">
                  <c:v>0.32453153893518327</c:v>
                </c:pt>
                <c:pt idx="116">
                  <c:v>0.32449397023149584</c:v>
                </c:pt>
                <c:pt idx="117">
                  <c:v>0.32445503262094183</c:v>
                </c:pt>
                <c:pt idx="118">
                  <c:v>0.32441473796429465</c:v>
                </c:pt>
                <c:pt idx="119">
                  <c:v>0.32437309853569701</c:v>
                </c:pt>
                <c:pt idx="120">
                  <c:v>0.32433012701892222</c:v>
                </c:pt>
                <c:pt idx="121">
                  <c:v>0.32428583650351056</c:v>
                </c:pt>
                <c:pt idx="122">
                  <c:v>0.32424024048078215</c:v>
                </c:pt>
                <c:pt idx="123">
                  <c:v>0.32419335283972711</c:v>
                </c:pt>
                <c:pt idx="124">
                  <c:v>0.32414518786277524</c:v>
                </c:pt>
                <c:pt idx="125">
                  <c:v>0.32409576022144498</c:v>
                </c:pt>
                <c:pt idx="126">
                  <c:v>0.32404508497187473</c:v>
                </c:pt>
                <c:pt idx="127">
                  <c:v>0.32399317755023649</c:v>
                </c:pt>
                <c:pt idx="128">
                  <c:v>0.32394005376803364</c:v>
                </c:pt>
                <c:pt idx="129">
                  <c:v>0.32388572980728486</c:v>
                </c:pt>
                <c:pt idx="130">
                  <c:v>0.32383022221559488</c:v>
                </c:pt>
                <c:pt idx="131">
                  <c:v>0.32377354790111385</c:v>
                </c:pt>
                <c:pt idx="132">
                  <c:v>0.32371572412738697</c:v>
                </c:pt>
                <c:pt idx="133">
                  <c:v>0.32365676850809588</c:v>
                </c:pt>
                <c:pt idx="134">
                  <c:v>0.32359669900169324</c:v>
                </c:pt>
                <c:pt idx="135">
                  <c:v>0.32353553390593276</c:v>
                </c:pt>
                <c:pt idx="136">
                  <c:v>0.32347329185229501</c:v>
                </c:pt>
                <c:pt idx="137">
                  <c:v>0.32340999180031249</c:v>
                </c:pt>
                <c:pt idx="138">
                  <c:v>0.3233456530317943</c:v>
                </c:pt>
                <c:pt idx="139">
                  <c:v>0.32328029514495255</c:v>
                </c:pt>
                <c:pt idx="140">
                  <c:v>0.32321393804843268</c:v>
                </c:pt>
                <c:pt idx="141">
                  <c:v>0.32314660195524919</c:v>
                </c:pt>
                <c:pt idx="142">
                  <c:v>0.32307830737662829</c:v>
                </c:pt>
                <c:pt idx="143">
                  <c:v>0.32300907511576027</c:v>
                </c:pt>
                <c:pt idx="144">
                  <c:v>0.32293892626146237</c:v>
                </c:pt>
                <c:pt idx="145">
                  <c:v>0.32286788218175522</c:v>
                </c:pt>
                <c:pt idx="146">
                  <c:v>0.32279596451735376</c:v>
                </c:pt>
                <c:pt idx="147">
                  <c:v>0.32272319517507514</c:v>
                </c:pt>
                <c:pt idx="148">
                  <c:v>0.32264959632116602</c:v>
                </c:pt>
                <c:pt idx="149">
                  <c:v>0.32257519037455029</c:v>
                </c:pt>
                <c:pt idx="150">
                  <c:v>0.32250000000000001</c:v>
                </c:pt>
                <c:pt idx="151">
                  <c:v>0.32242404810123171</c:v>
                </c:pt>
                <c:pt idx="152">
                  <c:v>0.32234735781392948</c:v>
                </c:pt>
                <c:pt idx="153">
                  <c:v>0.32226995249869772</c:v>
                </c:pt>
                <c:pt idx="154">
                  <c:v>0.32219185573394538</c:v>
                </c:pt>
                <c:pt idx="155">
                  <c:v>0.32211309130870353</c:v>
                </c:pt>
                <c:pt idx="156">
                  <c:v>0.32203368321537901</c:v>
                </c:pt>
                <c:pt idx="157">
                  <c:v>0.32195365564244638</c:v>
                </c:pt>
                <c:pt idx="158">
                  <c:v>0.32187303296707959</c:v>
                </c:pt>
                <c:pt idx="159">
                  <c:v>0.32179183974772652</c:v>
                </c:pt>
                <c:pt idx="160">
                  <c:v>0.32171010071662837</c:v>
                </c:pt>
                <c:pt idx="161">
                  <c:v>0.32162784077228579</c:v>
                </c:pt>
                <c:pt idx="162">
                  <c:v>0.32154508497187473</c:v>
                </c:pt>
                <c:pt idx="163">
                  <c:v>0.3214618585236137</c:v>
                </c:pt>
                <c:pt idx="164">
                  <c:v>0.32137818677908503</c:v>
                </c:pt>
                <c:pt idx="165">
                  <c:v>0.32129409522551261</c:v>
                </c:pt>
                <c:pt idx="166">
                  <c:v>0.32120960947799837</c:v>
                </c:pt>
                <c:pt idx="167">
                  <c:v>0.32112475527171935</c:v>
                </c:pt>
                <c:pt idx="168">
                  <c:v>0.32103955845408882</c:v>
                </c:pt>
                <c:pt idx="169">
                  <c:v>0.32095404497688274</c:v>
                </c:pt>
                <c:pt idx="170">
                  <c:v>0.32086824088833465</c:v>
                </c:pt>
                <c:pt idx="171">
                  <c:v>0.32078217232520118</c:v>
                </c:pt>
                <c:pt idx="172">
                  <c:v>0.32069586550480034</c:v>
                </c:pt>
                <c:pt idx="173">
                  <c:v>0.32060934671702573</c:v>
                </c:pt>
                <c:pt idx="174">
                  <c:v>0.32052264231633826</c:v>
                </c:pt>
                <c:pt idx="175">
                  <c:v>0.3204357787137383</c:v>
                </c:pt>
                <c:pt idx="176">
                  <c:v>0.32034878236872061</c:v>
                </c:pt>
                <c:pt idx="177">
                  <c:v>0.32026167978121473</c:v>
                </c:pt>
                <c:pt idx="178">
                  <c:v>0.32017449748351251</c:v>
                </c:pt>
                <c:pt idx="179">
                  <c:v>0.3200872620321864</c:v>
                </c:pt>
                <c:pt idx="180">
                  <c:v>0.32</c:v>
                </c:pt>
                <c:pt idx="181">
                  <c:v>0.31991273796781361</c:v>
                </c:pt>
                <c:pt idx="182">
                  <c:v>0.3198255025164875</c:v>
                </c:pt>
                <c:pt idx="183">
                  <c:v>0.31973832021878529</c:v>
                </c:pt>
                <c:pt idx="184">
                  <c:v>0.31965121763127941</c:v>
                </c:pt>
                <c:pt idx="185">
                  <c:v>0.31956422128626172</c:v>
                </c:pt>
                <c:pt idx="186">
                  <c:v>0.31947735768366176</c:v>
                </c:pt>
                <c:pt idx="187">
                  <c:v>0.31939065328297428</c:v>
                </c:pt>
                <c:pt idx="188">
                  <c:v>0.31930413449519968</c:v>
                </c:pt>
                <c:pt idx="189">
                  <c:v>0.31921782767479884</c:v>
                </c:pt>
                <c:pt idx="190">
                  <c:v>0.31913175911166536</c:v>
                </c:pt>
                <c:pt idx="191">
                  <c:v>0.31904595502311728</c:v>
                </c:pt>
                <c:pt idx="192">
                  <c:v>0.31896044154591119</c:v>
                </c:pt>
                <c:pt idx="193">
                  <c:v>0.31887524472828066</c:v>
                </c:pt>
                <c:pt idx="194">
                  <c:v>0.31879039052200164</c:v>
                </c:pt>
                <c:pt idx="195">
                  <c:v>0.3187059047744874</c:v>
                </c:pt>
                <c:pt idx="196">
                  <c:v>0.31862181322091498</c:v>
                </c:pt>
                <c:pt idx="197">
                  <c:v>0.31853814147638632</c:v>
                </c:pt>
                <c:pt idx="198">
                  <c:v>0.31845491502812528</c:v>
                </c:pt>
                <c:pt idx="199">
                  <c:v>0.31837215922771422</c:v>
                </c:pt>
                <c:pt idx="200">
                  <c:v>0.31828989928337165</c:v>
                </c:pt>
                <c:pt idx="201">
                  <c:v>0.3182081602522735</c:v>
                </c:pt>
                <c:pt idx="202">
                  <c:v>0.31812696703292043</c:v>
                </c:pt>
                <c:pt idx="203">
                  <c:v>0.31804634435755363</c:v>
                </c:pt>
                <c:pt idx="204">
                  <c:v>0.31796631678462101</c:v>
                </c:pt>
                <c:pt idx="205">
                  <c:v>0.31788690869129649</c:v>
                </c:pt>
                <c:pt idx="206">
                  <c:v>0.31780814426605464</c:v>
                </c:pt>
                <c:pt idx="207">
                  <c:v>0.31773004750130229</c:v>
                </c:pt>
                <c:pt idx="208">
                  <c:v>0.31765264218607053</c:v>
                </c:pt>
                <c:pt idx="209">
                  <c:v>0.3175759518987683</c:v>
                </c:pt>
                <c:pt idx="210">
                  <c:v>0.3175</c:v>
                </c:pt>
                <c:pt idx="211">
                  <c:v>0.31742480962544972</c:v>
                </c:pt>
                <c:pt idx="212">
                  <c:v>0.31735040367883399</c:v>
                </c:pt>
                <c:pt idx="213">
                  <c:v>0.31727680482492487</c:v>
                </c:pt>
                <c:pt idx="214">
                  <c:v>0.31720403548264625</c:v>
                </c:pt>
                <c:pt idx="215">
                  <c:v>0.3171321178182448</c:v>
                </c:pt>
                <c:pt idx="216">
                  <c:v>0.31706107373853765</c:v>
                </c:pt>
                <c:pt idx="217">
                  <c:v>0.31699092488423974</c:v>
                </c:pt>
                <c:pt idx="218">
                  <c:v>0.31692169262337172</c:v>
                </c:pt>
                <c:pt idx="219">
                  <c:v>0.31685339804475082</c:v>
                </c:pt>
                <c:pt idx="220">
                  <c:v>0.31678606195156733</c:v>
                </c:pt>
                <c:pt idx="221">
                  <c:v>0.31671970485504747</c:v>
                </c:pt>
                <c:pt idx="222">
                  <c:v>0.31665434696820571</c:v>
                </c:pt>
                <c:pt idx="223">
                  <c:v>0.31659000819968752</c:v>
                </c:pt>
                <c:pt idx="224">
                  <c:v>0.316526708147705</c:v>
                </c:pt>
                <c:pt idx="225">
                  <c:v>0.31646446609406725</c:v>
                </c:pt>
                <c:pt idx="226">
                  <c:v>0.31640330099830677</c:v>
                </c:pt>
                <c:pt idx="227">
                  <c:v>0.31634323149190413</c:v>
                </c:pt>
                <c:pt idx="228">
                  <c:v>0.31628427587261304</c:v>
                </c:pt>
                <c:pt idx="229">
                  <c:v>0.31622645209888617</c:v>
                </c:pt>
                <c:pt idx="230">
                  <c:v>0.31616977778440514</c:v>
                </c:pt>
                <c:pt idx="231">
                  <c:v>0.31611427019271515</c:v>
                </c:pt>
                <c:pt idx="232">
                  <c:v>0.31605994623196637</c:v>
                </c:pt>
                <c:pt idx="233">
                  <c:v>0.31600682244976352</c:v>
                </c:pt>
                <c:pt idx="234">
                  <c:v>0.31595491502812528</c:v>
                </c:pt>
                <c:pt idx="235">
                  <c:v>0.31590423977855503</c:v>
                </c:pt>
                <c:pt idx="236">
                  <c:v>0.31585481213722477</c:v>
                </c:pt>
                <c:pt idx="237">
                  <c:v>0.3158066471602729</c:v>
                </c:pt>
                <c:pt idx="238">
                  <c:v>0.31575975951921786</c:v>
                </c:pt>
                <c:pt idx="239">
                  <c:v>0.31571416349648945</c:v>
                </c:pt>
                <c:pt idx="240">
                  <c:v>0.31566987298107779</c:v>
                </c:pt>
                <c:pt idx="241">
                  <c:v>0.315626901464303</c:v>
                </c:pt>
                <c:pt idx="242">
                  <c:v>0.31558526203570536</c:v>
                </c:pt>
                <c:pt idx="243">
                  <c:v>0.31554496737905818</c:v>
                </c:pt>
                <c:pt idx="244">
                  <c:v>0.31550602976850417</c:v>
                </c:pt>
                <c:pt idx="245">
                  <c:v>0.31546846106481674</c:v>
                </c:pt>
                <c:pt idx="246">
                  <c:v>0.31543227271178698</c:v>
                </c:pt>
                <c:pt idx="247">
                  <c:v>0.3153974757327378</c:v>
                </c:pt>
                <c:pt idx="248">
                  <c:v>0.3153640807271661</c:v>
                </c:pt>
                <c:pt idx="249">
                  <c:v>0.31533209786751398</c:v>
                </c:pt>
                <c:pt idx="250">
                  <c:v>0.31530153689607049</c:v>
                </c:pt>
                <c:pt idx="251">
                  <c:v>0.31527240712200344</c:v>
                </c:pt>
                <c:pt idx="252">
                  <c:v>0.31524471741852422</c:v>
                </c:pt>
                <c:pt idx="253">
                  <c:v>0.31521847622018484</c:v>
                </c:pt>
                <c:pt idx="254">
                  <c:v>0.31519369152030841</c:v>
                </c:pt>
                <c:pt idx="255">
                  <c:v>0.31517037086855465</c:v>
                </c:pt>
                <c:pt idx="256">
                  <c:v>0.31514852136862004</c:v>
                </c:pt>
                <c:pt idx="257">
                  <c:v>0.31512814967607383</c:v>
                </c:pt>
                <c:pt idx="258">
                  <c:v>0.31510926199633099</c:v>
                </c:pt>
                <c:pt idx="259">
                  <c:v>0.31509186408276169</c:v>
                </c:pt>
                <c:pt idx="260">
                  <c:v>0.31507596123493897</c:v>
                </c:pt>
                <c:pt idx="261">
                  <c:v>0.31506155829702431</c:v>
                </c:pt>
                <c:pt idx="262">
                  <c:v>0.31504865965629214</c:v>
                </c:pt>
                <c:pt idx="263">
                  <c:v>0.31503726924179337</c:v>
                </c:pt>
                <c:pt idx="264">
                  <c:v>0.31502739052315865</c:v>
                </c:pt>
                <c:pt idx="265">
                  <c:v>0.31501902650954128</c:v>
                </c:pt>
                <c:pt idx="266">
                  <c:v>0.31501217974870088</c:v>
                </c:pt>
                <c:pt idx="267">
                  <c:v>0.31500685232622716</c:v>
                </c:pt>
                <c:pt idx="268">
                  <c:v>0.31500304586490452</c:v>
                </c:pt>
                <c:pt idx="269">
                  <c:v>0.31500076152421808</c:v>
                </c:pt>
                <c:pt idx="270">
                  <c:v>0.315</c:v>
                </c:pt>
                <c:pt idx="271">
                  <c:v>0.31500076152421808</c:v>
                </c:pt>
                <c:pt idx="272">
                  <c:v>0.31500304586490452</c:v>
                </c:pt>
                <c:pt idx="273">
                  <c:v>0.31500685232622716</c:v>
                </c:pt>
                <c:pt idx="274">
                  <c:v>0.31501217974870088</c:v>
                </c:pt>
                <c:pt idx="275">
                  <c:v>0.31501902650954128</c:v>
                </c:pt>
                <c:pt idx="276">
                  <c:v>0.31502739052315865</c:v>
                </c:pt>
                <c:pt idx="277">
                  <c:v>0.31503726924179337</c:v>
                </c:pt>
                <c:pt idx="278">
                  <c:v>0.31504865965629214</c:v>
                </c:pt>
                <c:pt idx="279">
                  <c:v>0.31506155829702431</c:v>
                </c:pt>
                <c:pt idx="280">
                  <c:v>0.31507596123493897</c:v>
                </c:pt>
                <c:pt idx="281">
                  <c:v>0.31509186408276169</c:v>
                </c:pt>
                <c:pt idx="282">
                  <c:v>0.31510926199633099</c:v>
                </c:pt>
                <c:pt idx="283">
                  <c:v>0.31512814967607383</c:v>
                </c:pt>
                <c:pt idx="284">
                  <c:v>0.31514852136862004</c:v>
                </c:pt>
                <c:pt idx="285">
                  <c:v>0.31517037086855465</c:v>
                </c:pt>
                <c:pt idx="286">
                  <c:v>0.31519369152030841</c:v>
                </c:pt>
                <c:pt idx="287">
                  <c:v>0.31521847622018484</c:v>
                </c:pt>
                <c:pt idx="288">
                  <c:v>0.31524471741852422</c:v>
                </c:pt>
                <c:pt idx="289">
                  <c:v>0.31527240712200344</c:v>
                </c:pt>
                <c:pt idx="290">
                  <c:v>0.31530153689607049</c:v>
                </c:pt>
                <c:pt idx="291">
                  <c:v>0.31533209786751398</c:v>
                </c:pt>
                <c:pt idx="292">
                  <c:v>0.3153640807271661</c:v>
                </c:pt>
                <c:pt idx="293">
                  <c:v>0.3153974757327378</c:v>
                </c:pt>
                <c:pt idx="294">
                  <c:v>0.31543227271178698</c:v>
                </c:pt>
                <c:pt idx="295">
                  <c:v>0.31546846106481674</c:v>
                </c:pt>
                <c:pt idx="296">
                  <c:v>0.31550602976850417</c:v>
                </c:pt>
                <c:pt idx="297">
                  <c:v>0.31554496737905818</c:v>
                </c:pt>
                <c:pt idx="298">
                  <c:v>0.31558526203570536</c:v>
                </c:pt>
                <c:pt idx="299">
                  <c:v>0.31562690146430306</c:v>
                </c:pt>
                <c:pt idx="300">
                  <c:v>0.31566987298107779</c:v>
                </c:pt>
                <c:pt idx="301">
                  <c:v>0.31571416349648945</c:v>
                </c:pt>
                <c:pt idx="302">
                  <c:v>0.31575975951921786</c:v>
                </c:pt>
                <c:pt idx="303">
                  <c:v>0.3158066471602729</c:v>
                </c:pt>
                <c:pt idx="304">
                  <c:v>0.31585481213722477</c:v>
                </c:pt>
                <c:pt idx="305">
                  <c:v>0.31590423977855503</c:v>
                </c:pt>
                <c:pt idx="306">
                  <c:v>0.31595491502812528</c:v>
                </c:pt>
                <c:pt idx="307">
                  <c:v>0.31600682244976352</c:v>
                </c:pt>
                <c:pt idx="308">
                  <c:v>0.31605994623196637</c:v>
                </c:pt>
                <c:pt idx="309">
                  <c:v>0.31611427019271515</c:v>
                </c:pt>
                <c:pt idx="310">
                  <c:v>0.31616977778440514</c:v>
                </c:pt>
                <c:pt idx="311">
                  <c:v>0.31622645209888617</c:v>
                </c:pt>
                <c:pt idx="312">
                  <c:v>0.31628427587261304</c:v>
                </c:pt>
                <c:pt idx="313">
                  <c:v>0.31634323149190413</c:v>
                </c:pt>
                <c:pt idx="314">
                  <c:v>0.31640330099830677</c:v>
                </c:pt>
                <c:pt idx="315">
                  <c:v>0.31646446609406725</c:v>
                </c:pt>
                <c:pt idx="316">
                  <c:v>0.316526708147705</c:v>
                </c:pt>
                <c:pt idx="317">
                  <c:v>0.31659000819968752</c:v>
                </c:pt>
                <c:pt idx="318">
                  <c:v>0.31665434696820571</c:v>
                </c:pt>
                <c:pt idx="319">
                  <c:v>0.31671970485504747</c:v>
                </c:pt>
                <c:pt idx="320">
                  <c:v>0.31678606195156733</c:v>
                </c:pt>
                <c:pt idx="321">
                  <c:v>0.31685339804475082</c:v>
                </c:pt>
                <c:pt idx="322">
                  <c:v>0.31692169262337172</c:v>
                </c:pt>
                <c:pt idx="323">
                  <c:v>0.31699092488423974</c:v>
                </c:pt>
                <c:pt idx="324">
                  <c:v>0.31706107373853765</c:v>
                </c:pt>
                <c:pt idx="325">
                  <c:v>0.3171321178182448</c:v>
                </c:pt>
                <c:pt idx="326">
                  <c:v>0.31720403548264625</c:v>
                </c:pt>
                <c:pt idx="327">
                  <c:v>0.31727680482492487</c:v>
                </c:pt>
                <c:pt idx="328">
                  <c:v>0.31735040367883399</c:v>
                </c:pt>
                <c:pt idx="329">
                  <c:v>0.31742480962544972</c:v>
                </c:pt>
                <c:pt idx="330">
                  <c:v>0.3175</c:v>
                </c:pt>
                <c:pt idx="331">
                  <c:v>0.3175759518987683</c:v>
                </c:pt>
                <c:pt idx="332">
                  <c:v>0.31765264218607053</c:v>
                </c:pt>
                <c:pt idx="333">
                  <c:v>0.31773004750130229</c:v>
                </c:pt>
                <c:pt idx="334">
                  <c:v>0.31780814426605464</c:v>
                </c:pt>
                <c:pt idx="335">
                  <c:v>0.31788690869129649</c:v>
                </c:pt>
                <c:pt idx="336">
                  <c:v>0.31796631678462101</c:v>
                </c:pt>
                <c:pt idx="337">
                  <c:v>0.31804634435755363</c:v>
                </c:pt>
                <c:pt idx="338">
                  <c:v>0.31812696703292043</c:v>
                </c:pt>
                <c:pt idx="339">
                  <c:v>0.3182081602522735</c:v>
                </c:pt>
                <c:pt idx="340">
                  <c:v>0.31828989928337165</c:v>
                </c:pt>
                <c:pt idx="341">
                  <c:v>0.31837215922771422</c:v>
                </c:pt>
                <c:pt idx="342">
                  <c:v>0.31845491502812528</c:v>
                </c:pt>
                <c:pt idx="343">
                  <c:v>0.31853814147638632</c:v>
                </c:pt>
                <c:pt idx="344">
                  <c:v>0.31862181322091498</c:v>
                </c:pt>
                <c:pt idx="345">
                  <c:v>0.3187059047744874</c:v>
                </c:pt>
                <c:pt idx="346">
                  <c:v>0.31879039052200164</c:v>
                </c:pt>
                <c:pt idx="347">
                  <c:v>0.31887524472828066</c:v>
                </c:pt>
                <c:pt idx="348">
                  <c:v>0.31896044154591119</c:v>
                </c:pt>
                <c:pt idx="349">
                  <c:v>0.31904595502311728</c:v>
                </c:pt>
                <c:pt idx="350">
                  <c:v>0.31913175911166536</c:v>
                </c:pt>
                <c:pt idx="351">
                  <c:v>0.31921782767479884</c:v>
                </c:pt>
                <c:pt idx="352">
                  <c:v>0.31930413449519968</c:v>
                </c:pt>
                <c:pt idx="353">
                  <c:v>0.31939065328297428</c:v>
                </c:pt>
                <c:pt idx="354">
                  <c:v>0.31947735768366176</c:v>
                </c:pt>
                <c:pt idx="355">
                  <c:v>0.31956422128626172</c:v>
                </c:pt>
                <c:pt idx="356">
                  <c:v>0.31965121763127941</c:v>
                </c:pt>
                <c:pt idx="357">
                  <c:v>0.31973832021878529</c:v>
                </c:pt>
                <c:pt idx="358">
                  <c:v>0.3198255025164875</c:v>
                </c:pt>
                <c:pt idx="359">
                  <c:v>0.31991273796781361</c:v>
                </c:pt>
                <c:pt idx="36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7-40B0-B623-81B41B55721E}"/>
            </c:ext>
          </c:extLst>
        </c:ser>
        <c:ser>
          <c:idx val="1"/>
          <c:order val="1"/>
          <c:tx>
            <c:v>원점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[1]EVENT_YYMMDD_Optical!$L$12</c:f>
              <c:numCache>
                <c:formatCode>General</c:formatCode>
                <c:ptCount val="1"/>
                <c:pt idx="0">
                  <c:v>0.29299999999999998</c:v>
                </c:pt>
              </c:numCache>
            </c:numRef>
          </c:xVal>
          <c:yVal>
            <c:numRef>
              <c:f>[1]EVENT_YYMMDD_Optical!$M$12</c:f>
              <c:numCache>
                <c:formatCode>General</c:formatCode>
                <c:ptCount val="1"/>
                <c:pt idx="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77-40B0-B623-81B41B55721E}"/>
            </c:ext>
          </c:extLst>
        </c:ser>
        <c:ser>
          <c:idx val="2"/>
          <c:order val="2"/>
          <c:tx>
            <c:v>DV6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양식!$M$20:$M$225</c:f>
              <c:numCache>
                <c:formatCode>0.0000_);[Red]\(0.0000\)</c:formatCode>
                <c:ptCount val="206"/>
              </c:numCache>
            </c:numRef>
          </c:xVal>
          <c:yVal>
            <c:numRef>
              <c:f>양식!$N$20:$N$225</c:f>
              <c:numCache>
                <c:formatCode>0.0000_);[Red]\(0.0000\)</c:formatCode>
                <c:ptCount val="20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77-40B0-B623-81B41B55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147728"/>
        <c:axId val="1200160208"/>
        <c:extLst/>
      </c:scatterChart>
      <c:valAx>
        <c:axId val="120014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60208"/>
        <c:crosses val="autoZero"/>
        <c:crossBetween val="midCat"/>
        <c:majorUnit val="5.000000000000001E-3"/>
      </c:valAx>
      <c:valAx>
        <c:axId val="12001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014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5287029238526"/>
          <c:y val="0.71091942515059448"/>
          <c:w val="0.1237144944245923"/>
          <c:h val="0.21619042479198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448235</xdr:colOff>
      <xdr:row>24</xdr:row>
      <xdr:rowOff>0</xdr:rowOff>
    </xdr:from>
    <xdr:to>
      <xdr:col>41</xdr:col>
      <xdr:colOff>509494</xdr:colOff>
      <xdr:row>40</xdr:row>
      <xdr:rowOff>186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286F4ED-6173-41CF-B336-A1E2E6A15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363445</xdr:colOff>
      <xdr:row>41</xdr:row>
      <xdr:rowOff>59766</xdr:rowOff>
    </xdr:from>
    <xdr:to>
      <xdr:col>33</xdr:col>
      <xdr:colOff>0</xdr:colOff>
      <xdr:row>57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15B845D-C0F9-4E22-A05C-C5F12AE37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470646</xdr:colOff>
      <xdr:row>41</xdr:row>
      <xdr:rowOff>97677</xdr:rowOff>
    </xdr:from>
    <xdr:to>
      <xdr:col>41</xdr:col>
      <xdr:colOff>467471</xdr:colOff>
      <xdr:row>57</xdr:row>
      <xdr:rowOff>33617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51AF0D6-ACF4-4C25-8108-19B41509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123731</xdr:colOff>
      <xdr:row>58</xdr:row>
      <xdr:rowOff>158935</xdr:rowOff>
    </xdr:from>
    <xdr:to>
      <xdr:col>33</xdr:col>
      <xdr:colOff>409481</xdr:colOff>
      <xdr:row>70</xdr:row>
      <xdr:rowOff>177985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F1E6D54-8577-4B03-B081-0723C34A7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82694</xdr:colOff>
      <xdr:row>73</xdr:row>
      <xdr:rowOff>74469</xdr:rowOff>
    </xdr:from>
    <xdr:to>
      <xdr:col>33</xdr:col>
      <xdr:colOff>368444</xdr:colOff>
      <xdr:row>84</xdr:row>
      <xdr:rowOff>128155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B1C944D-C262-4829-B0AC-94F769B5D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82694</xdr:colOff>
      <xdr:row>86</xdr:row>
      <xdr:rowOff>33056</xdr:rowOff>
    </xdr:from>
    <xdr:to>
      <xdr:col>33</xdr:col>
      <xdr:colOff>368444</xdr:colOff>
      <xdr:row>100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A27EEFB-950A-44EE-8F1A-5447746C2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100853</xdr:colOff>
      <xdr:row>100</xdr:row>
      <xdr:rowOff>0</xdr:rowOff>
    </xdr:from>
    <xdr:to>
      <xdr:col>33</xdr:col>
      <xdr:colOff>425749</xdr:colOff>
      <xdr:row>113</xdr:row>
      <xdr:rowOff>128644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6DB0A1A-D88D-4DA9-ACDA-499B7F6AE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303922</xdr:colOff>
      <xdr:row>14</xdr:row>
      <xdr:rowOff>156883</xdr:rowOff>
    </xdr:from>
    <xdr:to>
      <xdr:col>33</xdr:col>
      <xdr:colOff>414617</xdr:colOff>
      <xdr:row>38</xdr:row>
      <xdr:rowOff>54430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7280289-608F-4679-A80B-A3EC88A28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448235</xdr:colOff>
      <xdr:row>24</xdr:row>
      <xdr:rowOff>0</xdr:rowOff>
    </xdr:from>
    <xdr:to>
      <xdr:col>41</xdr:col>
      <xdr:colOff>509494</xdr:colOff>
      <xdr:row>40</xdr:row>
      <xdr:rowOff>186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3825630-B555-4EA3-AFE1-9560910B4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363445</xdr:colOff>
      <xdr:row>41</xdr:row>
      <xdr:rowOff>59766</xdr:rowOff>
    </xdr:from>
    <xdr:to>
      <xdr:col>33</xdr:col>
      <xdr:colOff>0</xdr:colOff>
      <xdr:row>57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C3DF0FD-D780-43D5-8275-A4AC131BA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470646</xdr:colOff>
      <xdr:row>41</xdr:row>
      <xdr:rowOff>97677</xdr:rowOff>
    </xdr:from>
    <xdr:to>
      <xdr:col>41</xdr:col>
      <xdr:colOff>467471</xdr:colOff>
      <xdr:row>57</xdr:row>
      <xdr:rowOff>33617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848AE60-0B99-4C72-8D05-066EEA628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123731</xdr:colOff>
      <xdr:row>58</xdr:row>
      <xdr:rowOff>158935</xdr:rowOff>
    </xdr:from>
    <xdr:to>
      <xdr:col>33</xdr:col>
      <xdr:colOff>409481</xdr:colOff>
      <xdr:row>70</xdr:row>
      <xdr:rowOff>177985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E24141D-1F13-4CD9-9DE6-D4B94C67E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82694</xdr:colOff>
      <xdr:row>73</xdr:row>
      <xdr:rowOff>74469</xdr:rowOff>
    </xdr:from>
    <xdr:to>
      <xdr:col>33</xdr:col>
      <xdr:colOff>368444</xdr:colOff>
      <xdr:row>84</xdr:row>
      <xdr:rowOff>128155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93E826D-259E-441E-9C22-BA6883A8C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82694</xdr:colOff>
      <xdr:row>86</xdr:row>
      <xdr:rowOff>33056</xdr:rowOff>
    </xdr:from>
    <xdr:to>
      <xdr:col>33</xdr:col>
      <xdr:colOff>368444</xdr:colOff>
      <xdr:row>100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2F6E12C-74B5-434B-886A-BD7D13715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100853</xdr:colOff>
      <xdr:row>100</xdr:row>
      <xdr:rowOff>0</xdr:rowOff>
    </xdr:from>
    <xdr:to>
      <xdr:col>33</xdr:col>
      <xdr:colOff>425749</xdr:colOff>
      <xdr:row>113</xdr:row>
      <xdr:rowOff>128644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F5209B0-C814-4F36-B8AC-1003E834B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303922</xdr:colOff>
      <xdr:row>20</xdr:row>
      <xdr:rowOff>36286</xdr:rowOff>
    </xdr:from>
    <xdr:to>
      <xdr:col>33</xdr:col>
      <xdr:colOff>414617</xdr:colOff>
      <xdr:row>38</xdr:row>
      <xdr:rowOff>54430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BB6387A-AA3A-4237-85D5-999089E75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448235</xdr:colOff>
      <xdr:row>24</xdr:row>
      <xdr:rowOff>0</xdr:rowOff>
    </xdr:from>
    <xdr:to>
      <xdr:col>41</xdr:col>
      <xdr:colOff>509494</xdr:colOff>
      <xdr:row>40</xdr:row>
      <xdr:rowOff>186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E0D862B-6F7B-4D0C-904F-E22C2D6A4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363445</xdr:colOff>
      <xdr:row>41</xdr:row>
      <xdr:rowOff>59766</xdr:rowOff>
    </xdr:from>
    <xdr:to>
      <xdr:col>33</xdr:col>
      <xdr:colOff>0</xdr:colOff>
      <xdr:row>57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D480E7B-D9A9-42FE-80BF-802E2B6E4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470646</xdr:colOff>
      <xdr:row>41</xdr:row>
      <xdr:rowOff>97677</xdr:rowOff>
    </xdr:from>
    <xdr:to>
      <xdr:col>41</xdr:col>
      <xdr:colOff>467471</xdr:colOff>
      <xdr:row>57</xdr:row>
      <xdr:rowOff>33617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9E6B79-145A-4F0B-8A45-8D7A15297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123731</xdr:colOff>
      <xdr:row>58</xdr:row>
      <xdr:rowOff>158935</xdr:rowOff>
    </xdr:from>
    <xdr:to>
      <xdr:col>33</xdr:col>
      <xdr:colOff>409481</xdr:colOff>
      <xdr:row>70</xdr:row>
      <xdr:rowOff>177985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7F2EEB1-CD91-4D4A-BE46-2727DBF9E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82694</xdr:colOff>
      <xdr:row>73</xdr:row>
      <xdr:rowOff>74469</xdr:rowOff>
    </xdr:from>
    <xdr:to>
      <xdr:col>33</xdr:col>
      <xdr:colOff>368444</xdr:colOff>
      <xdr:row>84</xdr:row>
      <xdr:rowOff>128155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9974AAB-AEE4-49BD-8494-C065A13C8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82694</xdr:colOff>
      <xdr:row>86</xdr:row>
      <xdr:rowOff>33056</xdr:rowOff>
    </xdr:from>
    <xdr:to>
      <xdr:col>33</xdr:col>
      <xdr:colOff>368444</xdr:colOff>
      <xdr:row>100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0C0D373-A716-4F2F-BBAB-6B54050B8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100853</xdr:colOff>
      <xdr:row>100</xdr:row>
      <xdr:rowOff>0</xdr:rowOff>
    </xdr:from>
    <xdr:to>
      <xdr:col>33</xdr:col>
      <xdr:colOff>425749</xdr:colOff>
      <xdr:row>113</xdr:row>
      <xdr:rowOff>128644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EEF9471-25C5-4BD2-885C-AA85EE9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303922</xdr:colOff>
      <xdr:row>20</xdr:row>
      <xdr:rowOff>36286</xdr:rowOff>
    </xdr:from>
    <xdr:to>
      <xdr:col>33</xdr:col>
      <xdr:colOff>414617</xdr:colOff>
      <xdr:row>38</xdr:row>
      <xdr:rowOff>54430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C8E14CBF-B996-4D85-8ACC-52AD1E9E9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448235</xdr:colOff>
      <xdr:row>24</xdr:row>
      <xdr:rowOff>0</xdr:rowOff>
    </xdr:from>
    <xdr:to>
      <xdr:col>41</xdr:col>
      <xdr:colOff>509494</xdr:colOff>
      <xdr:row>40</xdr:row>
      <xdr:rowOff>186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249839B-1352-46E8-BC5A-0373B9075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363445</xdr:colOff>
      <xdr:row>41</xdr:row>
      <xdr:rowOff>59766</xdr:rowOff>
    </xdr:from>
    <xdr:to>
      <xdr:col>33</xdr:col>
      <xdr:colOff>0</xdr:colOff>
      <xdr:row>57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EDA74CB-CECC-4F73-ADEB-91B48F9DE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470646</xdr:colOff>
      <xdr:row>41</xdr:row>
      <xdr:rowOff>97677</xdr:rowOff>
    </xdr:from>
    <xdr:to>
      <xdr:col>41</xdr:col>
      <xdr:colOff>467471</xdr:colOff>
      <xdr:row>57</xdr:row>
      <xdr:rowOff>33617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87757B0-CFD6-4DB0-8420-25AF385B4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123731</xdr:colOff>
      <xdr:row>58</xdr:row>
      <xdr:rowOff>158935</xdr:rowOff>
    </xdr:from>
    <xdr:to>
      <xdr:col>33</xdr:col>
      <xdr:colOff>409481</xdr:colOff>
      <xdr:row>70</xdr:row>
      <xdr:rowOff>177985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782BC00-0BA3-4E7E-9C6B-3B980C221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82694</xdr:colOff>
      <xdr:row>73</xdr:row>
      <xdr:rowOff>74469</xdr:rowOff>
    </xdr:from>
    <xdr:to>
      <xdr:col>33</xdr:col>
      <xdr:colOff>368444</xdr:colOff>
      <xdr:row>84</xdr:row>
      <xdr:rowOff>128155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9AF41ED-B6B5-4C03-B0EE-6B141CD6B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82694</xdr:colOff>
      <xdr:row>86</xdr:row>
      <xdr:rowOff>33056</xdr:rowOff>
    </xdr:from>
    <xdr:to>
      <xdr:col>33</xdr:col>
      <xdr:colOff>368444</xdr:colOff>
      <xdr:row>100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FBBB929-1C47-46E0-A5E6-35D8FC9D2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100853</xdr:colOff>
      <xdr:row>100</xdr:row>
      <xdr:rowOff>0</xdr:rowOff>
    </xdr:from>
    <xdr:to>
      <xdr:col>33</xdr:col>
      <xdr:colOff>425749</xdr:colOff>
      <xdr:row>113</xdr:row>
      <xdr:rowOff>128644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7935B51-0E9B-44A3-9E1E-E5ED410CB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303922</xdr:colOff>
      <xdr:row>14</xdr:row>
      <xdr:rowOff>156883</xdr:rowOff>
    </xdr:from>
    <xdr:to>
      <xdr:col>33</xdr:col>
      <xdr:colOff>414617</xdr:colOff>
      <xdr:row>38</xdr:row>
      <xdr:rowOff>54430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9861EE3-D089-4A9A-AA0E-F6761F77B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NT_YYMMDD_Optic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7FA1-05DA-4852-9233-294B3EF86965}">
  <dimension ref="B1:BB907"/>
  <sheetViews>
    <sheetView showGridLines="0" tabSelected="1" zoomScale="70" zoomScaleNormal="70" workbookViewId="0"/>
  </sheetViews>
  <sheetFormatPr defaultColWidth="8.33203125" defaultRowHeight="16" x14ac:dyDescent="0.45"/>
  <cols>
    <col min="1" max="1" width="4.83203125" style="1" customWidth="1"/>
    <col min="2" max="2" width="4.33203125" style="1" bestFit="1" customWidth="1"/>
    <col min="3" max="3" width="49.58203125" style="91" bestFit="1" customWidth="1"/>
    <col min="4" max="5" width="12.5" style="1" customWidth="1"/>
    <col min="6" max="14" width="9.58203125" style="1" customWidth="1"/>
    <col min="15" max="15" width="9.58203125" style="66" customWidth="1"/>
    <col min="16" max="16" width="9.58203125" style="85" customWidth="1"/>
    <col min="17" max="17" width="10.58203125" style="1" customWidth="1"/>
    <col min="18" max="18" width="19.08203125" style="1" bestFit="1" customWidth="1"/>
    <col min="19" max="20" width="10.58203125" style="1" customWidth="1"/>
    <col min="21" max="21" width="10.08203125" style="1" bestFit="1" customWidth="1"/>
    <col min="22" max="22" width="8" style="1" hidden="1" customWidth="1"/>
    <col min="23" max="23" width="10.5" style="1" hidden="1" customWidth="1"/>
    <col min="24" max="26" width="8" style="1" hidden="1" customWidth="1"/>
    <col min="27" max="27" width="13.33203125" style="1" customWidth="1"/>
    <col min="28" max="28" width="14.33203125" style="1" bestFit="1" customWidth="1"/>
    <col min="29" max="47" width="8.33203125" style="1"/>
    <col min="48" max="49" width="8.33203125" style="52" customWidth="1"/>
    <col min="50" max="16384" width="8.33203125" style="1"/>
  </cols>
  <sheetData>
    <row r="1" spans="2:29" ht="15.65" customHeight="1" x14ac:dyDescent="0.45">
      <c r="C1" s="86"/>
      <c r="D1" s="3"/>
      <c r="E1" s="2"/>
      <c r="F1" s="108" t="str">
        <f>R2&amp;"-"&amp;R3&amp;"-"&amp;R4&amp;" Optical Measurement"</f>
        <v>WINE-VDA129BLAC01- Optical Measurement</v>
      </c>
      <c r="G1" s="108"/>
      <c r="H1" s="108"/>
      <c r="I1" s="108"/>
      <c r="J1" s="108"/>
      <c r="K1" s="108"/>
      <c r="L1" s="108"/>
      <c r="M1" s="108"/>
      <c r="N1" s="108"/>
      <c r="O1" s="108"/>
      <c r="P1" s="4"/>
      <c r="Q1" s="4"/>
      <c r="R1" s="4"/>
      <c r="S1" s="2"/>
      <c r="T1" s="2"/>
      <c r="U1" s="2"/>
      <c r="V1" s="2"/>
      <c r="W1" s="2"/>
      <c r="X1" s="2"/>
      <c r="Y1" s="2"/>
      <c r="Z1" s="2"/>
      <c r="AA1" s="2"/>
    </row>
    <row r="2" spans="2:29" ht="15.65" customHeight="1" x14ac:dyDescent="0.45">
      <c r="C2" s="86"/>
      <c r="D2" s="3"/>
      <c r="E2" s="2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5" t="s">
        <v>0</v>
      </c>
      <c r="Q2" s="4"/>
      <c r="R2" s="6" t="s">
        <v>1</v>
      </c>
      <c r="S2" s="7"/>
      <c r="T2" s="2"/>
      <c r="U2" s="2"/>
      <c r="V2" s="2"/>
      <c r="W2" s="2"/>
      <c r="X2" s="2"/>
      <c r="Y2" s="2"/>
      <c r="Z2" s="2"/>
      <c r="AA2" s="2"/>
    </row>
    <row r="3" spans="2:29" ht="15.65" customHeight="1" x14ac:dyDescent="0.45">
      <c r="B3" s="3"/>
      <c r="C3" s="87"/>
      <c r="D3" s="3"/>
      <c r="E3" s="3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5" t="s">
        <v>2</v>
      </c>
      <c r="Q3" s="8"/>
      <c r="R3" s="6" t="s">
        <v>3</v>
      </c>
      <c r="S3" s="9"/>
      <c r="V3" s="10"/>
      <c r="W3" s="10"/>
      <c r="X3" s="10"/>
      <c r="Y3" s="10"/>
      <c r="Z3" s="10"/>
      <c r="AA3" s="10"/>
    </row>
    <row r="4" spans="2:29" ht="15.65" customHeight="1" x14ac:dyDescent="0.45">
      <c r="B4" s="3"/>
      <c r="C4" s="87"/>
      <c r="D4" s="3"/>
      <c r="E4" s="3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5" t="s">
        <v>4</v>
      </c>
      <c r="Q4" s="8"/>
      <c r="R4" s="6"/>
      <c r="S4" s="9"/>
      <c r="V4" s="10"/>
      <c r="W4" s="10"/>
      <c r="X4" s="10"/>
      <c r="Y4" s="10"/>
      <c r="Z4" s="10"/>
      <c r="AA4" s="10"/>
    </row>
    <row r="5" spans="2:29" ht="15.65" customHeight="1" x14ac:dyDescent="0.45">
      <c r="B5" s="3"/>
      <c r="C5" s="87"/>
      <c r="D5" s="3"/>
      <c r="E5" s="3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5" t="s">
        <v>5</v>
      </c>
      <c r="Q5" s="8"/>
      <c r="R5" s="11" t="s">
        <v>927</v>
      </c>
      <c r="S5" s="9"/>
      <c r="V5" s="10"/>
      <c r="W5" s="10"/>
      <c r="X5" s="10"/>
      <c r="Y5" s="10"/>
      <c r="Z5" s="10"/>
      <c r="AA5" s="10"/>
    </row>
    <row r="6" spans="2:29" ht="15.65" customHeight="1" x14ac:dyDescent="0.45">
      <c r="B6" s="3"/>
      <c r="C6" s="87"/>
      <c r="D6" s="3"/>
      <c r="E6" s="3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5" t="s">
        <v>6</v>
      </c>
      <c r="Q6" s="8"/>
      <c r="R6" s="6" t="s">
        <v>7</v>
      </c>
      <c r="S6" s="9"/>
      <c r="V6" s="10"/>
      <c r="W6" s="10"/>
      <c r="X6" s="10"/>
      <c r="Y6" s="10"/>
      <c r="Z6" s="10"/>
      <c r="AA6" s="10"/>
    </row>
    <row r="7" spans="2:29" ht="15.65" customHeight="1" x14ac:dyDescent="0.45">
      <c r="B7" s="3"/>
      <c r="C7" s="87"/>
      <c r="D7" s="3"/>
      <c r="E7" s="3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5" t="s">
        <v>8</v>
      </c>
      <c r="Q7" s="8"/>
      <c r="R7" s="8" t="str">
        <f>COUNTA(C20:C697)&amp;"ea"</f>
        <v>0ea</v>
      </c>
      <c r="V7" s="10"/>
      <c r="W7" s="10"/>
      <c r="X7" s="10"/>
      <c r="Y7" s="10"/>
      <c r="Z7" s="10"/>
      <c r="AA7" s="10"/>
    </row>
    <row r="8" spans="2:29" ht="15.65" customHeight="1" x14ac:dyDescent="0.45">
      <c r="B8" s="3"/>
      <c r="C8" s="8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3"/>
      <c r="T8" s="12"/>
      <c r="U8" s="12"/>
      <c r="V8" s="12"/>
      <c r="W8" s="12"/>
      <c r="X8" s="12"/>
      <c r="Y8" s="12"/>
      <c r="Z8" s="12"/>
      <c r="AA8" s="12"/>
    </row>
    <row r="9" spans="2:29" ht="17.149999999999999" customHeight="1" x14ac:dyDescent="0.45">
      <c r="B9" s="109" t="s">
        <v>9</v>
      </c>
      <c r="C9" s="111" t="s">
        <v>10</v>
      </c>
      <c r="D9" s="112"/>
      <c r="E9" s="15"/>
      <c r="F9" s="113" t="s">
        <v>11</v>
      </c>
      <c r="G9" s="113"/>
      <c r="H9" s="114" t="s">
        <v>12</v>
      </c>
      <c r="I9" s="114"/>
      <c r="J9" s="115" t="s">
        <v>13</v>
      </c>
      <c r="K9" s="115"/>
      <c r="L9" s="116" t="s">
        <v>14</v>
      </c>
      <c r="M9" s="117" t="s">
        <v>15</v>
      </c>
      <c r="N9" s="117"/>
      <c r="O9" s="117"/>
      <c r="P9" s="20" t="s">
        <v>16</v>
      </c>
      <c r="Q9" s="116" t="s">
        <v>17</v>
      </c>
      <c r="R9" s="116" t="s">
        <v>18</v>
      </c>
      <c r="S9" s="111" t="s">
        <v>19</v>
      </c>
      <c r="T9" s="112"/>
      <c r="U9" s="116" t="s">
        <v>20</v>
      </c>
      <c r="V9" s="124" t="s">
        <v>21</v>
      </c>
      <c r="W9" s="125"/>
      <c r="X9" s="126" t="s">
        <v>22</v>
      </c>
      <c r="Y9" s="126"/>
      <c r="Z9" s="116" t="s">
        <v>23</v>
      </c>
      <c r="AA9" s="116" t="s">
        <v>24</v>
      </c>
      <c r="AC9" s="22"/>
    </row>
    <row r="10" spans="2:29" x14ac:dyDescent="0.45">
      <c r="B10" s="110"/>
      <c r="C10" s="89" t="s">
        <v>25</v>
      </c>
      <c r="D10" s="19" t="s">
        <v>26</v>
      </c>
      <c r="E10" s="19" t="s">
        <v>27</v>
      </c>
      <c r="F10" s="16" t="s">
        <v>28</v>
      </c>
      <c r="G10" s="16" t="s">
        <v>29</v>
      </c>
      <c r="H10" s="17" t="s">
        <v>28</v>
      </c>
      <c r="I10" s="17" t="s">
        <v>29</v>
      </c>
      <c r="J10" s="18" t="s">
        <v>28</v>
      </c>
      <c r="K10" s="18" t="s">
        <v>29</v>
      </c>
      <c r="L10" s="109"/>
      <c r="M10" s="24" t="s">
        <v>28</v>
      </c>
      <c r="N10" s="24" t="s">
        <v>29</v>
      </c>
      <c r="O10" s="25" t="s">
        <v>30</v>
      </c>
      <c r="P10" s="26" t="s">
        <v>30</v>
      </c>
      <c r="Q10" s="109"/>
      <c r="R10" s="109"/>
      <c r="S10" s="19" t="s">
        <v>15</v>
      </c>
      <c r="T10" s="19" t="s">
        <v>16</v>
      </c>
      <c r="U10" s="116"/>
      <c r="V10" s="19" t="s">
        <v>31</v>
      </c>
      <c r="W10" s="21" t="s">
        <v>30</v>
      </c>
      <c r="X10" s="14" t="s">
        <v>28</v>
      </c>
      <c r="Y10" s="14" t="s">
        <v>29</v>
      </c>
      <c r="Z10" s="116"/>
      <c r="AA10" s="116"/>
      <c r="AB10" s="22"/>
      <c r="AC10" s="22"/>
    </row>
    <row r="11" spans="2:29" x14ac:dyDescent="0.45">
      <c r="B11" s="121" t="s">
        <v>32</v>
      </c>
      <c r="C11" s="122"/>
      <c r="D11" s="123"/>
      <c r="E11" s="28"/>
      <c r="F11" s="29">
        <f t="shared" ref="F11:K11" si="0">F12-F14</f>
        <v>0.61</v>
      </c>
      <c r="G11" s="29">
        <f t="shared" si="0"/>
        <v>0.32099999999999995</v>
      </c>
      <c r="H11" s="29">
        <f t="shared" si="0"/>
        <v>0.26200000000000001</v>
      </c>
      <c r="I11" s="29">
        <f t="shared" si="0"/>
        <v>0.61699999999999999</v>
      </c>
      <c r="J11" s="29">
        <f t="shared" si="0"/>
        <v>0.12</v>
      </c>
      <c r="K11" s="29">
        <f t="shared" si="0"/>
        <v>0.03</v>
      </c>
      <c r="L11" s="30">
        <v>70.8</v>
      </c>
      <c r="M11" s="31"/>
      <c r="N11" s="31"/>
      <c r="O11" s="30">
        <v>900</v>
      </c>
      <c r="P11" s="32"/>
      <c r="Q11" s="33">
        <v>1000</v>
      </c>
      <c r="R11" s="34"/>
      <c r="S11" s="35">
        <v>80</v>
      </c>
      <c r="T11" s="35">
        <v>50</v>
      </c>
      <c r="U11" s="34"/>
      <c r="V11" s="23"/>
      <c r="W11" s="23"/>
      <c r="X11" s="19"/>
      <c r="Y11" s="19"/>
      <c r="Z11" s="23"/>
      <c r="AA11" s="23"/>
    </row>
    <row r="12" spans="2:29" x14ac:dyDescent="0.45">
      <c r="B12" s="121" t="s">
        <v>33</v>
      </c>
      <c r="C12" s="122"/>
      <c r="D12" s="123"/>
      <c r="E12" s="27"/>
      <c r="F12" s="36">
        <v>0.64</v>
      </c>
      <c r="G12" s="36">
        <v>0.35099999999999998</v>
      </c>
      <c r="H12" s="36">
        <v>0.29199999999999998</v>
      </c>
      <c r="I12" s="36">
        <v>0.64700000000000002</v>
      </c>
      <c r="J12" s="36">
        <v>0.15</v>
      </c>
      <c r="K12" s="36">
        <v>0.06</v>
      </c>
      <c r="L12" s="31"/>
      <c r="M12" s="36">
        <v>0.29299999999999998</v>
      </c>
      <c r="N12" s="36">
        <v>0.32</v>
      </c>
      <c r="O12" s="31"/>
      <c r="P12" s="37"/>
      <c r="Q12" s="34"/>
      <c r="R12" s="34"/>
      <c r="S12" s="34"/>
      <c r="T12" s="34"/>
      <c r="U12" s="38">
        <v>7800</v>
      </c>
      <c r="V12" s="23"/>
      <c r="W12" s="39"/>
      <c r="X12" s="23"/>
      <c r="Y12" s="23"/>
      <c r="Z12" s="23"/>
      <c r="AA12" s="23"/>
    </row>
    <row r="13" spans="2:29" x14ac:dyDescent="0.45">
      <c r="B13" s="121" t="s">
        <v>34</v>
      </c>
      <c r="C13" s="122"/>
      <c r="D13" s="123"/>
      <c r="E13" s="28"/>
      <c r="F13" s="29">
        <f t="shared" ref="F13:K13" si="1">F12+F14</f>
        <v>0.67</v>
      </c>
      <c r="G13" s="29">
        <f t="shared" si="1"/>
        <v>0.38100000000000001</v>
      </c>
      <c r="H13" s="29">
        <f t="shared" si="1"/>
        <v>0.32199999999999995</v>
      </c>
      <c r="I13" s="29">
        <f t="shared" si="1"/>
        <v>0.67700000000000005</v>
      </c>
      <c r="J13" s="29">
        <f t="shared" si="1"/>
        <v>0.18</v>
      </c>
      <c r="K13" s="29">
        <f t="shared" si="1"/>
        <v>0.09</v>
      </c>
      <c r="L13" s="31"/>
      <c r="M13" s="31"/>
      <c r="N13" s="31"/>
      <c r="O13" s="30">
        <v>945</v>
      </c>
      <c r="P13" s="40"/>
      <c r="Q13" s="34"/>
      <c r="R13" s="41">
        <v>5.0000000000000001E-3</v>
      </c>
      <c r="S13" s="34"/>
      <c r="T13" s="34"/>
      <c r="U13" s="34"/>
      <c r="V13" s="23"/>
      <c r="W13" s="39"/>
      <c r="X13" s="23"/>
      <c r="Y13" s="23"/>
      <c r="Z13" s="23"/>
      <c r="AA13" s="23"/>
    </row>
    <row r="14" spans="2:29" x14ac:dyDescent="0.45">
      <c r="B14" s="121" t="s">
        <v>35</v>
      </c>
      <c r="C14" s="122"/>
      <c r="D14" s="123"/>
      <c r="E14" s="28"/>
      <c r="F14" s="41">
        <v>0.03</v>
      </c>
      <c r="G14" s="41">
        <v>0.03</v>
      </c>
      <c r="H14" s="41">
        <v>0.03</v>
      </c>
      <c r="I14" s="41">
        <v>0.03</v>
      </c>
      <c r="J14" s="41">
        <v>0.03</v>
      </c>
      <c r="K14" s="41">
        <v>0.03</v>
      </c>
      <c r="L14" s="31"/>
      <c r="M14" s="31"/>
      <c r="N14" s="31"/>
      <c r="O14" s="31"/>
      <c r="P14" s="40"/>
      <c r="Q14" s="34"/>
      <c r="R14" s="34"/>
      <c r="S14" s="34"/>
      <c r="T14" s="34"/>
      <c r="U14" s="34"/>
      <c r="V14" s="23"/>
      <c r="W14" s="39"/>
      <c r="X14" s="23"/>
      <c r="Y14" s="23"/>
      <c r="Z14" s="23"/>
      <c r="AA14" s="23"/>
    </row>
    <row r="15" spans="2:29" x14ac:dyDescent="0.45">
      <c r="B15" s="127" t="s">
        <v>36</v>
      </c>
      <c r="C15" s="128"/>
      <c r="D15" s="129"/>
      <c r="E15" s="42"/>
      <c r="F15" s="43" t="e">
        <f t="shared" ref="F15:T15" si="2">AVERAGE(F20:F697)</f>
        <v>#DIV/0!</v>
      </c>
      <c r="G15" s="43" t="e">
        <f t="shared" si="2"/>
        <v>#DIV/0!</v>
      </c>
      <c r="H15" s="43" t="e">
        <f t="shared" si="2"/>
        <v>#DIV/0!</v>
      </c>
      <c r="I15" s="43" t="e">
        <f t="shared" si="2"/>
        <v>#DIV/0!</v>
      </c>
      <c r="J15" s="43" t="e">
        <f t="shared" si="2"/>
        <v>#DIV/0!</v>
      </c>
      <c r="K15" s="43" t="e">
        <f t="shared" si="2"/>
        <v>#DIV/0!</v>
      </c>
      <c r="L15" s="43">
        <f t="shared" si="2"/>
        <v>0</v>
      </c>
      <c r="M15" s="43" t="e">
        <f t="shared" si="2"/>
        <v>#DIV/0!</v>
      </c>
      <c r="N15" s="43" t="e">
        <f t="shared" si="2"/>
        <v>#DIV/0!</v>
      </c>
      <c r="O15" s="43" t="e">
        <f t="shared" si="2"/>
        <v>#DIV/0!</v>
      </c>
      <c r="P15" s="43" t="e">
        <f t="shared" si="2"/>
        <v>#DIV/0!</v>
      </c>
      <c r="Q15" s="44" t="e">
        <f t="shared" si="2"/>
        <v>#DIV/0!</v>
      </c>
      <c r="R15" s="43">
        <f t="shared" si="2"/>
        <v>0.4338767105987581</v>
      </c>
      <c r="S15" s="43" t="e">
        <f t="shared" si="2"/>
        <v>#DIV/0!</v>
      </c>
      <c r="T15" s="43" t="e">
        <f t="shared" si="2"/>
        <v>#DIV/0!</v>
      </c>
      <c r="U15" s="43">
        <f t="shared" ref="U15:Z15" si="3">AVERAGE(U20:U76)</f>
        <v>2021.2824107652889</v>
      </c>
      <c r="V15" s="43">
        <f t="shared" si="3"/>
        <v>2021.2824107652905</v>
      </c>
      <c r="W15" s="43">
        <f t="shared" si="3"/>
        <v>2021.2824107652905</v>
      </c>
      <c r="X15" s="43" t="e">
        <f t="shared" si="3"/>
        <v>#DIV/0!</v>
      </c>
      <c r="Y15" s="43" t="e">
        <f t="shared" si="3"/>
        <v>#DIV/0!</v>
      </c>
      <c r="Z15" s="43">
        <f t="shared" si="3"/>
        <v>10395.441632769391</v>
      </c>
      <c r="AA15" s="45"/>
    </row>
    <row r="16" spans="2:29" x14ac:dyDescent="0.45">
      <c r="B16" s="104" t="s">
        <v>37</v>
      </c>
      <c r="C16" s="105"/>
      <c r="D16" s="106"/>
      <c r="E16" s="46"/>
      <c r="F16" s="47" t="e">
        <f t="shared" ref="F16:L16" si="4">F15-F12</f>
        <v>#DIV/0!</v>
      </c>
      <c r="G16" s="47" t="e">
        <f>G15-G12</f>
        <v>#DIV/0!</v>
      </c>
      <c r="H16" s="47" t="e">
        <f t="shared" si="4"/>
        <v>#DIV/0!</v>
      </c>
      <c r="I16" s="47" t="e">
        <f t="shared" si="4"/>
        <v>#DIV/0!</v>
      </c>
      <c r="J16" s="47" t="e">
        <f t="shared" si="4"/>
        <v>#DIV/0!</v>
      </c>
      <c r="K16" s="47" t="e">
        <f t="shared" si="4"/>
        <v>#DIV/0!</v>
      </c>
      <c r="L16" s="47">
        <f t="shared" si="4"/>
        <v>0</v>
      </c>
      <c r="M16" s="47" t="e">
        <f>M15-M12</f>
        <v>#DIV/0!</v>
      </c>
      <c r="N16" s="48" t="e">
        <f>N15-N12</f>
        <v>#DIV/0!</v>
      </c>
      <c r="O16" s="47" t="e">
        <f>O15-O12</f>
        <v>#DIV/0!</v>
      </c>
      <c r="P16" s="47" t="e">
        <f t="shared" ref="P16:Z16" si="5">P15-P12</f>
        <v>#DIV/0!</v>
      </c>
      <c r="Q16" s="49" t="e">
        <f t="shared" si="5"/>
        <v>#DIV/0!</v>
      </c>
      <c r="R16" s="47">
        <f t="shared" si="5"/>
        <v>0.4338767105987581</v>
      </c>
      <c r="S16" s="47" t="e">
        <f t="shared" si="5"/>
        <v>#DIV/0!</v>
      </c>
      <c r="T16" s="47" t="e">
        <f t="shared" si="5"/>
        <v>#DIV/0!</v>
      </c>
      <c r="U16" s="47">
        <f t="shared" si="5"/>
        <v>-5778.7175892347113</v>
      </c>
      <c r="V16" s="47">
        <f t="shared" si="5"/>
        <v>2021.2824107652905</v>
      </c>
      <c r="W16" s="47">
        <f t="shared" si="5"/>
        <v>2021.2824107652905</v>
      </c>
      <c r="X16" s="47" t="e">
        <f t="shared" si="5"/>
        <v>#DIV/0!</v>
      </c>
      <c r="Y16" s="47" t="e">
        <f t="shared" si="5"/>
        <v>#DIV/0!</v>
      </c>
      <c r="Z16" s="47">
        <f t="shared" si="5"/>
        <v>10395.441632769391</v>
      </c>
      <c r="AA16" s="45"/>
    </row>
    <row r="17" spans="2:54" x14ac:dyDescent="0.45">
      <c r="B17" s="107" t="s">
        <v>38</v>
      </c>
      <c r="C17" s="107"/>
      <c r="D17" s="107"/>
      <c r="E17" s="50"/>
      <c r="F17" s="43">
        <f t="shared" ref="F17:T17" si="6">MIN(F20:F697)</f>
        <v>0</v>
      </c>
      <c r="G17" s="43">
        <f t="shared" si="6"/>
        <v>0</v>
      </c>
      <c r="H17" s="43">
        <f t="shared" si="6"/>
        <v>0</v>
      </c>
      <c r="I17" s="43">
        <f t="shared" si="6"/>
        <v>0</v>
      </c>
      <c r="J17" s="43">
        <f t="shared" si="6"/>
        <v>0</v>
      </c>
      <c r="K17" s="43">
        <f t="shared" si="6"/>
        <v>0</v>
      </c>
      <c r="L17" s="43">
        <f t="shared" si="6"/>
        <v>0</v>
      </c>
      <c r="M17" s="43">
        <f t="shared" si="6"/>
        <v>0</v>
      </c>
      <c r="N17" s="43">
        <f t="shared" si="6"/>
        <v>0</v>
      </c>
      <c r="O17" s="43">
        <f t="shared" si="6"/>
        <v>0</v>
      </c>
      <c r="P17" s="43">
        <f t="shared" si="6"/>
        <v>0</v>
      </c>
      <c r="Q17" s="44" t="e">
        <f t="shared" si="6"/>
        <v>#DIV/0!</v>
      </c>
      <c r="R17" s="43">
        <f t="shared" si="6"/>
        <v>0.43387671059875982</v>
      </c>
      <c r="S17" s="43">
        <f t="shared" si="6"/>
        <v>0</v>
      </c>
      <c r="T17" s="43">
        <f t="shared" si="6"/>
        <v>0</v>
      </c>
      <c r="U17" s="43">
        <f t="shared" ref="U17:Z17" si="7">MIN(U20:U76)</f>
        <v>2021.2824107652905</v>
      </c>
      <c r="V17" s="43">
        <f t="shared" si="7"/>
        <v>2021.2824107652905</v>
      </c>
      <c r="W17" s="43">
        <f t="shared" si="7"/>
        <v>2021.2824107652905</v>
      </c>
      <c r="X17" s="43" t="e">
        <f t="shared" si="7"/>
        <v>#DIV/0!</v>
      </c>
      <c r="Y17" s="43" t="e">
        <f t="shared" si="7"/>
        <v>#DIV/0!</v>
      </c>
      <c r="Z17" s="43">
        <f t="shared" si="7"/>
        <v>10395.441632769391</v>
      </c>
      <c r="AA17" s="45"/>
      <c r="AH17" s="51"/>
      <c r="AI17" s="51"/>
    </row>
    <row r="18" spans="2:54" x14ac:dyDescent="0.45">
      <c r="B18" s="107" t="s">
        <v>39</v>
      </c>
      <c r="C18" s="107"/>
      <c r="D18" s="107"/>
      <c r="E18" s="50"/>
      <c r="F18" s="43">
        <f t="shared" ref="F18:T18" si="8">MAX(F20:F697)</f>
        <v>0</v>
      </c>
      <c r="G18" s="43">
        <f t="shared" si="8"/>
        <v>0</v>
      </c>
      <c r="H18" s="43">
        <f t="shared" si="8"/>
        <v>0</v>
      </c>
      <c r="I18" s="43">
        <f t="shared" si="8"/>
        <v>0</v>
      </c>
      <c r="J18" s="43">
        <f t="shared" si="8"/>
        <v>0</v>
      </c>
      <c r="K18" s="43">
        <f t="shared" si="8"/>
        <v>0</v>
      </c>
      <c r="L18" s="43">
        <f t="shared" si="8"/>
        <v>0</v>
      </c>
      <c r="M18" s="43">
        <f t="shared" si="8"/>
        <v>0</v>
      </c>
      <c r="N18" s="43">
        <f t="shared" si="8"/>
        <v>0</v>
      </c>
      <c r="O18" s="43">
        <f t="shared" si="8"/>
        <v>0</v>
      </c>
      <c r="P18" s="43">
        <f t="shared" si="8"/>
        <v>0</v>
      </c>
      <c r="Q18" s="44" t="e">
        <f t="shared" si="8"/>
        <v>#DIV/0!</v>
      </c>
      <c r="R18" s="43">
        <f t="shared" si="8"/>
        <v>0.43387671059875982</v>
      </c>
      <c r="S18" s="43">
        <f t="shared" si="8"/>
        <v>0</v>
      </c>
      <c r="T18" s="43">
        <f t="shared" si="8"/>
        <v>0</v>
      </c>
      <c r="U18" s="43">
        <f t="shared" ref="U18:Z18" si="9">MAX(U20:U76)</f>
        <v>2021.2824107652905</v>
      </c>
      <c r="V18" s="43">
        <f t="shared" si="9"/>
        <v>2021.2824107652905</v>
      </c>
      <c r="W18" s="43">
        <f t="shared" si="9"/>
        <v>2021.2824107652905</v>
      </c>
      <c r="X18" s="43" t="e">
        <f t="shared" si="9"/>
        <v>#DIV/0!</v>
      </c>
      <c r="Y18" s="43" t="e">
        <f t="shared" si="9"/>
        <v>#DIV/0!</v>
      </c>
      <c r="Z18" s="43">
        <f t="shared" si="9"/>
        <v>10395.441632769391</v>
      </c>
      <c r="AA18" s="45"/>
      <c r="AY18" s="118" t="s">
        <v>40</v>
      </c>
      <c r="AZ18" s="118"/>
      <c r="BA18" s="118"/>
      <c r="BB18" s="118"/>
    </row>
    <row r="19" spans="2:54" x14ac:dyDescent="0.45">
      <c r="B19" s="119" t="s">
        <v>41</v>
      </c>
      <c r="C19" s="120"/>
      <c r="D19" s="53" t="s">
        <v>560</v>
      </c>
      <c r="E19" s="53" t="s">
        <v>559</v>
      </c>
      <c r="F19" s="54" t="e">
        <f t="shared" ref="F19:K19" si="10">(1-ABS(((F13+F11)/2)-AVERAGE(F20:F697))/((F13-F11)/2))*((F13-F11)/(STDEV(F20:F697)*6))</f>
        <v>#DIV/0!</v>
      </c>
      <c r="G19" s="54" t="e">
        <f t="shared" si="10"/>
        <v>#DIV/0!</v>
      </c>
      <c r="H19" s="54" t="e">
        <f t="shared" si="10"/>
        <v>#DIV/0!</v>
      </c>
      <c r="I19" s="54" t="e">
        <f t="shared" si="10"/>
        <v>#DIV/0!</v>
      </c>
      <c r="J19" s="54" t="e">
        <f t="shared" si="10"/>
        <v>#DIV/0!</v>
      </c>
      <c r="K19" s="54" t="e">
        <f t="shared" si="10"/>
        <v>#DIV/0!</v>
      </c>
      <c r="L19" s="54" t="e">
        <f>((AVERAGE(L20:L697)-L11)/(3*STDEV(L20:L697)))</f>
        <v>#DIV/0!</v>
      </c>
      <c r="M19" s="54" t="e">
        <f>(1-ABS(((M13+M11)/2)-AVERAGE(M20:M697))/((M13-M11)/2))*((M13-M11)/(STDEV(M20:M697)*6))</f>
        <v>#DIV/0!</v>
      </c>
      <c r="N19" s="54" t="e">
        <f>(1-ABS(((N13+N11)/2)-AVERAGE(N20:N697))/((N13-N11)/2))*((N13-N11)/(STDEV(N20:N697)*6))</f>
        <v>#DIV/0!</v>
      </c>
      <c r="O19" s="54" t="e">
        <f>((AVERAGE(O20:O697)-O11)/(3*STDEV(O20:O697)))</f>
        <v>#DIV/0!</v>
      </c>
      <c r="P19" s="54" t="e">
        <f>(1-ABS(((P13+P11)/2)-AVERAGE(P20:P697))/((P13-P11)/2))*((P13-P11)/(STDEV(P20:P697)*6))</f>
        <v>#DIV/0!</v>
      </c>
      <c r="Q19" s="55" t="e">
        <f>((AVERAGE(Q20:Q697)-Q11)/(3*STDEV(Q20:Q697)))</f>
        <v>#DIV/0!</v>
      </c>
      <c r="R19" s="54">
        <f>(R13-AVERAGE(R20:R697))/(3*STDEV(R20:R697))</f>
        <v>-83013508237325.078</v>
      </c>
      <c r="S19" s="54" t="e">
        <f>((AVERAGE(S20:S697)-S11)/(3*STDEV(S20:S697)))</f>
        <v>#DIV/0!</v>
      </c>
      <c r="T19" s="54" t="e">
        <f>((AVERAGE(T20:T697)-T11)/(3*STDEV(T20:T697)))</f>
        <v>#DIV/0!</v>
      </c>
      <c r="U19" s="54" t="e">
        <f t="shared" ref="U19:Z19" si="11">(1-ABS(((U13+U11)/2)-AVERAGE(U20:U697))/((U13-U11)/2))*((U13-U11)/(STDEV(U20:U697)*6))</f>
        <v>#DIV/0!</v>
      </c>
      <c r="V19" s="54" t="e">
        <f t="shared" si="11"/>
        <v>#DIV/0!</v>
      </c>
      <c r="W19" s="54" t="e">
        <f t="shared" si="11"/>
        <v>#DIV/0!</v>
      </c>
      <c r="X19" s="54" t="e">
        <f t="shared" si="11"/>
        <v>#DIV/0!</v>
      </c>
      <c r="Y19" s="54" t="e">
        <f t="shared" si="11"/>
        <v>#DIV/0!</v>
      </c>
      <c r="Z19" s="54" t="e">
        <f t="shared" si="11"/>
        <v>#DIV/0!</v>
      </c>
      <c r="AA19" s="45"/>
      <c r="AY19" s="1" t="s">
        <v>42</v>
      </c>
      <c r="AZ19" s="1" t="s">
        <v>43</v>
      </c>
      <c r="BA19" s="1" t="s">
        <v>44</v>
      </c>
      <c r="BB19" s="1" t="s">
        <v>45</v>
      </c>
    </row>
    <row r="20" spans="2:54" x14ac:dyDescent="0.45">
      <c r="B20" s="45" t="s">
        <v>46</v>
      </c>
      <c r="C20" s="90"/>
      <c r="D20" s="56"/>
      <c r="E20" s="57"/>
      <c r="F20" s="58"/>
      <c r="G20" s="58"/>
      <c r="H20" s="58"/>
      <c r="I20" s="58"/>
      <c r="J20" s="58"/>
      <c r="K20" s="58"/>
      <c r="L20" s="59">
        <f t="shared" ref="L20:L81" si="12">1/2*((F20*I20+H20*K20+J20*G20)-(G20*H20+I20*J20+K20*F20))/0.1582*100</f>
        <v>0</v>
      </c>
      <c r="M20" s="68"/>
      <c r="N20" s="68"/>
      <c r="O20" s="68"/>
      <c r="P20" s="68"/>
      <c r="Q20" s="99" t="e">
        <f t="shared" ref="Q20" si="13">O20/P20</f>
        <v>#DIV/0!</v>
      </c>
      <c r="R20" s="100">
        <f t="shared" ref="R20" si="14">SQRT(POWER(M20-$M$12,2)+POWER(N20-$N$12,2))</f>
        <v>0.43387671059875982</v>
      </c>
      <c r="S20" s="83"/>
      <c r="T20" s="83"/>
      <c r="U20" s="101">
        <f t="shared" ref="U20:U81" si="15">(-449*((M20-0.332)/(N20-0.1858))^3)+(3525*((M20-0.332)/(N20-0.1858))^2)+(-6823.3*(M20-0.332)/(N20-0.1858))+5520.33</f>
        <v>2021.2824107652905</v>
      </c>
      <c r="V20" s="62">
        <f t="shared" ref="V20:Z20" si="16">(-449*((N20-0.332)/(O20-0.1858))^3)+(3525*((N20-0.332)/(O20-0.1858))^2)+(-6823.3*(N20-0.332)/(O20-0.1858))+5520.33</f>
        <v>2021.2824107652905</v>
      </c>
      <c r="W20" s="62">
        <f t="shared" si="16"/>
        <v>2021.2824107652905</v>
      </c>
      <c r="X20" s="62" t="e">
        <f t="shared" si="16"/>
        <v>#DIV/0!</v>
      </c>
      <c r="Y20" s="62" t="e">
        <f t="shared" si="16"/>
        <v>#DIV/0!</v>
      </c>
      <c r="Z20" s="62">
        <f t="shared" si="16"/>
        <v>10395.441632769391</v>
      </c>
      <c r="AA20" s="61"/>
      <c r="AY20" s="66"/>
      <c r="AZ20" s="66"/>
      <c r="BA20" s="66"/>
      <c r="BB20" s="22"/>
    </row>
    <row r="21" spans="2:54" x14ac:dyDescent="0.45">
      <c r="B21" s="45" t="s">
        <v>504</v>
      </c>
      <c r="C21" s="90"/>
      <c r="D21" s="56"/>
      <c r="E21" s="58"/>
      <c r="F21" s="58"/>
      <c r="G21" s="58"/>
      <c r="H21" s="58"/>
      <c r="I21" s="58"/>
      <c r="J21" s="58"/>
      <c r="K21" s="58"/>
      <c r="L21" s="59">
        <f t="shared" si="12"/>
        <v>0</v>
      </c>
      <c r="M21" s="68"/>
      <c r="N21" s="68"/>
      <c r="O21" s="68"/>
      <c r="P21" s="68"/>
      <c r="Q21" s="99" t="e">
        <f t="shared" ref="Q21:Q81" si="17">O21/P21</f>
        <v>#DIV/0!</v>
      </c>
      <c r="R21" s="100">
        <f t="shared" ref="R21:R81" si="18">SQRT(POWER(M21-$M$12,2)+POWER(N21-$N$12,2))</f>
        <v>0.43387671059875982</v>
      </c>
      <c r="S21" s="83"/>
      <c r="T21" s="83"/>
      <c r="U21" s="101">
        <f t="shared" si="15"/>
        <v>2021.2824107652905</v>
      </c>
      <c r="V21" s="45"/>
      <c r="W21" s="63"/>
      <c r="X21" s="64"/>
      <c r="Y21" s="64"/>
      <c r="Z21" s="65"/>
      <c r="AA21" s="45"/>
      <c r="AY21" s="66"/>
      <c r="AZ21" s="66"/>
      <c r="BA21" s="66"/>
      <c r="BB21" s="22"/>
    </row>
    <row r="22" spans="2:54" x14ac:dyDescent="0.45">
      <c r="B22" s="45" t="s">
        <v>47</v>
      </c>
      <c r="C22" s="90"/>
      <c r="D22" s="56"/>
      <c r="E22" s="58"/>
      <c r="F22" s="58"/>
      <c r="G22" s="58"/>
      <c r="H22" s="58"/>
      <c r="I22" s="58"/>
      <c r="J22" s="58"/>
      <c r="K22" s="58"/>
      <c r="L22" s="59">
        <f t="shared" si="12"/>
        <v>0</v>
      </c>
      <c r="M22" s="68"/>
      <c r="N22" s="68"/>
      <c r="O22" s="68"/>
      <c r="P22" s="68"/>
      <c r="Q22" s="99" t="e">
        <f t="shared" si="17"/>
        <v>#DIV/0!</v>
      </c>
      <c r="R22" s="100">
        <f t="shared" si="18"/>
        <v>0.43387671059875982</v>
      </c>
      <c r="S22" s="83"/>
      <c r="T22" s="83"/>
      <c r="U22" s="101">
        <f t="shared" si="15"/>
        <v>2021.2824107652905</v>
      </c>
      <c r="V22" s="45"/>
      <c r="W22" s="63"/>
      <c r="X22" s="64"/>
      <c r="Y22" s="64"/>
      <c r="Z22" s="65"/>
      <c r="AA22" s="45"/>
      <c r="AY22" s="66"/>
      <c r="AZ22" s="66"/>
      <c r="BA22" s="66"/>
      <c r="BB22" s="22"/>
    </row>
    <row r="23" spans="2:54" x14ac:dyDescent="0.45">
      <c r="B23" s="45" t="s">
        <v>48</v>
      </c>
      <c r="C23" s="90"/>
      <c r="D23" s="56"/>
      <c r="E23" s="57"/>
      <c r="F23" s="58"/>
      <c r="G23" s="58"/>
      <c r="H23" s="58"/>
      <c r="I23" s="58"/>
      <c r="J23" s="58"/>
      <c r="K23" s="58"/>
      <c r="L23" s="59">
        <f t="shared" si="12"/>
        <v>0</v>
      </c>
      <c r="M23" s="68"/>
      <c r="N23" s="68"/>
      <c r="O23" s="68"/>
      <c r="P23" s="68"/>
      <c r="Q23" s="99" t="e">
        <f t="shared" si="17"/>
        <v>#DIV/0!</v>
      </c>
      <c r="R23" s="100">
        <f t="shared" si="18"/>
        <v>0.43387671059875982</v>
      </c>
      <c r="S23" s="83"/>
      <c r="T23" s="83"/>
      <c r="U23" s="101">
        <f t="shared" si="15"/>
        <v>2021.2824107652905</v>
      </c>
      <c r="V23" s="45"/>
      <c r="W23" s="63"/>
      <c r="X23" s="64"/>
      <c r="Y23" s="64"/>
      <c r="Z23" s="65"/>
      <c r="AA23" s="45"/>
      <c r="AY23" s="66">
        <f t="shared" ref="AY23:AY85" si="19">$L$11</f>
        <v>70.8</v>
      </c>
      <c r="AZ23" s="66">
        <f t="shared" ref="AZ23:AZ85" si="20">$O$11</f>
        <v>900</v>
      </c>
      <c r="BA23" s="66">
        <f t="shared" ref="BA23:BA85" si="21">$Q$11</f>
        <v>1000</v>
      </c>
      <c r="BB23" s="22">
        <f t="shared" ref="BB23:BB85" si="22">$R$13</f>
        <v>5.0000000000000001E-3</v>
      </c>
    </row>
    <row r="24" spans="2:54" x14ac:dyDescent="0.45">
      <c r="B24" s="45" t="s">
        <v>49</v>
      </c>
      <c r="C24" s="90"/>
      <c r="D24" s="56"/>
      <c r="E24" s="58"/>
      <c r="F24" s="58"/>
      <c r="G24" s="58"/>
      <c r="H24" s="58"/>
      <c r="I24" s="58"/>
      <c r="J24" s="58"/>
      <c r="K24" s="58"/>
      <c r="L24" s="59">
        <f t="shared" si="12"/>
        <v>0</v>
      </c>
      <c r="M24" s="68"/>
      <c r="N24" s="68"/>
      <c r="O24" s="68"/>
      <c r="P24" s="68"/>
      <c r="Q24" s="99" t="e">
        <f t="shared" si="17"/>
        <v>#DIV/0!</v>
      </c>
      <c r="R24" s="100">
        <f t="shared" si="18"/>
        <v>0.43387671059875982</v>
      </c>
      <c r="S24" s="83"/>
      <c r="T24" s="83"/>
      <c r="U24" s="101">
        <f t="shared" si="15"/>
        <v>2021.2824107652905</v>
      </c>
      <c r="V24" s="45"/>
      <c r="W24" s="63"/>
      <c r="X24" s="64"/>
      <c r="Y24" s="64"/>
      <c r="Z24" s="65"/>
      <c r="AA24" s="45"/>
      <c r="AY24" s="66">
        <f t="shared" si="19"/>
        <v>70.8</v>
      </c>
      <c r="AZ24" s="66">
        <f t="shared" si="20"/>
        <v>900</v>
      </c>
      <c r="BA24" s="66">
        <f t="shared" si="21"/>
        <v>1000</v>
      </c>
      <c r="BB24" s="22">
        <f t="shared" si="22"/>
        <v>5.0000000000000001E-3</v>
      </c>
    </row>
    <row r="25" spans="2:54" x14ac:dyDescent="0.45">
      <c r="B25" s="45" t="s">
        <v>50</v>
      </c>
      <c r="C25" s="90"/>
      <c r="D25" s="56"/>
      <c r="E25" s="57"/>
      <c r="F25" s="68"/>
      <c r="G25" s="68"/>
      <c r="H25" s="68"/>
      <c r="I25" s="68"/>
      <c r="J25" s="68"/>
      <c r="K25" s="68"/>
      <c r="L25" s="59">
        <f t="shared" si="12"/>
        <v>0</v>
      </c>
      <c r="M25" s="68"/>
      <c r="N25" s="68"/>
      <c r="O25" s="68"/>
      <c r="P25" s="68"/>
      <c r="Q25" s="99" t="e">
        <f t="shared" si="17"/>
        <v>#DIV/0!</v>
      </c>
      <c r="R25" s="100">
        <f t="shared" si="18"/>
        <v>0.43387671059875982</v>
      </c>
      <c r="S25" s="83"/>
      <c r="T25" s="83"/>
      <c r="U25" s="101">
        <f t="shared" si="15"/>
        <v>2021.2824107652905</v>
      </c>
      <c r="V25" s="45"/>
      <c r="W25" s="63"/>
      <c r="X25" s="64"/>
      <c r="Y25" s="64"/>
      <c r="Z25" s="65"/>
      <c r="AA25" s="45"/>
      <c r="AQ25" s="52"/>
      <c r="AR25" s="52"/>
      <c r="AY25" s="66">
        <f t="shared" si="19"/>
        <v>70.8</v>
      </c>
      <c r="AZ25" s="66">
        <f t="shared" si="20"/>
        <v>900</v>
      </c>
      <c r="BA25" s="66">
        <f t="shared" si="21"/>
        <v>1000</v>
      </c>
      <c r="BB25" s="22">
        <f t="shared" si="22"/>
        <v>5.0000000000000001E-3</v>
      </c>
    </row>
    <row r="26" spans="2:54" x14ac:dyDescent="0.45">
      <c r="B26" s="45" t="s">
        <v>51</v>
      </c>
      <c r="C26" s="90"/>
      <c r="D26" s="56"/>
      <c r="E26" s="58"/>
      <c r="F26" s="58"/>
      <c r="G26" s="58"/>
      <c r="H26" s="58"/>
      <c r="I26" s="58"/>
      <c r="J26" s="58"/>
      <c r="K26" s="58"/>
      <c r="L26" s="59">
        <f t="shared" si="12"/>
        <v>0</v>
      </c>
      <c r="M26" s="68"/>
      <c r="N26" s="68"/>
      <c r="O26" s="68"/>
      <c r="P26" s="68"/>
      <c r="Q26" s="99" t="e">
        <f t="shared" si="17"/>
        <v>#DIV/0!</v>
      </c>
      <c r="R26" s="100">
        <f t="shared" si="18"/>
        <v>0.43387671059875982</v>
      </c>
      <c r="S26" s="83"/>
      <c r="T26" s="83"/>
      <c r="U26" s="101">
        <f t="shared" si="15"/>
        <v>2021.2824107652905</v>
      </c>
      <c r="V26" s="45"/>
      <c r="W26" s="63"/>
      <c r="X26" s="64"/>
      <c r="Y26" s="64"/>
      <c r="Z26" s="65"/>
      <c r="AA26" s="45"/>
      <c r="AQ26" s="52"/>
      <c r="AR26" s="52"/>
      <c r="AY26" s="66">
        <f t="shared" si="19"/>
        <v>70.8</v>
      </c>
      <c r="AZ26" s="66">
        <f t="shared" si="20"/>
        <v>900</v>
      </c>
      <c r="BA26" s="66">
        <f t="shared" si="21"/>
        <v>1000</v>
      </c>
      <c r="BB26" s="22">
        <f t="shared" si="22"/>
        <v>5.0000000000000001E-3</v>
      </c>
    </row>
    <row r="27" spans="2:54" x14ac:dyDescent="0.45">
      <c r="B27" s="45" t="s">
        <v>52</v>
      </c>
      <c r="C27" s="90"/>
      <c r="D27" s="56"/>
      <c r="E27" s="57"/>
      <c r="F27" s="68"/>
      <c r="G27" s="68"/>
      <c r="H27" s="68"/>
      <c r="I27" s="68"/>
      <c r="J27" s="68"/>
      <c r="K27" s="68"/>
      <c r="L27" s="59">
        <f t="shared" si="12"/>
        <v>0</v>
      </c>
      <c r="M27" s="68"/>
      <c r="N27" s="68"/>
      <c r="O27" s="68"/>
      <c r="P27" s="68"/>
      <c r="Q27" s="99" t="e">
        <f t="shared" si="17"/>
        <v>#DIV/0!</v>
      </c>
      <c r="R27" s="100">
        <f t="shared" si="18"/>
        <v>0.43387671059875982</v>
      </c>
      <c r="S27" s="83"/>
      <c r="T27" s="83"/>
      <c r="U27" s="101">
        <f t="shared" si="15"/>
        <v>2021.2824107652905</v>
      </c>
      <c r="V27" s="45"/>
      <c r="W27" s="63"/>
      <c r="X27" s="64"/>
      <c r="Y27" s="64"/>
      <c r="Z27" s="65"/>
      <c r="AA27" s="45"/>
      <c r="AQ27" s="52"/>
      <c r="AR27" s="52"/>
      <c r="AY27" s="66">
        <f t="shared" si="19"/>
        <v>70.8</v>
      </c>
      <c r="AZ27" s="66">
        <f t="shared" si="20"/>
        <v>900</v>
      </c>
      <c r="BA27" s="66">
        <f t="shared" si="21"/>
        <v>1000</v>
      </c>
      <c r="BB27" s="22">
        <f t="shared" si="22"/>
        <v>5.0000000000000001E-3</v>
      </c>
    </row>
    <row r="28" spans="2:54" x14ac:dyDescent="0.45">
      <c r="B28" s="45" t="s">
        <v>53</v>
      </c>
      <c r="C28" s="90"/>
      <c r="D28" s="56"/>
      <c r="E28" s="57"/>
      <c r="F28" s="68"/>
      <c r="G28" s="68"/>
      <c r="H28" s="68"/>
      <c r="I28" s="68"/>
      <c r="J28" s="68"/>
      <c r="K28" s="68"/>
      <c r="L28" s="59">
        <f t="shared" si="12"/>
        <v>0</v>
      </c>
      <c r="M28" s="68"/>
      <c r="N28" s="68"/>
      <c r="O28" s="68"/>
      <c r="P28" s="68"/>
      <c r="Q28" s="99" t="e">
        <f t="shared" si="17"/>
        <v>#DIV/0!</v>
      </c>
      <c r="R28" s="100">
        <f t="shared" si="18"/>
        <v>0.43387671059875982</v>
      </c>
      <c r="S28" s="83"/>
      <c r="T28" s="83"/>
      <c r="U28" s="101">
        <f t="shared" si="15"/>
        <v>2021.2824107652905</v>
      </c>
      <c r="V28" s="45"/>
      <c r="W28" s="63"/>
      <c r="X28" s="64"/>
      <c r="Y28" s="64"/>
      <c r="Z28" s="65"/>
      <c r="AA28" s="45"/>
      <c r="AQ28" s="52"/>
      <c r="AR28" s="52"/>
      <c r="AY28" s="66">
        <f t="shared" si="19"/>
        <v>70.8</v>
      </c>
      <c r="AZ28" s="66">
        <f t="shared" si="20"/>
        <v>900</v>
      </c>
      <c r="BA28" s="66">
        <f t="shared" si="21"/>
        <v>1000</v>
      </c>
      <c r="BB28" s="22">
        <f t="shared" si="22"/>
        <v>5.0000000000000001E-3</v>
      </c>
    </row>
    <row r="29" spans="2:54" x14ac:dyDescent="0.45">
      <c r="B29" s="45" t="s">
        <v>54</v>
      </c>
      <c r="C29" s="90"/>
      <c r="D29" s="56"/>
      <c r="E29" s="57"/>
      <c r="F29" s="58"/>
      <c r="G29" s="58"/>
      <c r="H29" s="58"/>
      <c r="I29" s="58"/>
      <c r="J29" s="58"/>
      <c r="K29" s="58"/>
      <c r="L29" s="59">
        <f t="shared" si="12"/>
        <v>0</v>
      </c>
      <c r="M29" s="68"/>
      <c r="N29" s="68"/>
      <c r="O29" s="68"/>
      <c r="P29" s="68"/>
      <c r="Q29" s="99" t="e">
        <f t="shared" si="17"/>
        <v>#DIV/0!</v>
      </c>
      <c r="R29" s="100">
        <f t="shared" si="18"/>
        <v>0.43387671059875982</v>
      </c>
      <c r="S29" s="83"/>
      <c r="T29" s="83"/>
      <c r="U29" s="101">
        <f t="shared" si="15"/>
        <v>2021.2824107652905</v>
      </c>
      <c r="V29" s="45"/>
      <c r="W29" s="63"/>
      <c r="X29" s="64"/>
      <c r="Y29" s="64"/>
      <c r="Z29" s="65"/>
      <c r="AA29" s="45"/>
      <c r="AQ29" s="52"/>
      <c r="AR29" s="52"/>
      <c r="AY29" s="66">
        <f t="shared" si="19"/>
        <v>70.8</v>
      </c>
      <c r="AZ29" s="66">
        <f t="shared" si="20"/>
        <v>900</v>
      </c>
      <c r="BA29" s="66">
        <f t="shared" si="21"/>
        <v>1000</v>
      </c>
      <c r="BB29" s="22">
        <f t="shared" si="22"/>
        <v>5.0000000000000001E-3</v>
      </c>
    </row>
    <row r="30" spans="2:54" x14ac:dyDescent="0.45">
      <c r="B30" s="45" t="s">
        <v>55</v>
      </c>
      <c r="C30" s="90"/>
      <c r="D30" s="56"/>
      <c r="E30" s="57"/>
      <c r="F30" s="58"/>
      <c r="G30" s="58"/>
      <c r="H30" s="58"/>
      <c r="I30" s="58"/>
      <c r="J30" s="58"/>
      <c r="K30" s="58"/>
      <c r="L30" s="59">
        <f t="shared" si="12"/>
        <v>0</v>
      </c>
      <c r="M30" s="68"/>
      <c r="N30" s="68"/>
      <c r="O30" s="68"/>
      <c r="P30" s="68"/>
      <c r="Q30" s="99" t="e">
        <f t="shared" si="17"/>
        <v>#DIV/0!</v>
      </c>
      <c r="R30" s="100">
        <f t="shared" si="18"/>
        <v>0.43387671059875982</v>
      </c>
      <c r="S30" s="83"/>
      <c r="T30" s="83"/>
      <c r="U30" s="101">
        <f t="shared" si="15"/>
        <v>2021.2824107652905</v>
      </c>
      <c r="V30" s="45"/>
      <c r="W30" s="63"/>
      <c r="X30" s="64"/>
      <c r="Y30" s="64"/>
      <c r="Z30" s="65"/>
      <c r="AA30" s="45"/>
      <c r="AQ30" s="69">
        <v>0.61</v>
      </c>
      <c r="AR30" s="69">
        <v>0.32099999999999995</v>
      </c>
      <c r="AY30" s="66">
        <f t="shared" si="19"/>
        <v>70.8</v>
      </c>
      <c r="AZ30" s="66">
        <f t="shared" si="20"/>
        <v>900</v>
      </c>
      <c r="BA30" s="66">
        <f t="shared" si="21"/>
        <v>1000</v>
      </c>
      <c r="BB30" s="22">
        <f t="shared" si="22"/>
        <v>5.0000000000000001E-3</v>
      </c>
    </row>
    <row r="31" spans="2:54" s="74" customFormat="1" x14ac:dyDescent="0.45">
      <c r="B31" s="45" t="s">
        <v>56</v>
      </c>
      <c r="C31" s="90"/>
      <c r="D31" s="56"/>
      <c r="E31" s="57"/>
      <c r="F31" s="58"/>
      <c r="G31" s="58"/>
      <c r="H31" s="58"/>
      <c r="I31" s="58"/>
      <c r="J31" s="58"/>
      <c r="K31" s="58"/>
      <c r="L31" s="59">
        <f t="shared" si="12"/>
        <v>0</v>
      </c>
      <c r="M31" s="68"/>
      <c r="N31" s="68"/>
      <c r="O31" s="68"/>
      <c r="P31" s="68"/>
      <c r="Q31" s="99" t="e">
        <f t="shared" si="17"/>
        <v>#DIV/0!</v>
      </c>
      <c r="R31" s="100">
        <f t="shared" si="18"/>
        <v>0.43387671059875982</v>
      </c>
      <c r="S31" s="83"/>
      <c r="T31" s="83"/>
      <c r="U31" s="101">
        <f t="shared" si="15"/>
        <v>2021.2824107652905</v>
      </c>
      <c r="V31" s="70"/>
      <c r="W31" s="71"/>
      <c r="X31" s="72"/>
      <c r="Y31" s="72"/>
      <c r="Z31" s="73"/>
      <c r="AA31" s="70"/>
      <c r="AH31" s="74">
        <v>0.29799999999999999</v>
      </c>
      <c r="AI31" s="74">
        <v>0.32500000000000001</v>
      </c>
      <c r="AQ31" s="69">
        <v>0.61</v>
      </c>
      <c r="AR31" s="69">
        <v>0.38100000000000001</v>
      </c>
      <c r="AV31" s="52"/>
      <c r="AW31" s="52"/>
      <c r="AY31" s="66">
        <f t="shared" si="19"/>
        <v>70.8</v>
      </c>
      <c r="AZ31" s="66">
        <f t="shared" si="20"/>
        <v>900</v>
      </c>
      <c r="BA31" s="66">
        <f t="shared" si="21"/>
        <v>1000</v>
      </c>
      <c r="BB31" s="22">
        <f t="shared" si="22"/>
        <v>5.0000000000000001E-3</v>
      </c>
    </row>
    <row r="32" spans="2:54" s="74" customFormat="1" x14ac:dyDescent="0.45">
      <c r="B32" s="45" t="s">
        <v>57</v>
      </c>
      <c r="C32" s="90"/>
      <c r="D32" s="56"/>
      <c r="E32" s="57"/>
      <c r="F32" s="58"/>
      <c r="G32" s="58"/>
      <c r="H32" s="58"/>
      <c r="I32" s="58"/>
      <c r="J32" s="58"/>
      <c r="K32" s="58"/>
      <c r="L32" s="59">
        <f t="shared" si="12"/>
        <v>0</v>
      </c>
      <c r="M32" s="68"/>
      <c r="N32" s="68"/>
      <c r="O32" s="68"/>
      <c r="P32" s="68"/>
      <c r="Q32" s="99" t="e">
        <f t="shared" si="17"/>
        <v>#DIV/0!</v>
      </c>
      <c r="R32" s="100">
        <f t="shared" si="18"/>
        <v>0.43387671059875982</v>
      </c>
      <c r="S32" s="83"/>
      <c r="T32" s="83"/>
      <c r="U32" s="101">
        <f t="shared" si="15"/>
        <v>2021.2824107652905</v>
      </c>
      <c r="V32" s="75"/>
      <c r="W32" s="71"/>
      <c r="X32" s="72"/>
      <c r="Y32" s="72"/>
      <c r="Z32" s="73"/>
      <c r="AA32" s="75"/>
      <c r="AH32" s="74">
        <v>0.29799999999999999</v>
      </c>
      <c r="AI32" s="74">
        <v>0.315</v>
      </c>
      <c r="AQ32" s="69">
        <v>0.67</v>
      </c>
      <c r="AR32" s="69">
        <v>0.38100000000000001</v>
      </c>
      <c r="AV32" s="52"/>
      <c r="AW32" s="52"/>
      <c r="AY32" s="66">
        <f t="shared" si="19"/>
        <v>70.8</v>
      </c>
      <c r="AZ32" s="66">
        <f t="shared" si="20"/>
        <v>900</v>
      </c>
      <c r="BA32" s="66">
        <f t="shared" si="21"/>
        <v>1000</v>
      </c>
      <c r="BB32" s="22">
        <f t="shared" si="22"/>
        <v>5.0000000000000001E-3</v>
      </c>
    </row>
    <row r="33" spans="2:54" s="74" customFormat="1" x14ac:dyDescent="0.45">
      <c r="B33" s="45" t="s">
        <v>58</v>
      </c>
      <c r="C33" s="90"/>
      <c r="D33" s="56"/>
      <c r="E33" s="57"/>
      <c r="F33" s="58"/>
      <c r="G33" s="58"/>
      <c r="H33" s="58"/>
      <c r="I33" s="58"/>
      <c r="J33" s="58"/>
      <c r="K33" s="58"/>
      <c r="L33" s="59">
        <f t="shared" si="12"/>
        <v>0</v>
      </c>
      <c r="M33" s="68"/>
      <c r="N33" s="68"/>
      <c r="O33" s="68"/>
      <c r="P33" s="68"/>
      <c r="Q33" s="99" t="e">
        <f t="shared" si="17"/>
        <v>#DIV/0!</v>
      </c>
      <c r="R33" s="100">
        <f t="shared" si="18"/>
        <v>0.43387671059875982</v>
      </c>
      <c r="S33" s="83"/>
      <c r="T33" s="83"/>
      <c r="U33" s="101">
        <f t="shared" si="15"/>
        <v>2021.2824107652905</v>
      </c>
      <c r="V33" s="70"/>
      <c r="W33" s="71"/>
      <c r="X33" s="72"/>
      <c r="Y33" s="72"/>
      <c r="Z33" s="73"/>
      <c r="AA33" s="70"/>
      <c r="AH33" s="74">
        <v>0.28799999999999998</v>
      </c>
      <c r="AI33" s="74">
        <v>0.315</v>
      </c>
      <c r="AQ33" s="69">
        <v>0.67</v>
      </c>
      <c r="AR33" s="69">
        <v>0.32099999999999995</v>
      </c>
      <c r="AV33" s="52"/>
      <c r="AW33" s="52"/>
      <c r="AY33" s="66">
        <f t="shared" si="19"/>
        <v>70.8</v>
      </c>
      <c r="AZ33" s="66">
        <f t="shared" si="20"/>
        <v>900</v>
      </c>
      <c r="BA33" s="66">
        <f t="shared" si="21"/>
        <v>1000</v>
      </c>
      <c r="BB33" s="22">
        <f t="shared" si="22"/>
        <v>5.0000000000000001E-3</v>
      </c>
    </row>
    <row r="34" spans="2:54" s="74" customFormat="1" x14ac:dyDescent="0.45">
      <c r="B34" s="45" t="s">
        <v>59</v>
      </c>
      <c r="C34" s="90"/>
      <c r="D34" s="56"/>
      <c r="E34" s="57"/>
      <c r="F34" s="58"/>
      <c r="G34" s="58"/>
      <c r="H34" s="58"/>
      <c r="I34" s="58"/>
      <c r="J34" s="58"/>
      <c r="K34" s="58"/>
      <c r="L34" s="59">
        <f t="shared" si="12"/>
        <v>0</v>
      </c>
      <c r="M34" s="68"/>
      <c r="N34" s="68"/>
      <c r="O34" s="68"/>
      <c r="P34" s="68"/>
      <c r="Q34" s="99" t="e">
        <f t="shared" si="17"/>
        <v>#DIV/0!</v>
      </c>
      <c r="R34" s="100">
        <f t="shared" si="18"/>
        <v>0.43387671059875982</v>
      </c>
      <c r="S34" s="83"/>
      <c r="T34" s="83"/>
      <c r="U34" s="101">
        <f t="shared" si="15"/>
        <v>2021.2824107652905</v>
      </c>
      <c r="V34" s="70"/>
      <c r="W34" s="71"/>
      <c r="X34" s="72"/>
      <c r="Y34" s="72"/>
      <c r="Z34" s="73"/>
      <c r="AA34" s="70"/>
      <c r="AQ34" s="69">
        <v>0.61</v>
      </c>
      <c r="AR34" s="69">
        <v>0.32099999999999995</v>
      </c>
      <c r="AV34" s="52"/>
      <c r="AW34" s="52"/>
      <c r="AY34" s="66">
        <f t="shared" si="19"/>
        <v>70.8</v>
      </c>
      <c r="AZ34" s="66">
        <f t="shared" si="20"/>
        <v>900</v>
      </c>
      <c r="BA34" s="66">
        <f t="shared" si="21"/>
        <v>1000</v>
      </c>
      <c r="BB34" s="22">
        <f t="shared" si="22"/>
        <v>5.0000000000000001E-3</v>
      </c>
    </row>
    <row r="35" spans="2:54" x14ac:dyDescent="0.45">
      <c r="B35" s="45" t="s">
        <v>60</v>
      </c>
      <c r="C35" s="90"/>
      <c r="D35" s="56"/>
      <c r="E35" s="57"/>
      <c r="F35" s="58"/>
      <c r="G35" s="58"/>
      <c r="H35" s="58"/>
      <c r="I35" s="58"/>
      <c r="J35" s="58"/>
      <c r="K35" s="58"/>
      <c r="L35" s="59">
        <f t="shared" si="12"/>
        <v>0</v>
      </c>
      <c r="M35" s="68"/>
      <c r="N35" s="68"/>
      <c r="O35" s="68"/>
      <c r="P35" s="68"/>
      <c r="Q35" s="99" t="e">
        <f t="shared" si="17"/>
        <v>#DIV/0!</v>
      </c>
      <c r="R35" s="100">
        <f t="shared" si="18"/>
        <v>0.43387671059875982</v>
      </c>
      <c r="S35" s="83"/>
      <c r="T35" s="83"/>
      <c r="U35" s="101">
        <f t="shared" si="15"/>
        <v>2021.2824107652905</v>
      </c>
      <c r="V35" s="76"/>
      <c r="W35" s="77"/>
      <c r="X35" s="78"/>
      <c r="Y35" s="78"/>
      <c r="Z35" s="79"/>
      <c r="AA35" s="76"/>
      <c r="AQ35" s="52"/>
      <c r="AR35" s="52"/>
      <c r="AY35" s="66">
        <f t="shared" si="19"/>
        <v>70.8</v>
      </c>
      <c r="AZ35" s="66">
        <f t="shared" si="20"/>
        <v>900</v>
      </c>
      <c r="BA35" s="66">
        <f t="shared" si="21"/>
        <v>1000</v>
      </c>
      <c r="BB35" s="22">
        <f t="shared" si="22"/>
        <v>5.0000000000000001E-3</v>
      </c>
    </row>
    <row r="36" spans="2:54" x14ac:dyDescent="0.45">
      <c r="B36" s="45" t="s">
        <v>61</v>
      </c>
      <c r="C36" s="90"/>
      <c r="D36" s="56"/>
      <c r="E36" s="57"/>
      <c r="F36" s="58"/>
      <c r="G36" s="58"/>
      <c r="H36" s="58"/>
      <c r="I36" s="58"/>
      <c r="J36" s="58"/>
      <c r="K36" s="58"/>
      <c r="L36" s="59">
        <f t="shared" si="12"/>
        <v>0</v>
      </c>
      <c r="M36" s="68"/>
      <c r="N36" s="68"/>
      <c r="O36" s="68"/>
      <c r="P36" s="68"/>
      <c r="Q36" s="99" t="e">
        <f t="shared" si="17"/>
        <v>#DIV/0!</v>
      </c>
      <c r="R36" s="100">
        <f t="shared" si="18"/>
        <v>0.43387671059875982</v>
      </c>
      <c r="S36" s="83"/>
      <c r="T36" s="83"/>
      <c r="U36" s="101">
        <f t="shared" si="15"/>
        <v>2021.2824107652905</v>
      </c>
      <c r="V36" s="76"/>
      <c r="W36" s="77"/>
      <c r="X36" s="78"/>
      <c r="Y36" s="78"/>
      <c r="Z36" s="79"/>
      <c r="AA36" s="76"/>
      <c r="AQ36" s="52"/>
      <c r="AR36" s="52"/>
      <c r="AY36" s="66">
        <f t="shared" si="19"/>
        <v>70.8</v>
      </c>
      <c r="AZ36" s="66">
        <f t="shared" si="20"/>
        <v>900</v>
      </c>
      <c r="BA36" s="66">
        <f t="shared" si="21"/>
        <v>1000</v>
      </c>
      <c r="BB36" s="22">
        <f t="shared" si="22"/>
        <v>5.0000000000000001E-3</v>
      </c>
    </row>
    <row r="37" spans="2:54" ht="15.75" customHeight="1" x14ac:dyDescent="0.45">
      <c r="B37" s="45" t="s">
        <v>62</v>
      </c>
      <c r="C37" s="90"/>
      <c r="D37" s="56"/>
      <c r="E37" s="57"/>
      <c r="F37" s="58"/>
      <c r="G37" s="58"/>
      <c r="H37" s="58"/>
      <c r="I37" s="58"/>
      <c r="J37" s="58"/>
      <c r="K37" s="58"/>
      <c r="L37" s="59">
        <f t="shared" si="12"/>
        <v>0</v>
      </c>
      <c r="M37" s="68"/>
      <c r="N37" s="68"/>
      <c r="O37" s="68"/>
      <c r="P37" s="68"/>
      <c r="Q37" s="99" t="e">
        <f t="shared" si="17"/>
        <v>#DIV/0!</v>
      </c>
      <c r="R37" s="100">
        <f t="shared" si="18"/>
        <v>0.43387671059875982</v>
      </c>
      <c r="S37" s="83"/>
      <c r="T37" s="83"/>
      <c r="U37" s="101">
        <f t="shared" si="15"/>
        <v>2021.2824107652905</v>
      </c>
      <c r="V37" s="76"/>
      <c r="W37" s="77"/>
      <c r="X37" s="78"/>
      <c r="Y37" s="78"/>
      <c r="Z37" s="79"/>
      <c r="AA37" s="76"/>
      <c r="AY37" s="66">
        <f t="shared" si="19"/>
        <v>70.8</v>
      </c>
      <c r="AZ37" s="66">
        <f t="shared" si="20"/>
        <v>900</v>
      </c>
      <c r="BA37" s="66">
        <f t="shared" si="21"/>
        <v>1000</v>
      </c>
      <c r="BB37" s="22">
        <f t="shared" si="22"/>
        <v>5.0000000000000001E-3</v>
      </c>
    </row>
    <row r="38" spans="2:54" s="74" customFormat="1" x14ac:dyDescent="0.45">
      <c r="B38" s="45" t="s">
        <v>63</v>
      </c>
      <c r="C38" s="90"/>
      <c r="D38" s="56"/>
      <c r="E38" s="57"/>
      <c r="F38" s="58"/>
      <c r="G38" s="58"/>
      <c r="H38" s="58"/>
      <c r="I38" s="58"/>
      <c r="J38" s="58"/>
      <c r="K38" s="58"/>
      <c r="L38" s="59">
        <f t="shared" si="12"/>
        <v>0</v>
      </c>
      <c r="M38" s="68"/>
      <c r="N38" s="68"/>
      <c r="O38" s="68"/>
      <c r="P38" s="68"/>
      <c r="Q38" s="99" t="e">
        <f t="shared" si="17"/>
        <v>#DIV/0!</v>
      </c>
      <c r="R38" s="100">
        <f t="shared" si="18"/>
        <v>0.43387671059875982</v>
      </c>
      <c r="S38" s="83"/>
      <c r="T38" s="83"/>
      <c r="U38" s="101">
        <f t="shared" si="15"/>
        <v>2021.2824107652905</v>
      </c>
      <c r="V38" s="70"/>
      <c r="W38" s="71"/>
      <c r="X38" s="72"/>
      <c r="Y38" s="72"/>
      <c r="Z38" s="73"/>
      <c r="AA38" s="70"/>
      <c r="AV38" s="52"/>
      <c r="AW38" s="52"/>
      <c r="AY38" s="66">
        <f t="shared" si="19"/>
        <v>70.8</v>
      </c>
      <c r="AZ38" s="66">
        <f t="shared" si="20"/>
        <v>900</v>
      </c>
      <c r="BA38" s="66">
        <f t="shared" si="21"/>
        <v>1000</v>
      </c>
      <c r="BB38" s="22">
        <f t="shared" si="22"/>
        <v>5.0000000000000001E-3</v>
      </c>
    </row>
    <row r="39" spans="2:54" x14ac:dyDescent="0.45">
      <c r="B39" s="45" t="s">
        <v>64</v>
      </c>
      <c r="C39" s="90"/>
      <c r="D39" s="56"/>
      <c r="E39" s="57"/>
      <c r="F39" s="58"/>
      <c r="G39" s="58"/>
      <c r="H39" s="58"/>
      <c r="I39" s="58"/>
      <c r="J39" s="58"/>
      <c r="K39" s="58"/>
      <c r="L39" s="59">
        <f t="shared" si="12"/>
        <v>0</v>
      </c>
      <c r="M39" s="68"/>
      <c r="N39" s="68"/>
      <c r="O39" s="68"/>
      <c r="P39" s="68"/>
      <c r="Q39" s="99" t="e">
        <f t="shared" si="17"/>
        <v>#DIV/0!</v>
      </c>
      <c r="R39" s="100">
        <f t="shared" si="18"/>
        <v>0.43387671059875982</v>
      </c>
      <c r="S39" s="83"/>
      <c r="T39" s="83"/>
      <c r="U39" s="101">
        <f t="shared" si="15"/>
        <v>2021.2824107652905</v>
      </c>
      <c r="V39" s="76"/>
      <c r="W39" s="77"/>
      <c r="X39" s="78"/>
      <c r="Y39" s="78"/>
      <c r="Z39" s="79"/>
      <c r="AA39" s="76"/>
      <c r="AY39" s="66">
        <f t="shared" si="19"/>
        <v>70.8</v>
      </c>
      <c r="AZ39" s="66">
        <f t="shared" si="20"/>
        <v>900</v>
      </c>
      <c r="BA39" s="66">
        <f t="shared" si="21"/>
        <v>1000</v>
      </c>
      <c r="BB39" s="22">
        <f t="shared" si="22"/>
        <v>5.0000000000000001E-3</v>
      </c>
    </row>
    <row r="40" spans="2:54" s="74" customFormat="1" x14ac:dyDescent="0.45">
      <c r="B40" s="45" t="s">
        <v>65</v>
      </c>
      <c r="C40" s="90"/>
      <c r="D40" s="56"/>
      <c r="E40" s="57"/>
      <c r="F40" s="68"/>
      <c r="G40" s="68"/>
      <c r="H40" s="68"/>
      <c r="I40" s="68"/>
      <c r="J40" s="68"/>
      <c r="K40" s="68"/>
      <c r="L40" s="59">
        <f t="shared" si="12"/>
        <v>0</v>
      </c>
      <c r="M40" s="68"/>
      <c r="N40" s="68"/>
      <c r="O40" s="68"/>
      <c r="P40" s="68"/>
      <c r="Q40" s="99" t="e">
        <f t="shared" si="17"/>
        <v>#DIV/0!</v>
      </c>
      <c r="R40" s="100">
        <f t="shared" si="18"/>
        <v>0.43387671059875982</v>
      </c>
      <c r="S40" s="83"/>
      <c r="T40" s="83"/>
      <c r="U40" s="101">
        <f t="shared" si="15"/>
        <v>2021.2824107652905</v>
      </c>
      <c r="V40" s="70"/>
      <c r="W40" s="71"/>
      <c r="X40" s="72"/>
      <c r="Y40" s="72"/>
      <c r="Z40" s="73"/>
      <c r="AA40" s="70"/>
      <c r="AV40" s="52"/>
      <c r="AW40" s="52"/>
      <c r="AY40" s="66">
        <f t="shared" si="19"/>
        <v>70.8</v>
      </c>
      <c r="AZ40" s="66">
        <f t="shared" si="20"/>
        <v>900</v>
      </c>
      <c r="BA40" s="66">
        <f t="shared" si="21"/>
        <v>1000</v>
      </c>
      <c r="BB40" s="22">
        <f t="shared" si="22"/>
        <v>5.0000000000000001E-3</v>
      </c>
    </row>
    <row r="41" spans="2:54" s="74" customFormat="1" x14ac:dyDescent="0.45">
      <c r="B41" s="45" t="s">
        <v>66</v>
      </c>
      <c r="C41" s="90"/>
      <c r="D41" s="56"/>
      <c r="E41" s="57"/>
      <c r="F41" s="68"/>
      <c r="G41" s="68"/>
      <c r="H41" s="68"/>
      <c r="I41" s="68"/>
      <c r="J41" s="68"/>
      <c r="K41" s="68"/>
      <c r="L41" s="59">
        <f t="shared" si="12"/>
        <v>0</v>
      </c>
      <c r="M41" s="68"/>
      <c r="N41" s="68"/>
      <c r="O41" s="68"/>
      <c r="P41" s="68"/>
      <c r="Q41" s="99" t="e">
        <f t="shared" si="17"/>
        <v>#DIV/0!</v>
      </c>
      <c r="R41" s="100">
        <f t="shared" si="18"/>
        <v>0.43387671059875982</v>
      </c>
      <c r="S41" s="83"/>
      <c r="T41" s="83"/>
      <c r="U41" s="101">
        <f t="shared" si="15"/>
        <v>2021.2824107652905</v>
      </c>
      <c r="V41" s="70"/>
      <c r="W41" s="71"/>
      <c r="X41" s="72"/>
      <c r="Y41" s="72"/>
      <c r="Z41" s="73"/>
      <c r="AA41" s="70"/>
      <c r="AV41" s="52"/>
      <c r="AW41" s="52"/>
      <c r="AY41" s="66">
        <f t="shared" si="19"/>
        <v>70.8</v>
      </c>
      <c r="AZ41" s="66">
        <f t="shared" si="20"/>
        <v>900</v>
      </c>
      <c r="BA41" s="66">
        <f t="shared" si="21"/>
        <v>1000</v>
      </c>
      <c r="BB41" s="22">
        <f t="shared" si="22"/>
        <v>5.0000000000000001E-3</v>
      </c>
    </row>
    <row r="42" spans="2:54" s="74" customFormat="1" x14ac:dyDescent="0.45">
      <c r="B42" s="45" t="s">
        <v>67</v>
      </c>
      <c r="C42" s="90"/>
      <c r="D42" s="56"/>
      <c r="E42" s="57"/>
      <c r="F42" s="68"/>
      <c r="G42" s="68"/>
      <c r="H42" s="68"/>
      <c r="I42" s="68"/>
      <c r="J42" s="68"/>
      <c r="K42" s="68"/>
      <c r="L42" s="59">
        <f t="shared" si="12"/>
        <v>0</v>
      </c>
      <c r="M42" s="102"/>
      <c r="N42" s="102"/>
      <c r="O42" s="103"/>
      <c r="P42" s="68"/>
      <c r="Q42" s="99" t="e">
        <f t="shared" si="17"/>
        <v>#DIV/0!</v>
      </c>
      <c r="R42" s="100">
        <f t="shared" si="18"/>
        <v>0.43387671059875982</v>
      </c>
      <c r="S42" s="83"/>
      <c r="T42" s="83"/>
      <c r="U42" s="101">
        <f t="shared" si="15"/>
        <v>2021.2824107652905</v>
      </c>
      <c r="V42" s="70"/>
      <c r="W42" s="71"/>
      <c r="X42" s="72"/>
      <c r="Y42" s="72"/>
      <c r="Z42" s="73"/>
      <c r="AA42" s="70"/>
      <c r="AV42" s="52"/>
      <c r="AW42" s="52"/>
      <c r="AY42" s="66">
        <f t="shared" si="19"/>
        <v>70.8</v>
      </c>
      <c r="AZ42" s="66">
        <f t="shared" si="20"/>
        <v>900</v>
      </c>
      <c r="BA42" s="66">
        <f t="shared" si="21"/>
        <v>1000</v>
      </c>
      <c r="BB42" s="22">
        <f t="shared" si="22"/>
        <v>5.0000000000000001E-3</v>
      </c>
    </row>
    <row r="43" spans="2:54" x14ac:dyDescent="0.45">
      <c r="B43" s="45" t="s">
        <v>68</v>
      </c>
      <c r="C43" s="90"/>
      <c r="D43" s="56"/>
      <c r="E43" s="57"/>
      <c r="F43" s="68"/>
      <c r="G43" s="68"/>
      <c r="H43" s="68"/>
      <c r="I43" s="68"/>
      <c r="J43" s="68"/>
      <c r="K43" s="68"/>
      <c r="L43" s="59">
        <f t="shared" si="12"/>
        <v>0</v>
      </c>
      <c r="M43" s="68"/>
      <c r="N43" s="68"/>
      <c r="O43" s="68"/>
      <c r="P43" s="68"/>
      <c r="Q43" s="99" t="e">
        <f t="shared" si="17"/>
        <v>#DIV/0!</v>
      </c>
      <c r="R43" s="100">
        <f t="shared" si="18"/>
        <v>0.43387671059875982</v>
      </c>
      <c r="S43" s="83"/>
      <c r="T43" s="83"/>
      <c r="U43" s="101">
        <f t="shared" si="15"/>
        <v>2021.2824107652905</v>
      </c>
      <c r="V43" s="76"/>
      <c r="W43" s="77"/>
      <c r="X43" s="78"/>
      <c r="Y43" s="78"/>
      <c r="Z43" s="79"/>
      <c r="AA43" s="76"/>
      <c r="AY43" s="66">
        <f t="shared" si="19"/>
        <v>70.8</v>
      </c>
      <c r="AZ43" s="66">
        <f t="shared" si="20"/>
        <v>900</v>
      </c>
      <c r="BA43" s="66">
        <f t="shared" si="21"/>
        <v>1000</v>
      </c>
      <c r="BB43" s="22">
        <f t="shared" si="22"/>
        <v>5.0000000000000001E-3</v>
      </c>
    </row>
    <row r="44" spans="2:54" x14ac:dyDescent="0.45">
      <c r="B44" s="45" t="s">
        <v>69</v>
      </c>
      <c r="C44" s="90"/>
      <c r="D44" s="56"/>
      <c r="E44" s="57"/>
      <c r="F44" s="68"/>
      <c r="G44" s="68"/>
      <c r="H44" s="68"/>
      <c r="I44" s="68"/>
      <c r="J44" s="68"/>
      <c r="K44" s="68"/>
      <c r="L44" s="59">
        <f t="shared" si="12"/>
        <v>0</v>
      </c>
      <c r="M44" s="68"/>
      <c r="N44" s="68"/>
      <c r="O44" s="68"/>
      <c r="P44" s="68"/>
      <c r="Q44" s="99" t="e">
        <f t="shared" si="17"/>
        <v>#DIV/0!</v>
      </c>
      <c r="R44" s="100">
        <f t="shared" si="18"/>
        <v>0.43387671059875982</v>
      </c>
      <c r="S44" s="83"/>
      <c r="T44" s="83"/>
      <c r="U44" s="101">
        <f t="shared" si="15"/>
        <v>2021.2824107652905</v>
      </c>
      <c r="V44" s="76"/>
      <c r="W44" s="77"/>
      <c r="X44" s="78"/>
      <c r="Y44" s="78"/>
      <c r="Z44" s="79"/>
      <c r="AA44" s="76"/>
      <c r="AQ44" s="52"/>
      <c r="AR44" s="52"/>
      <c r="AY44" s="66">
        <f t="shared" si="19"/>
        <v>70.8</v>
      </c>
      <c r="AZ44" s="66">
        <f t="shared" si="20"/>
        <v>900</v>
      </c>
      <c r="BA44" s="66">
        <f t="shared" si="21"/>
        <v>1000</v>
      </c>
      <c r="BB44" s="22">
        <f t="shared" si="22"/>
        <v>5.0000000000000001E-3</v>
      </c>
    </row>
    <row r="45" spans="2:54" x14ac:dyDescent="0.45">
      <c r="B45" s="45" t="s">
        <v>70</v>
      </c>
      <c r="C45" s="90"/>
      <c r="D45" s="56"/>
      <c r="E45" s="57"/>
      <c r="F45" s="68"/>
      <c r="G45" s="68"/>
      <c r="H45" s="68"/>
      <c r="I45" s="68"/>
      <c r="J45" s="68"/>
      <c r="K45" s="68"/>
      <c r="L45" s="59">
        <f t="shared" si="12"/>
        <v>0</v>
      </c>
      <c r="M45" s="68"/>
      <c r="N45" s="68"/>
      <c r="O45" s="68"/>
      <c r="P45" s="68"/>
      <c r="Q45" s="99" t="e">
        <f t="shared" si="17"/>
        <v>#DIV/0!</v>
      </c>
      <c r="R45" s="100">
        <f t="shared" si="18"/>
        <v>0.43387671059875982</v>
      </c>
      <c r="S45" s="83"/>
      <c r="T45" s="83"/>
      <c r="U45" s="101">
        <f t="shared" si="15"/>
        <v>2021.2824107652905</v>
      </c>
      <c r="V45" s="76"/>
      <c r="W45" s="77"/>
      <c r="X45" s="78"/>
      <c r="Y45" s="78"/>
      <c r="Z45" s="79"/>
      <c r="AA45" s="76"/>
      <c r="AQ45" s="52"/>
      <c r="AR45" s="52"/>
      <c r="AY45" s="66">
        <f t="shared" si="19"/>
        <v>70.8</v>
      </c>
      <c r="AZ45" s="66">
        <f t="shared" si="20"/>
        <v>900</v>
      </c>
      <c r="BA45" s="66">
        <f t="shared" si="21"/>
        <v>1000</v>
      </c>
      <c r="BB45" s="22">
        <f t="shared" si="22"/>
        <v>5.0000000000000001E-3</v>
      </c>
    </row>
    <row r="46" spans="2:54" s="74" customFormat="1" x14ac:dyDescent="0.45">
      <c r="B46" s="45" t="s">
        <v>71</v>
      </c>
      <c r="C46" s="90"/>
      <c r="D46" s="56"/>
      <c r="E46" s="57"/>
      <c r="F46" s="68"/>
      <c r="G46" s="68"/>
      <c r="H46" s="68"/>
      <c r="I46" s="68"/>
      <c r="J46" s="68"/>
      <c r="K46" s="68"/>
      <c r="L46" s="59">
        <f t="shared" si="12"/>
        <v>0</v>
      </c>
      <c r="M46" s="68"/>
      <c r="N46" s="68"/>
      <c r="O46" s="68"/>
      <c r="P46" s="68"/>
      <c r="Q46" s="99" t="e">
        <f t="shared" si="17"/>
        <v>#DIV/0!</v>
      </c>
      <c r="R46" s="100">
        <f t="shared" si="18"/>
        <v>0.43387671059875982</v>
      </c>
      <c r="S46" s="83"/>
      <c r="T46" s="83"/>
      <c r="U46" s="101">
        <f t="shared" si="15"/>
        <v>2021.2824107652905</v>
      </c>
      <c r="V46" s="70"/>
      <c r="W46" s="71"/>
      <c r="X46" s="72"/>
      <c r="Y46" s="72"/>
      <c r="Z46" s="73"/>
      <c r="AA46" s="70"/>
      <c r="AQ46" s="52"/>
      <c r="AR46" s="52"/>
      <c r="AV46" s="52"/>
      <c r="AW46" s="52"/>
      <c r="AY46" s="66">
        <f t="shared" si="19"/>
        <v>70.8</v>
      </c>
      <c r="AZ46" s="66">
        <f t="shared" si="20"/>
        <v>900</v>
      </c>
      <c r="BA46" s="66">
        <f t="shared" si="21"/>
        <v>1000</v>
      </c>
      <c r="BB46" s="22">
        <f t="shared" si="22"/>
        <v>5.0000000000000001E-3</v>
      </c>
    </row>
    <row r="47" spans="2:54" s="74" customFormat="1" x14ac:dyDescent="0.45">
      <c r="B47" s="45" t="s">
        <v>72</v>
      </c>
      <c r="C47" s="90"/>
      <c r="D47" s="56"/>
      <c r="E47" s="80"/>
      <c r="F47" s="68"/>
      <c r="G47" s="68"/>
      <c r="H47" s="68"/>
      <c r="I47" s="68"/>
      <c r="J47" s="68"/>
      <c r="K47" s="68"/>
      <c r="L47" s="59">
        <f t="shared" si="12"/>
        <v>0</v>
      </c>
      <c r="M47" s="68"/>
      <c r="N47" s="68"/>
      <c r="O47" s="68"/>
      <c r="P47" s="68"/>
      <c r="Q47" s="99" t="e">
        <f t="shared" si="17"/>
        <v>#DIV/0!</v>
      </c>
      <c r="R47" s="100">
        <f t="shared" si="18"/>
        <v>0.43387671059875982</v>
      </c>
      <c r="S47" s="83"/>
      <c r="T47" s="83"/>
      <c r="U47" s="101">
        <f t="shared" si="15"/>
        <v>2021.2824107652905</v>
      </c>
      <c r="V47" s="70"/>
      <c r="W47" s="71"/>
      <c r="X47" s="72"/>
      <c r="Y47" s="72"/>
      <c r="Z47" s="73"/>
      <c r="AA47" s="70"/>
      <c r="AQ47" s="52"/>
      <c r="AR47" s="52"/>
      <c r="AV47" s="52"/>
      <c r="AW47" s="52"/>
      <c r="AY47" s="66">
        <f t="shared" si="19"/>
        <v>70.8</v>
      </c>
      <c r="AZ47" s="66">
        <f t="shared" si="20"/>
        <v>900</v>
      </c>
      <c r="BA47" s="66">
        <f t="shared" si="21"/>
        <v>1000</v>
      </c>
      <c r="BB47" s="22">
        <f t="shared" si="22"/>
        <v>5.0000000000000001E-3</v>
      </c>
    </row>
    <row r="48" spans="2:54" x14ac:dyDescent="0.45">
      <c r="B48" s="45" t="s">
        <v>73</v>
      </c>
      <c r="C48" s="90"/>
      <c r="D48" s="56"/>
      <c r="E48" s="57"/>
      <c r="F48" s="68"/>
      <c r="G48" s="68"/>
      <c r="H48" s="68"/>
      <c r="I48" s="68"/>
      <c r="J48" s="68"/>
      <c r="K48" s="68"/>
      <c r="L48" s="59">
        <f t="shared" si="12"/>
        <v>0</v>
      </c>
      <c r="M48" s="103"/>
      <c r="N48" s="103"/>
      <c r="O48" s="103"/>
      <c r="P48" s="68"/>
      <c r="Q48" s="99" t="e">
        <f t="shared" si="17"/>
        <v>#DIV/0!</v>
      </c>
      <c r="R48" s="100">
        <f t="shared" si="18"/>
        <v>0.43387671059875982</v>
      </c>
      <c r="S48" s="83"/>
      <c r="T48" s="83"/>
      <c r="U48" s="101">
        <f t="shared" si="15"/>
        <v>2021.2824107652905</v>
      </c>
      <c r="V48" s="76"/>
      <c r="W48" s="77"/>
      <c r="X48" s="78"/>
      <c r="Y48" s="78"/>
      <c r="Z48" s="79"/>
      <c r="AA48" s="76"/>
      <c r="AH48" s="96">
        <f>H11</f>
        <v>0.26200000000000001</v>
      </c>
      <c r="AI48" s="96">
        <f>I11</f>
        <v>0.61699999999999999</v>
      </c>
      <c r="AQ48" s="96">
        <f>J11</f>
        <v>0.12</v>
      </c>
      <c r="AR48" s="96">
        <f>K11</f>
        <v>0.03</v>
      </c>
      <c r="AY48" s="66">
        <f t="shared" si="19"/>
        <v>70.8</v>
      </c>
      <c r="AZ48" s="66">
        <f t="shared" si="20"/>
        <v>900</v>
      </c>
      <c r="BA48" s="66">
        <f t="shared" si="21"/>
        <v>1000</v>
      </c>
      <c r="BB48" s="22">
        <f t="shared" si="22"/>
        <v>5.0000000000000001E-3</v>
      </c>
    </row>
    <row r="49" spans="2:54" x14ac:dyDescent="0.45">
      <c r="B49" s="45" t="s">
        <v>74</v>
      </c>
      <c r="C49" s="90"/>
      <c r="D49" s="56"/>
      <c r="E49" s="57"/>
      <c r="F49" s="68"/>
      <c r="G49" s="68"/>
      <c r="H49" s="68"/>
      <c r="I49" s="68"/>
      <c r="J49" s="68"/>
      <c r="K49" s="68"/>
      <c r="L49" s="59">
        <f t="shared" si="12"/>
        <v>0</v>
      </c>
      <c r="M49" s="68"/>
      <c r="N49" s="68"/>
      <c r="O49" s="68"/>
      <c r="P49" s="68"/>
      <c r="Q49" s="99" t="e">
        <f t="shared" si="17"/>
        <v>#DIV/0!</v>
      </c>
      <c r="R49" s="100">
        <f t="shared" si="18"/>
        <v>0.43387671059875982</v>
      </c>
      <c r="S49" s="83"/>
      <c r="T49" s="83"/>
      <c r="U49" s="101">
        <f t="shared" si="15"/>
        <v>2021.2824107652905</v>
      </c>
      <c r="V49" s="45"/>
      <c r="W49" s="63"/>
      <c r="X49" s="64"/>
      <c r="Y49" s="64"/>
      <c r="Z49" s="65"/>
      <c r="AA49" s="45"/>
      <c r="AH49" s="81">
        <f>H11</f>
        <v>0.26200000000000001</v>
      </c>
      <c r="AI49" s="81">
        <f>I13</f>
        <v>0.67700000000000005</v>
      </c>
      <c r="AQ49" s="82">
        <f>J11</f>
        <v>0.12</v>
      </c>
      <c r="AR49" s="82">
        <f>K13</f>
        <v>0.09</v>
      </c>
      <c r="AY49" s="66">
        <f t="shared" si="19"/>
        <v>70.8</v>
      </c>
      <c r="AZ49" s="66">
        <f t="shared" si="20"/>
        <v>900</v>
      </c>
      <c r="BA49" s="66">
        <f t="shared" si="21"/>
        <v>1000</v>
      </c>
      <c r="BB49" s="22">
        <f t="shared" si="22"/>
        <v>5.0000000000000001E-3</v>
      </c>
    </row>
    <row r="50" spans="2:54" x14ac:dyDescent="0.45">
      <c r="B50" s="45" t="s">
        <v>75</v>
      </c>
      <c r="C50" s="90"/>
      <c r="D50" s="56"/>
      <c r="E50" s="80"/>
      <c r="F50" s="68"/>
      <c r="G50" s="68"/>
      <c r="H50" s="68"/>
      <c r="I50" s="68"/>
      <c r="J50" s="68"/>
      <c r="K50" s="68"/>
      <c r="L50" s="59">
        <f t="shared" si="12"/>
        <v>0</v>
      </c>
      <c r="M50" s="93"/>
      <c r="N50" s="93"/>
      <c r="O50" s="93"/>
      <c r="P50" s="93"/>
      <c r="Q50" s="99" t="e">
        <f t="shared" si="17"/>
        <v>#DIV/0!</v>
      </c>
      <c r="R50" s="100">
        <f t="shared" si="18"/>
        <v>0.43387671059875982</v>
      </c>
      <c r="S50" s="83"/>
      <c r="T50" s="83"/>
      <c r="U50" s="101">
        <f t="shared" si="15"/>
        <v>2021.2824107652905</v>
      </c>
      <c r="V50" s="45"/>
      <c r="W50" s="63"/>
      <c r="X50" s="64"/>
      <c r="Y50" s="64"/>
      <c r="Z50" s="65"/>
      <c r="AA50" s="45"/>
      <c r="AH50" s="81">
        <f>H13</f>
        <v>0.32199999999999995</v>
      </c>
      <c r="AI50" s="81">
        <f>I13</f>
        <v>0.67700000000000005</v>
      </c>
      <c r="AQ50" s="82">
        <f>J13</f>
        <v>0.18</v>
      </c>
      <c r="AR50" s="82">
        <f>K13</f>
        <v>0.09</v>
      </c>
      <c r="AY50" s="66">
        <f t="shared" si="19"/>
        <v>70.8</v>
      </c>
      <c r="AZ50" s="66">
        <f t="shared" si="20"/>
        <v>900</v>
      </c>
      <c r="BA50" s="66">
        <f t="shared" si="21"/>
        <v>1000</v>
      </c>
      <c r="BB50" s="22">
        <f t="shared" si="22"/>
        <v>5.0000000000000001E-3</v>
      </c>
    </row>
    <row r="51" spans="2:54" x14ac:dyDescent="0.45">
      <c r="B51" s="45" t="s">
        <v>76</v>
      </c>
      <c r="C51" s="90"/>
      <c r="D51" s="56"/>
      <c r="E51" s="57"/>
      <c r="F51" s="68"/>
      <c r="G51" s="68"/>
      <c r="H51" s="68"/>
      <c r="I51" s="68"/>
      <c r="J51" s="68"/>
      <c r="K51" s="68"/>
      <c r="L51" s="59">
        <f t="shared" si="12"/>
        <v>0</v>
      </c>
      <c r="M51" s="93"/>
      <c r="N51" s="93"/>
      <c r="O51" s="93"/>
      <c r="P51" s="93"/>
      <c r="Q51" s="99" t="e">
        <f t="shared" si="17"/>
        <v>#DIV/0!</v>
      </c>
      <c r="R51" s="100">
        <f t="shared" si="18"/>
        <v>0.43387671059875982</v>
      </c>
      <c r="S51" s="83"/>
      <c r="T51" s="83"/>
      <c r="U51" s="101">
        <f t="shared" si="15"/>
        <v>2021.2824107652905</v>
      </c>
      <c r="V51" s="45"/>
      <c r="W51" s="63"/>
      <c r="X51" s="64"/>
      <c r="Y51" s="64"/>
      <c r="Z51" s="65"/>
      <c r="AA51" s="45"/>
      <c r="AH51" s="81">
        <f>H13</f>
        <v>0.32199999999999995</v>
      </c>
      <c r="AI51" s="81">
        <f>I11</f>
        <v>0.61699999999999999</v>
      </c>
      <c r="AQ51" s="82">
        <f>J13</f>
        <v>0.18</v>
      </c>
      <c r="AR51" s="82">
        <f>K11</f>
        <v>0.03</v>
      </c>
      <c r="AY51" s="66">
        <f t="shared" si="19"/>
        <v>70.8</v>
      </c>
      <c r="AZ51" s="66">
        <f t="shared" si="20"/>
        <v>900</v>
      </c>
      <c r="BA51" s="66">
        <f t="shared" si="21"/>
        <v>1000</v>
      </c>
      <c r="BB51" s="22">
        <f t="shared" si="22"/>
        <v>5.0000000000000001E-3</v>
      </c>
    </row>
    <row r="52" spans="2:54" x14ac:dyDescent="0.45">
      <c r="B52" s="45" t="s">
        <v>77</v>
      </c>
      <c r="C52" s="90"/>
      <c r="D52" s="56"/>
      <c r="E52" s="57"/>
      <c r="F52" s="68"/>
      <c r="G52" s="68"/>
      <c r="H52" s="68"/>
      <c r="I52" s="68"/>
      <c r="J52" s="68"/>
      <c r="K52" s="68"/>
      <c r="L52" s="59">
        <f t="shared" si="12"/>
        <v>0</v>
      </c>
      <c r="M52" s="93"/>
      <c r="N52" s="93"/>
      <c r="O52" s="93"/>
      <c r="P52" s="93"/>
      <c r="Q52" s="99" t="e">
        <f t="shared" si="17"/>
        <v>#DIV/0!</v>
      </c>
      <c r="R52" s="100">
        <f t="shared" si="18"/>
        <v>0.43387671059875982</v>
      </c>
      <c r="S52" s="83"/>
      <c r="T52" s="83"/>
      <c r="U52" s="101">
        <f t="shared" si="15"/>
        <v>2021.2824107652905</v>
      </c>
      <c r="V52" s="45"/>
      <c r="W52" s="63"/>
      <c r="X52" s="64"/>
      <c r="Y52" s="64"/>
      <c r="Z52" s="65"/>
      <c r="AA52" s="45"/>
      <c r="AH52" s="81">
        <f>H11</f>
        <v>0.26200000000000001</v>
      </c>
      <c r="AI52" s="81">
        <f>I11</f>
        <v>0.61699999999999999</v>
      </c>
      <c r="AQ52" s="82">
        <f>J11</f>
        <v>0.12</v>
      </c>
      <c r="AR52" s="82">
        <f>K11</f>
        <v>0.03</v>
      </c>
      <c r="AY52" s="66">
        <f t="shared" si="19"/>
        <v>70.8</v>
      </c>
      <c r="AZ52" s="66">
        <f t="shared" si="20"/>
        <v>900</v>
      </c>
      <c r="BA52" s="66">
        <f t="shared" si="21"/>
        <v>1000</v>
      </c>
      <c r="BB52" s="22">
        <f t="shared" si="22"/>
        <v>5.0000000000000001E-3</v>
      </c>
    </row>
    <row r="53" spans="2:54" s="74" customFormat="1" x14ac:dyDescent="0.45">
      <c r="B53" s="45" t="s">
        <v>78</v>
      </c>
      <c r="C53" s="90"/>
      <c r="D53" s="56"/>
      <c r="E53" s="80"/>
      <c r="F53" s="68"/>
      <c r="G53" s="68"/>
      <c r="H53" s="68"/>
      <c r="I53" s="68"/>
      <c r="J53" s="68"/>
      <c r="K53" s="68"/>
      <c r="L53" s="59">
        <f t="shared" si="12"/>
        <v>0</v>
      </c>
      <c r="M53" s="93"/>
      <c r="N53" s="93"/>
      <c r="O53" s="93"/>
      <c r="P53" s="93"/>
      <c r="Q53" s="99" t="e">
        <f t="shared" si="17"/>
        <v>#DIV/0!</v>
      </c>
      <c r="R53" s="100">
        <f t="shared" si="18"/>
        <v>0.43387671059875982</v>
      </c>
      <c r="S53" s="83"/>
      <c r="T53" s="83"/>
      <c r="U53" s="101">
        <f t="shared" si="15"/>
        <v>2021.2824107652905</v>
      </c>
      <c r="V53" s="70"/>
      <c r="W53" s="71"/>
      <c r="X53" s="72"/>
      <c r="Y53" s="72"/>
      <c r="Z53" s="73"/>
      <c r="AA53" s="70"/>
      <c r="AI53" s="74" t="s">
        <v>79</v>
      </c>
      <c r="AQ53" s="52"/>
      <c r="AR53" s="52" t="s">
        <v>79</v>
      </c>
      <c r="AV53" s="52"/>
      <c r="AW53" s="52"/>
      <c r="AY53" s="66">
        <f t="shared" si="19"/>
        <v>70.8</v>
      </c>
      <c r="AZ53" s="66">
        <f t="shared" si="20"/>
        <v>900</v>
      </c>
      <c r="BA53" s="66">
        <f t="shared" si="21"/>
        <v>1000</v>
      </c>
      <c r="BB53" s="22">
        <f t="shared" si="22"/>
        <v>5.0000000000000001E-3</v>
      </c>
    </row>
    <row r="54" spans="2:54" s="74" customFormat="1" x14ac:dyDescent="0.45">
      <c r="B54" s="45" t="s">
        <v>80</v>
      </c>
      <c r="C54" s="90"/>
      <c r="D54" s="90"/>
      <c r="E54" s="92"/>
      <c r="F54" s="93"/>
      <c r="G54" s="93"/>
      <c r="H54" s="93"/>
      <c r="I54" s="93"/>
      <c r="J54" s="93"/>
      <c r="K54" s="93"/>
      <c r="L54" s="59">
        <f t="shared" si="12"/>
        <v>0</v>
      </c>
      <c r="M54" s="93"/>
      <c r="N54" s="93"/>
      <c r="O54" s="93"/>
      <c r="P54" s="93"/>
      <c r="Q54" s="99" t="e">
        <f t="shared" si="17"/>
        <v>#DIV/0!</v>
      </c>
      <c r="R54" s="100">
        <f t="shared" si="18"/>
        <v>0.43387671059875982</v>
      </c>
      <c r="S54" s="83"/>
      <c r="T54" s="83"/>
      <c r="U54" s="101">
        <f t="shared" si="15"/>
        <v>2021.2824107652905</v>
      </c>
      <c r="V54" s="70"/>
      <c r="W54" s="71"/>
      <c r="X54" s="72"/>
      <c r="Y54" s="72"/>
      <c r="Z54" s="73"/>
      <c r="AA54" s="70"/>
      <c r="AQ54" s="52"/>
      <c r="AR54" s="52"/>
      <c r="AV54" s="52"/>
      <c r="AW54" s="52"/>
      <c r="AY54" s="66">
        <f t="shared" si="19"/>
        <v>70.8</v>
      </c>
      <c r="AZ54" s="66">
        <f t="shared" si="20"/>
        <v>900</v>
      </c>
      <c r="BA54" s="66">
        <f t="shared" si="21"/>
        <v>1000</v>
      </c>
      <c r="BB54" s="22">
        <f t="shared" si="22"/>
        <v>5.0000000000000001E-3</v>
      </c>
    </row>
    <row r="55" spans="2:54" s="52" customFormat="1" x14ac:dyDescent="0.45">
      <c r="B55" s="45" t="s">
        <v>81</v>
      </c>
      <c r="C55" s="90"/>
      <c r="D55" s="90"/>
      <c r="E55" s="92"/>
      <c r="F55" s="95"/>
      <c r="G55" s="95"/>
      <c r="H55" s="95"/>
      <c r="I55" s="95"/>
      <c r="J55" s="95"/>
      <c r="K55" s="95"/>
      <c r="L55" s="59">
        <f t="shared" si="12"/>
        <v>0</v>
      </c>
      <c r="M55" s="95"/>
      <c r="N55" s="95"/>
      <c r="O55" s="95"/>
      <c r="P55" s="95"/>
      <c r="Q55" s="99" t="e">
        <f t="shared" si="17"/>
        <v>#DIV/0!</v>
      </c>
      <c r="R55" s="100">
        <f t="shared" si="18"/>
        <v>0.43387671059875982</v>
      </c>
      <c r="S55" s="83"/>
      <c r="T55" s="83"/>
      <c r="U55" s="101">
        <f t="shared" si="15"/>
        <v>2021.2824107652905</v>
      </c>
      <c r="V55" s="76"/>
      <c r="W55" s="77"/>
      <c r="X55" s="78"/>
      <c r="Y55" s="78"/>
      <c r="Z55" s="79"/>
      <c r="AA55" s="76"/>
      <c r="AY55" s="66">
        <f t="shared" si="19"/>
        <v>70.8</v>
      </c>
      <c r="AZ55" s="66">
        <f t="shared" si="20"/>
        <v>900</v>
      </c>
      <c r="BA55" s="66">
        <f t="shared" si="21"/>
        <v>1000</v>
      </c>
      <c r="BB55" s="22">
        <f t="shared" si="22"/>
        <v>5.0000000000000001E-3</v>
      </c>
    </row>
    <row r="56" spans="2:54" s="74" customFormat="1" x14ac:dyDescent="0.45">
      <c r="B56" s="45" t="s">
        <v>505</v>
      </c>
      <c r="C56" s="90"/>
      <c r="D56" s="90"/>
      <c r="E56" s="92"/>
      <c r="F56" s="93"/>
      <c r="G56" s="93"/>
      <c r="H56" s="93"/>
      <c r="I56" s="93"/>
      <c r="J56" s="93"/>
      <c r="K56" s="93"/>
      <c r="L56" s="59">
        <f t="shared" si="12"/>
        <v>0</v>
      </c>
      <c r="M56" s="93"/>
      <c r="N56" s="93"/>
      <c r="O56" s="93"/>
      <c r="P56" s="93"/>
      <c r="Q56" s="99" t="e">
        <f t="shared" si="17"/>
        <v>#DIV/0!</v>
      </c>
      <c r="R56" s="100">
        <f t="shared" si="18"/>
        <v>0.43387671059875982</v>
      </c>
      <c r="S56" s="83"/>
      <c r="T56" s="83"/>
      <c r="U56" s="101">
        <f t="shared" si="15"/>
        <v>2021.2824107652905</v>
      </c>
      <c r="V56" s="75"/>
      <c r="W56" s="71"/>
      <c r="X56" s="72"/>
      <c r="Y56" s="72"/>
      <c r="Z56" s="73"/>
      <c r="AA56" s="75"/>
      <c r="AV56" s="52"/>
      <c r="AW56" s="52"/>
      <c r="AY56" s="66">
        <f t="shared" si="19"/>
        <v>70.8</v>
      </c>
      <c r="AZ56" s="66">
        <f t="shared" si="20"/>
        <v>900</v>
      </c>
      <c r="BA56" s="66">
        <f t="shared" si="21"/>
        <v>1000</v>
      </c>
      <c r="BB56" s="22">
        <f t="shared" si="22"/>
        <v>5.0000000000000001E-3</v>
      </c>
    </row>
    <row r="57" spans="2:54" s="74" customFormat="1" x14ac:dyDescent="0.45">
      <c r="B57" s="45" t="s">
        <v>506</v>
      </c>
      <c r="C57" s="90"/>
      <c r="D57" s="90"/>
      <c r="E57" s="92"/>
      <c r="F57" s="93"/>
      <c r="G57" s="93"/>
      <c r="H57" s="93"/>
      <c r="I57" s="93"/>
      <c r="J57" s="93"/>
      <c r="K57" s="93"/>
      <c r="L57" s="59">
        <f t="shared" si="12"/>
        <v>0</v>
      </c>
      <c r="M57" s="93"/>
      <c r="N57" s="93"/>
      <c r="O57" s="93"/>
      <c r="P57" s="93"/>
      <c r="Q57" s="99" t="e">
        <f t="shared" si="17"/>
        <v>#DIV/0!</v>
      </c>
      <c r="R57" s="100">
        <f t="shared" si="18"/>
        <v>0.43387671059875982</v>
      </c>
      <c r="S57" s="83"/>
      <c r="T57" s="83"/>
      <c r="U57" s="101">
        <f t="shared" si="15"/>
        <v>2021.2824107652905</v>
      </c>
      <c r="V57" s="75"/>
      <c r="W57" s="71"/>
      <c r="X57" s="72"/>
      <c r="Y57" s="72"/>
      <c r="Z57" s="73"/>
      <c r="AA57" s="75"/>
      <c r="AV57" s="52"/>
      <c r="AW57" s="52"/>
      <c r="AY57" s="66">
        <f t="shared" si="19"/>
        <v>70.8</v>
      </c>
      <c r="AZ57" s="66">
        <f t="shared" si="20"/>
        <v>900</v>
      </c>
      <c r="BA57" s="66">
        <f t="shared" si="21"/>
        <v>1000</v>
      </c>
      <c r="BB57" s="22">
        <f t="shared" si="22"/>
        <v>5.0000000000000001E-3</v>
      </c>
    </row>
    <row r="58" spans="2:54" s="52" customFormat="1" ht="15" customHeight="1" x14ac:dyDescent="0.45">
      <c r="B58" s="45" t="s">
        <v>507</v>
      </c>
      <c r="C58" s="90"/>
      <c r="D58" s="90"/>
      <c r="E58" s="92"/>
      <c r="F58" s="93"/>
      <c r="G58" s="93"/>
      <c r="H58" s="93"/>
      <c r="I58" s="93"/>
      <c r="J58" s="93"/>
      <c r="K58" s="93"/>
      <c r="L58" s="59">
        <f t="shared" si="12"/>
        <v>0</v>
      </c>
      <c r="M58" s="93"/>
      <c r="N58" s="93"/>
      <c r="O58" s="93"/>
      <c r="P58" s="93"/>
      <c r="Q58" s="99" t="e">
        <f t="shared" si="17"/>
        <v>#DIV/0!</v>
      </c>
      <c r="R58" s="100">
        <f t="shared" si="18"/>
        <v>0.43387671059875982</v>
      </c>
      <c r="S58" s="83"/>
      <c r="T58" s="83"/>
      <c r="U58" s="101">
        <f t="shared" si="15"/>
        <v>2021.2824107652905</v>
      </c>
      <c r="V58" s="76"/>
      <c r="W58" s="77"/>
      <c r="X58" s="78"/>
      <c r="Y58" s="78"/>
      <c r="Z58" s="79"/>
      <c r="AA58" s="76"/>
      <c r="AY58" s="66">
        <f t="shared" si="19"/>
        <v>70.8</v>
      </c>
      <c r="AZ58" s="66">
        <f t="shared" si="20"/>
        <v>900</v>
      </c>
      <c r="BA58" s="66">
        <f t="shared" si="21"/>
        <v>1000</v>
      </c>
      <c r="BB58" s="22">
        <f t="shared" si="22"/>
        <v>5.0000000000000001E-3</v>
      </c>
    </row>
    <row r="59" spans="2:54" s="74" customFormat="1" x14ac:dyDescent="0.45">
      <c r="B59" s="45" t="s">
        <v>508</v>
      </c>
      <c r="C59" s="90"/>
      <c r="D59" s="90"/>
      <c r="E59" s="92"/>
      <c r="F59" s="93"/>
      <c r="G59" s="93"/>
      <c r="H59" s="93"/>
      <c r="I59" s="93"/>
      <c r="J59" s="93"/>
      <c r="K59" s="93"/>
      <c r="L59" s="59">
        <f t="shared" si="12"/>
        <v>0</v>
      </c>
      <c r="M59" s="93"/>
      <c r="N59" s="93"/>
      <c r="O59" s="93"/>
      <c r="P59" s="93"/>
      <c r="Q59" s="99" t="e">
        <f t="shared" si="17"/>
        <v>#DIV/0!</v>
      </c>
      <c r="R59" s="100">
        <f t="shared" si="18"/>
        <v>0.43387671059875982</v>
      </c>
      <c r="S59" s="83"/>
      <c r="T59" s="83"/>
      <c r="U59" s="101">
        <f t="shared" si="15"/>
        <v>2021.2824107652905</v>
      </c>
      <c r="V59" s="75"/>
      <c r="W59" s="71"/>
      <c r="X59" s="72"/>
      <c r="Y59" s="72"/>
      <c r="Z59" s="73"/>
      <c r="AA59" s="75"/>
      <c r="AV59" s="52"/>
      <c r="AW59" s="52"/>
      <c r="AY59" s="66">
        <f t="shared" si="19"/>
        <v>70.8</v>
      </c>
      <c r="AZ59" s="66">
        <f t="shared" si="20"/>
        <v>900</v>
      </c>
      <c r="BA59" s="66">
        <f t="shared" si="21"/>
        <v>1000</v>
      </c>
      <c r="BB59" s="22">
        <f t="shared" si="22"/>
        <v>5.0000000000000001E-3</v>
      </c>
    </row>
    <row r="60" spans="2:54" s="74" customFormat="1" x14ac:dyDescent="0.45">
      <c r="B60" s="45" t="s">
        <v>509</v>
      </c>
      <c r="C60" s="90"/>
      <c r="D60" s="90"/>
      <c r="E60" s="92"/>
      <c r="F60" s="93"/>
      <c r="G60" s="93"/>
      <c r="H60" s="93"/>
      <c r="I60" s="93"/>
      <c r="J60" s="93"/>
      <c r="K60" s="93"/>
      <c r="L60" s="59">
        <f t="shared" si="12"/>
        <v>0</v>
      </c>
      <c r="M60" s="93"/>
      <c r="N60" s="93"/>
      <c r="O60" s="93"/>
      <c r="P60" s="93"/>
      <c r="Q60" s="99" t="e">
        <f t="shared" si="17"/>
        <v>#DIV/0!</v>
      </c>
      <c r="R60" s="100">
        <f t="shared" si="18"/>
        <v>0.43387671059875982</v>
      </c>
      <c r="S60" s="83"/>
      <c r="T60" s="83"/>
      <c r="U60" s="101">
        <f t="shared" si="15"/>
        <v>2021.2824107652905</v>
      </c>
      <c r="V60" s="75"/>
      <c r="W60" s="71"/>
      <c r="X60" s="72"/>
      <c r="Y60" s="72"/>
      <c r="Z60" s="73"/>
      <c r="AA60" s="75"/>
      <c r="AV60" s="52"/>
      <c r="AW60" s="52"/>
      <c r="AY60" s="66">
        <f t="shared" si="19"/>
        <v>70.8</v>
      </c>
      <c r="AZ60" s="66">
        <f t="shared" si="20"/>
        <v>900</v>
      </c>
      <c r="BA60" s="66">
        <f t="shared" si="21"/>
        <v>1000</v>
      </c>
      <c r="BB60" s="22">
        <f t="shared" si="22"/>
        <v>5.0000000000000001E-3</v>
      </c>
    </row>
    <row r="61" spans="2:54" x14ac:dyDescent="0.45">
      <c r="B61" s="45" t="s">
        <v>510</v>
      </c>
      <c r="C61" s="90"/>
      <c r="D61" s="90"/>
      <c r="E61" s="94"/>
      <c r="F61" s="93"/>
      <c r="G61" s="93"/>
      <c r="H61" s="93"/>
      <c r="I61" s="93"/>
      <c r="J61" s="93"/>
      <c r="K61" s="93"/>
      <c r="L61" s="59">
        <f t="shared" si="12"/>
        <v>0</v>
      </c>
      <c r="M61" s="93"/>
      <c r="N61" s="93"/>
      <c r="O61" s="93"/>
      <c r="P61" s="93"/>
      <c r="Q61" s="99" t="e">
        <f t="shared" si="17"/>
        <v>#DIV/0!</v>
      </c>
      <c r="R61" s="100">
        <f t="shared" si="18"/>
        <v>0.43387671059875982</v>
      </c>
      <c r="S61" s="83"/>
      <c r="T61" s="83"/>
      <c r="U61" s="101">
        <f t="shared" si="15"/>
        <v>2021.2824107652905</v>
      </c>
      <c r="V61" s="45"/>
      <c r="W61" s="63"/>
      <c r="X61" s="64"/>
      <c r="Y61" s="64"/>
      <c r="Z61" s="65"/>
      <c r="AA61" s="45"/>
      <c r="AY61" s="66">
        <f t="shared" si="19"/>
        <v>70.8</v>
      </c>
      <c r="AZ61" s="66">
        <f t="shared" si="20"/>
        <v>900</v>
      </c>
      <c r="BA61" s="66">
        <f t="shared" si="21"/>
        <v>1000</v>
      </c>
      <c r="BB61" s="22">
        <f t="shared" si="22"/>
        <v>5.0000000000000001E-3</v>
      </c>
    </row>
    <row r="62" spans="2:54" x14ac:dyDescent="0.45">
      <c r="B62" s="45" t="s">
        <v>511</v>
      </c>
      <c r="C62" s="90"/>
      <c r="D62" s="90"/>
      <c r="E62" s="92"/>
      <c r="F62" s="93"/>
      <c r="G62" s="93"/>
      <c r="H62" s="93"/>
      <c r="I62" s="93"/>
      <c r="J62" s="93"/>
      <c r="K62" s="93"/>
      <c r="L62" s="59">
        <f t="shared" si="12"/>
        <v>0</v>
      </c>
      <c r="M62" s="93"/>
      <c r="N62" s="93"/>
      <c r="O62" s="93"/>
      <c r="P62" s="93"/>
      <c r="Q62" s="99" t="e">
        <f t="shared" si="17"/>
        <v>#DIV/0!</v>
      </c>
      <c r="R62" s="100">
        <f t="shared" si="18"/>
        <v>0.43387671059875982</v>
      </c>
      <c r="S62" s="83"/>
      <c r="T62" s="83"/>
      <c r="U62" s="101">
        <f t="shared" si="15"/>
        <v>2021.2824107652905</v>
      </c>
      <c r="V62" s="45"/>
      <c r="W62" s="63"/>
      <c r="X62" s="64"/>
      <c r="Y62" s="64"/>
      <c r="Z62" s="65"/>
      <c r="AA62" s="45"/>
      <c r="AY62" s="66">
        <f t="shared" si="19"/>
        <v>70.8</v>
      </c>
      <c r="AZ62" s="66">
        <f t="shared" si="20"/>
        <v>900</v>
      </c>
      <c r="BA62" s="66">
        <f t="shared" si="21"/>
        <v>1000</v>
      </c>
      <c r="BB62" s="22">
        <f t="shared" si="22"/>
        <v>5.0000000000000001E-3</v>
      </c>
    </row>
    <row r="63" spans="2:54" x14ac:dyDescent="0.45">
      <c r="B63" s="45" t="s">
        <v>512</v>
      </c>
      <c r="C63" s="90"/>
      <c r="D63" s="90"/>
      <c r="E63" s="92"/>
      <c r="F63" s="93"/>
      <c r="G63" s="93"/>
      <c r="H63" s="93"/>
      <c r="I63" s="93"/>
      <c r="J63" s="93"/>
      <c r="K63" s="93"/>
      <c r="L63" s="59">
        <f t="shared" si="12"/>
        <v>0</v>
      </c>
      <c r="M63" s="93"/>
      <c r="N63" s="93"/>
      <c r="O63" s="93"/>
      <c r="P63" s="93"/>
      <c r="Q63" s="99" t="e">
        <f t="shared" si="17"/>
        <v>#DIV/0!</v>
      </c>
      <c r="R63" s="100">
        <f t="shared" si="18"/>
        <v>0.43387671059875982</v>
      </c>
      <c r="S63" s="83"/>
      <c r="T63" s="83"/>
      <c r="U63" s="101">
        <f t="shared" si="15"/>
        <v>2021.2824107652905</v>
      </c>
      <c r="V63" s="45"/>
      <c r="W63" s="63"/>
      <c r="X63" s="64"/>
      <c r="Y63" s="64"/>
      <c r="Z63" s="65"/>
      <c r="AA63" s="45"/>
      <c r="AY63" s="66">
        <f t="shared" si="19"/>
        <v>70.8</v>
      </c>
      <c r="AZ63" s="66">
        <f t="shared" si="20"/>
        <v>900</v>
      </c>
      <c r="BA63" s="66">
        <f t="shared" si="21"/>
        <v>1000</v>
      </c>
      <c r="BB63" s="22">
        <f t="shared" si="22"/>
        <v>5.0000000000000001E-3</v>
      </c>
    </row>
    <row r="64" spans="2:54" x14ac:dyDescent="0.45">
      <c r="B64" s="45" t="s">
        <v>513</v>
      </c>
      <c r="C64" s="90"/>
      <c r="D64" s="90"/>
      <c r="E64" s="94"/>
      <c r="F64" s="93"/>
      <c r="G64" s="93"/>
      <c r="H64" s="93"/>
      <c r="I64" s="93"/>
      <c r="J64" s="93"/>
      <c r="K64" s="93"/>
      <c r="L64" s="59">
        <f t="shared" si="12"/>
        <v>0</v>
      </c>
      <c r="M64" s="93"/>
      <c r="N64" s="93"/>
      <c r="O64" s="93"/>
      <c r="P64" s="93"/>
      <c r="Q64" s="99" t="e">
        <f t="shared" si="17"/>
        <v>#DIV/0!</v>
      </c>
      <c r="R64" s="100">
        <f t="shared" si="18"/>
        <v>0.43387671059875982</v>
      </c>
      <c r="S64" s="83"/>
      <c r="T64" s="83"/>
      <c r="U64" s="101">
        <f t="shared" si="15"/>
        <v>2021.2824107652905</v>
      </c>
      <c r="V64" s="45"/>
      <c r="W64" s="63"/>
      <c r="X64" s="64"/>
      <c r="Y64" s="64"/>
      <c r="Z64" s="65"/>
      <c r="AA64" s="45"/>
      <c r="AY64" s="66">
        <f t="shared" si="19"/>
        <v>70.8</v>
      </c>
      <c r="AZ64" s="66">
        <f t="shared" si="20"/>
        <v>900</v>
      </c>
      <c r="BA64" s="66">
        <f t="shared" si="21"/>
        <v>1000</v>
      </c>
      <c r="BB64" s="22">
        <f t="shared" si="22"/>
        <v>5.0000000000000001E-3</v>
      </c>
    </row>
    <row r="65" spans="2:54" x14ac:dyDescent="0.45">
      <c r="B65" s="45" t="s">
        <v>514</v>
      </c>
      <c r="C65" s="90"/>
      <c r="D65" s="90"/>
      <c r="E65" s="92"/>
      <c r="F65" s="93"/>
      <c r="G65" s="93"/>
      <c r="H65" s="93"/>
      <c r="I65" s="93"/>
      <c r="J65" s="93"/>
      <c r="K65" s="93"/>
      <c r="L65" s="59">
        <f t="shared" si="12"/>
        <v>0</v>
      </c>
      <c r="M65" s="93"/>
      <c r="N65" s="93"/>
      <c r="O65" s="93"/>
      <c r="P65" s="93"/>
      <c r="Q65" s="99" t="e">
        <f t="shared" si="17"/>
        <v>#DIV/0!</v>
      </c>
      <c r="R65" s="100">
        <f t="shared" si="18"/>
        <v>0.43387671059875982</v>
      </c>
      <c r="S65" s="83"/>
      <c r="T65" s="83"/>
      <c r="U65" s="101">
        <f t="shared" si="15"/>
        <v>2021.2824107652905</v>
      </c>
      <c r="V65" s="45"/>
      <c r="W65" s="63"/>
      <c r="X65" s="64"/>
      <c r="Y65" s="64"/>
      <c r="Z65" s="65"/>
      <c r="AA65" s="45"/>
      <c r="AY65" s="66">
        <f t="shared" si="19"/>
        <v>70.8</v>
      </c>
      <c r="AZ65" s="66">
        <f t="shared" si="20"/>
        <v>900</v>
      </c>
      <c r="BA65" s="66">
        <f t="shared" si="21"/>
        <v>1000</v>
      </c>
      <c r="BB65" s="22">
        <f t="shared" si="22"/>
        <v>5.0000000000000001E-3</v>
      </c>
    </row>
    <row r="66" spans="2:54" x14ac:dyDescent="0.45">
      <c r="B66" s="45" t="s">
        <v>515</v>
      </c>
      <c r="C66" s="90"/>
      <c r="D66" s="56"/>
      <c r="E66" s="57"/>
      <c r="F66" s="68"/>
      <c r="G66" s="68"/>
      <c r="H66" s="68"/>
      <c r="I66" s="68"/>
      <c r="J66" s="68"/>
      <c r="K66" s="68"/>
      <c r="L66" s="59">
        <f t="shared" si="12"/>
        <v>0</v>
      </c>
      <c r="M66" s="68"/>
      <c r="N66" s="68"/>
      <c r="O66" s="68"/>
      <c r="P66" s="68"/>
      <c r="Q66" s="99" t="e">
        <f t="shared" si="17"/>
        <v>#DIV/0!</v>
      </c>
      <c r="R66" s="100">
        <f t="shared" si="18"/>
        <v>0.43387671059875982</v>
      </c>
      <c r="S66" s="83"/>
      <c r="T66" s="83"/>
      <c r="U66" s="101">
        <f t="shared" si="15"/>
        <v>2021.2824107652905</v>
      </c>
      <c r="V66" s="45"/>
      <c r="W66" s="63"/>
      <c r="X66" s="64"/>
      <c r="Y66" s="64"/>
      <c r="Z66" s="65"/>
      <c r="AA66" s="45"/>
      <c r="AY66" s="66">
        <f t="shared" si="19"/>
        <v>70.8</v>
      </c>
      <c r="AZ66" s="66">
        <f t="shared" si="20"/>
        <v>900</v>
      </c>
      <c r="BA66" s="66">
        <f t="shared" si="21"/>
        <v>1000</v>
      </c>
      <c r="BB66" s="22">
        <f t="shared" si="22"/>
        <v>5.0000000000000001E-3</v>
      </c>
    </row>
    <row r="67" spans="2:54" x14ac:dyDescent="0.45">
      <c r="B67" s="45" t="s">
        <v>516</v>
      </c>
      <c r="C67" s="90"/>
      <c r="D67" s="56"/>
      <c r="E67" s="84"/>
      <c r="F67" s="58"/>
      <c r="G67" s="58"/>
      <c r="H67" s="58"/>
      <c r="I67" s="58"/>
      <c r="J67" s="58"/>
      <c r="K67" s="58"/>
      <c r="L67" s="59">
        <f t="shared" si="12"/>
        <v>0</v>
      </c>
      <c r="M67" s="68"/>
      <c r="N67" s="68"/>
      <c r="O67" s="68"/>
      <c r="P67" s="68"/>
      <c r="Q67" s="99" t="e">
        <f t="shared" si="17"/>
        <v>#DIV/0!</v>
      </c>
      <c r="R67" s="100">
        <f t="shared" si="18"/>
        <v>0.43387671059875982</v>
      </c>
      <c r="S67" s="83"/>
      <c r="T67" s="83"/>
      <c r="U67" s="101">
        <f t="shared" si="15"/>
        <v>2021.2824107652905</v>
      </c>
      <c r="V67" s="45"/>
      <c r="W67" s="63"/>
      <c r="X67" s="64"/>
      <c r="Y67" s="64"/>
      <c r="Z67" s="65"/>
      <c r="AA67" s="45"/>
      <c r="AY67" s="66">
        <f t="shared" si="19"/>
        <v>70.8</v>
      </c>
      <c r="AZ67" s="66">
        <f t="shared" si="20"/>
        <v>900</v>
      </c>
      <c r="BA67" s="66">
        <f t="shared" si="21"/>
        <v>1000</v>
      </c>
      <c r="BB67" s="22">
        <f t="shared" si="22"/>
        <v>5.0000000000000001E-3</v>
      </c>
    </row>
    <row r="68" spans="2:54" x14ac:dyDescent="0.45">
      <c r="B68" s="45" t="s">
        <v>517</v>
      </c>
      <c r="C68" s="90"/>
      <c r="D68" s="56"/>
      <c r="E68" s="84"/>
      <c r="F68" s="58"/>
      <c r="G68" s="58"/>
      <c r="H68" s="58"/>
      <c r="I68" s="58"/>
      <c r="J68" s="58"/>
      <c r="K68" s="58"/>
      <c r="L68" s="59">
        <f t="shared" si="12"/>
        <v>0</v>
      </c>
      <c r="M68" s="68"/>
      <c r="N68" s="68"/>
      <c r="O68" s="68"/>
      <c r="P68" s="68"/>
      <c r="Q68" s="99" t="e">
        <f t="shared" si="17"/>
        <v>#DIV/0!</v>
      </c>
      <c r="R68" s="100">
        <f t="shared" si="18"/>
        <v>0.43387671059875982</v>
      </c>
      <c r="S68" s="83"/>
      <c r="T68" s="83"/>
      <c r="U68" s="101">
        <f t="shared" si="15"/>
        <v>2021.2824107652905</v>
      </c>
      <c r="V68" s="45"/>
      <c r="W68" s="63"/>
      <c r="X68" s="64"/>
      <c r="Y68" s="64"/>
      <c r="Z68" s="65"/>
      <c r="AA68" s="45"/>
      <c r="AY68" s="66">
        <f t="shared" si="19"/>
        <v>70.8</v>
      </c>
      <c r="AZ68" s="66">
        <f t="shared" si="20"/>
        <v>900</v>
      </c>
      <c r="BA68" s="66">
        <f t="shared" si="21"/>
        <v>1000</v>
      </c>
      <c r="BB68" s="22">
        <f t="shared" si="22"/>
        <v>5.0000000000000001E-3</v>
      </c>
    </row>
    <row r="69" spans="2:54" x14ac:dyDescent="0.45">
      <c r="B69" s="45" t="s">
        <v>518</v>
      </c>
      <c r="C69" s="90"/>
      <c r="D69" s="56"/>
      <c r="E69" s="84"/>
      <c r="F69" s="58"/>
      <c r="G69" s="58"/>
      <c r="H69" s="58"/>
      <c r="I69" s="58"/>
      <c r="J69" s="58"/>
      <c r="K69" s="58"/>
      <c r="L69" s="59">
        <f t="shared" si="12"/>
        <v>0</v>
      </c>
      <c r="M69" s="68"/>
      <c r="N69" s="68"/>
      <c r="O69" s="68"/>
      <c r="P69" s="68"/>
      <c r="Q69" s="99" t="e">
        <f t="shared" si="17"/>
        <v>#DIV/0!</v>
      </c>
      <c r="R69" s="100">
        <f t="shared" si="18"/>
        <v>0.43387671059875982</v>
      </c>
      <c r="S69" s="83"/>
      <c r="T69" s="83"/>
      <c r="U69" s="101">
        <f t="shared" si="15"/>
        <v>2021.2824107652905</v>
      </c>
      <c r="V69" s="45"/>
      <c r="W69" s="63"/>
      <c r="X69" s="64"/>
      <c r="Y69" s="64"/>
      <c r="Z69" s="65"/>
      <c r="AA69" s="45"/>
      <c r="AY69" s="66">
        <f t="shared" si="19"/>
        <v>70.8</v>
      </c>
      <c r="AZ69" s="66">
        <f t="shared" si="20"/>
        <v>900</v>
      </c>
      <c r="BA69" s="66">
        <f t="shared" si="21"/>
        <v>1000</v>
      </c>
      <c r="BB69" s="22">
        <f t="shared" si="22"/>
        <v>5.0000000000000001E-3</v>
      </c>
    </row>
    <row r="70" spans="2:54" x14ac:dyDescent="0.45">
      <c r="B70" s="45" t="s">
        <v>519</v>
      </c>
      <c r="C70" s="90"/>
      <c r="D70" s="56"/>
      <c r="E70" s="80"/>
      <c r="F70" s="58"/>
      <c r="G70" s="58"/>
      <c r="H70" s="58"/>
      <c r="I70" s="58"/>
      <c r="J70" s="58"/>
      <c r="K70" s="58"/>
      <c r="L70" s="59">
        <f t="shared" si="12"/>
        <v>0</v>
      </c>
      <c r="M70" s="68"/>
      <c r="N70" s="68"/>
      <c r="O70" s="68"/>
      <c r="P70" s="68"/>
      <c r="Q70" s="99" t="e">
        <f t="shared" si="17"/>
        <v>#DIV/0!</v>
      </c>
      <c r="R70" s="100">
        <f t="shared" si="18"/>
        <v>0.43387671059875982</v>
      </c>
      <c r="S70" s="83"/>
      <c r="T70" s="83"/>
      <c r="U70" s="101">
        <f t="shared" si="15"/>
        <v>2021.2824107652905</v>
      </c>
      <c r="V70" s="45"/>
      <c r="W70" s="63"/>
      <c r="X70" s="64"/>
      <c r="Y70" s="64"/>
      <c r="Z70" s="65"/>
      <c r="AA70" s="45"/>
      <c r="AY70" s="66">
        <f t="shared" si="19"/>
        <v>70.8</v>
      </c>
      <c r="AZ70" s="66">
        <f t="shared" si="20"/>
        <v>900</v>
      </c>
      <c r="BA70" s="66">
        <f t="shared" si="21"/>
        <v>1000</v>
      </c>
      <c r="BB70" s="22">
        <f t="shared" si="22"/>
        <v>5.0000000000000001E-3</v>
      </c>
    </row>
    <row r="71" spans="2:54" x14ac:dyDescent="0.45">
      <c r="B71" s="45" t="s">
        <v>520</v>
      </c>
      <c r="C71" s="90"/>
      <c r="D71" s="56"/>
      <c r="E71" s="84"/>
      <c r="F71" s="68"/>
      <c r="G71" s="68"/>
      <c r="H71" s="68"/>
      <c r="I71" s="68"/>
      <c r="J71" s="68"/>
      <c r="K71" s="68"/>
      <c r="L71" s="59">
        <f t="shared" si="12"/>
        <v>0</v>
      </c>
      <c r="M71" s="68"/>
      <c r="N71" s="68"/>
      <c r="O71" s="68"/>
      <c r="P71" s="68"/>
      <c r="Q71" s="99" t="e">
        <f t="shared" si="17"/>
        <v>#DIV/0!</v>
      </c>
      <c r="R71" s="100">
        <f t="shared" si="18"/>
        <v>0.43387671059875982</v>
      </c>
      <c r="S71" s="83"/>
      <c r="T71" s="83"/>
      <c r="U71" s="101">
        <f t="shared" si="15"/>
        <v>2021.2824107652905</v>
      </c>
      <c r="V71" s="45"/>
      <c r="W71" s="63"/>
      <c r="X71" s="64"/>
      <c r="Y71" s="64"/>
      <c r="Z71" s="65"/>
      <c r="AA71" s="45"/>
      <c r="AY71" s="66">
        <f t="shared" si="19"/>
        <v>70.8</v>
      </c>
      <c r="AZ71" s="66">
        <f t="shared" si="20"/>
        <v>900</v>
      </c>
      <c r="BA71" s="66">
        <f t="shared" si="21"/>
        <v>1000</v>
      </c>
      <c r="BB71" s="22">
        <f t="shared" si="22"/>
        <v>5.0000000000000001E-3</v>
      </c>
    </row>
    <row r="72" spans="2:54" x14ac:dyDescent="0.45">
      <c r="B72" s="45" t="s">
        <v>521</v>
      </c>
      <c r="C72" s="90"/>
      <c r="D72" s="56"/>
      <c r="E72" s="57"/>
      <c r="F72" s="58"/>
      <c r="G72" s="58"/>
      <c r="H72" s="58"/>
      <c r="I72" s="58"/>
      <c r="J72" s="58"/>
      <c r="K72" s="58"/>
      <c r="L72" s="59">
        <f t="shared" si="12"/>
        <v>0</v>
      </c>
      <c r="M72" s="68"/>
      <c r="N72" s="68"/>
      <c r="O72" s="68"/>
      <c r="P72" s="68"/>
      <c r="Q72" s="99" t="e">
        <f t="shared" si="17"/>
        <v>#DIV/0!</v>
      </c>
      <c r="R72" s="100">
        <f t="shared" si="18"/>
        <v>0.43387671059875982</v>
      </c>
      <c r="S72" s="83"/>
      <c r="T72" s="83"/>
      <c r="U72" s="101">
        <f t="shared" si="15"/>
        <v>2021.2824107652905</v>
      </c>
      <c r="V72" s="45"/>
      <c r="W72" s="63"/>
      <c r="X72" s="64"/>
      <c r="Y72" s="64"/>
      <c r="Z72" s="65"/>
      <c r="AA72" s="45"/>
      <c r="AY72" s="66">
        <f t="shared" si="19"/>
        <v>70.8</v>
      </c>
      <c r="AZ72" s="66">
        <f t="shared" si="20"/>
        <v>900</v>
      </c>
      <c r="BA72" s="66">
        <f t="shared" si="21"/>
        <v>1000</v>
      </c>
      <c r="BB72" s="22">
        <f t="shared" si="22"/>
        <v>5.0000000000000001E-3</v>
      </c>
    </row>
    <row r="73" spans="2:54" x14ac:dyDescent="0.45">
      <c r="B73" s="45" t="s">
        <v>522</v>
      </c>
      <c r="C73" s="90"/>
      <c r="D73" s="56"/>
      <c r="E73" s="84"/>
      <c r="F73" s="58"/>
      <c r="G73" s="58"/>
      <c r="H73" s="58"/>
      <c r="I73" s="58"/>
      <c r="J73" s="58"/>
      <c r="K73" s="58"/>
      <c r="L73" s="59">
        <f t="shared" si="12"/>
        <v>0</v>
      </c>
      <c r="M73" s="68"/>
      <c r="N73" s="68"/>
      <c r="O73" s="68"/>
      <c r="P73" s="68"/>
      <c r="Q73" s="99" t="e">
        <f t="shared" si="17"/>
        <v>#DIV/0!</v>
      </c>
      <c r="R73" s="100">
        <f t="shared" si="18"/>
        <v>0.43387671059875982</v>
      </c>
      <c r="S73" s="83"/>
      <c r="T73" s="83"/>
      <c r="U73" s="101">
        <f t="shared" si="15"/>
        <v>2021.2824107652905</v>
      </c>
      <c r="V73" s="45"/>
      <c r="W73" s="63"/>
      <c r="X73" s="64"/>
      <c r="Y73" s="64"/>
      <c r="Z73" s="65"/>
      <c r="AA73" s="45"/>
      <c r="AY73" s="66">
        <f t="shared" si="19"/>
        <v>70.8</v>
      </c>
      <c r="AZ73" s="66">
        <f t="shared" si="20"/>
        <v>900</v>
      </c>
      <c r="BA73" s="66">
        <f t="shared" si="21"/>
        <v>1000</v>
      </c>
      <c r="BB73" s="22">
        <f t="shared" si="22"/>
        <v>5.0000000000000001E-3</v>
      </c>
    </row>
    <row r="74" spans="2:54" x14ac:dyDescent="0.45">
      <c r="B74" s="45" t="s">
        <v>523</v>
      </c>
      <c r="C74" s="90"/>
      <c r="D74" s="56"/>
      <c r="E74" s="80"/>
      <c r="F74" s="58"/>
      <c r="G74" s="58"/>
      <c r="H74" s="58"/>
      <c r="I74" s="58"/>
      <c r="J74" s="58"/>
      <c r="K74" s="58"/>
      <c r="L74" s="59">
        <f t="shared" si="12"/>
        <v>0</v>
      </c>
      <c r="M74" s="68"/>
      <c r="N74" s="68"/>
      <c r="O74" s="68"/>
      <c r="P74" s="68"/>
      <c r="Q74" s="99" t="e">
        <f t="shared" si="17"/>
        <v>#DIV/0!</v>
      </c>
      <c r="R74" s="100">
        <f t="shared" si="18"/>
        <v>0.43387671059875982</v>
      </c>
      <c r="S74" s="83"/>
      <c r="T74" s="83"/>
      <c r="U74" s="101">
        <f t="shared" si="15"/>
        <v>2021.2824107652905</v>
      </c>
      <c r="V74" s="45"/>
      <c r="W74" s="63"/>
      <c r="X74" s="64"/>
      <c r="Y74" s="64"/>
      <c r="Z74" s="65"/>
      <c r="AA74" s="45"/>
      <c r="AY74" s="66">
        <f t="shared" si="19"/>
        <v>70.8</v>
      </c>
      <c r="AZ74" s="66">
        <f t="shared" si="20"/>
        <v>900</v>
      </c>
      <c r="BA74" s="66">
        <f t="shared" si="21"/>
        <v>1000</v>
      </c>
      <c r="BB74" s="22">
        <f t="shared" si="22"/>
        <v>5.0000000000000001E-3</v>
      </c>
    </row>
    <row r="75" spans="2:54" x14ac:dyDescent="0.45">
      <c r="B75" s="45" t="s">
        <v>524</v>
      </c>
      <c r="C75" s="90"/>
      <c r="D75" s="56"/>
      <c r="E75" s="84"/>
      <c r="F75" s="58"/>
      <c r="G75" s="58"/>
      <c r="H75" s="58"/>
      <c r="I75" s="58"/>
      <c r="J75" s="58"/>
      <c r="K75" s="58"/>
      <c r="L75" s="59">
        <f t="shared" si="12"/>
        <v>0</v>
      </c>
      <c r="M75" s="68"/>
      <c r="N75" s="68"/>
      <c r="O75" s="68"/>
      <c r="P75" s="68"/>
      <c r="Q75" s="99" t="e">
        <f t="shared" si="17"/>
        <v>#DIV/0!</v>
      </c>
      <c r="R75" s="100">
        <f t="shared" si="18"/>
        <v>0.43387671059875982</v>
      </c>
      <c r="S75" s="83"/>
      <c r="T75" s="83"/>
      <c r="U75" s="101">
        <f t="shared" si="15"/>
        <v>2021.2824107652905</v>
      </c>
      <c r="V75" s="45"/>
      <c r="W75" s="63"/>
      <c r="X75" s="64"/>
      <c r="Y75" s="64"/>
      <c r="Z75" s="65"/>
      <c r="AA75" s="45"/>
      <c r="AY75" s="66">
        <f t="shared" si="19"/>
        <v>70.8</v>
      </c>
      <c r="AZ75" s="66">
        <f t="shared" si="20"/>
        <v>900</v>
      </c>
      <c r="BA75" s="66">
        <f t="shared" si="21"/>
        <v>1000</v>
      </c>
      <c r="BB75" s="22">
        <f t="shared" si="22"/>
        <v>5.0000000000000001E-3</v>
      </c>
    </row>
    <row r="76" spans="2:54" x14ac:dyDescent="0.45">
      <c r="B76" s="45" t="s">
        <v>525</v>
      </c>
      <c r="C76" s="90"/>
      <c r="D76" s="56"/>
      <c r="E76" s="57"/>
      <c r="F76" s="58"/>
      <c r="G76" s="58"/>
      <c r="H76" s="58"/>
      <c r="I76" s="58"/>
      <c r="J76" s="58"/>
      <c r="K76" s="58"/>
      <c r="L76" s="59">
        <f t="shared" si="12"/>
        <v>0</v>
      </c>
      <c r="M76" s="68"/>
      <c r="N76" s="68"/>
      <c r="O76" s="68"/>
      <c r="P76" s="68"/>
      <c r="Q76" s="99" t="e">
        <f t="shared" si="17"/>
        <v>#DIV/0!</v>
      </c>
      <c r="R76" s="100">
        <f t="shared" si="18"/>
        <v>0.43387671059875982</v>
      </c>
      <c r="S76" s="83"/>
      <c r="T76" s="83"/>
      <c r="U76" s="101">
        <f t="shared" si="15"/>
        <v>2021.2824107652905</v>
      </c>
      <c r="V76" s="45"/>
      <c r="W76" s="63"/>
      <c r="X76" s="64"/>
      <c r="Y76" s="64"/>
      <c r="Z76" s="65"/>
      <c r="AA76" s="45"/>
      <c r="AY76" s="66">
        <f t="shared" si="19"/>
        <v>70.8</v>
      </c>
      <c r="AZ76" s="66">
        <f t="shared" si="20"/>
        <v>900</v>
      </c>
      <c r="BA76" s="66">
        <f t="shared" si="21"/>
        <v>1000</v>
      </c>
      <c r="BB76" s="22">
        <f t="shared" si="22"/>
        <v>5.0000000000000001E-3</v>
      </c>
    </row>
    <row r="77" spans="2:54" x14ac:dyDescent="0.45">
      <c r="B77" s="45" t="s">
        <v>526</v>
      </c>
      <c r="C77" s="90"/>
      <c r="D77" s="56"/>
      <c r="E77" s="80"/>
      <c r="F77" s="58"/>
      <c r="G77" s="58"/>
      <c r="H77" s="58"/>
      <c r="I77" s="58"/>
      <c r="J77" s="58"/>
      <c r="K77" s="58"/>
      <c r="L77" s="59">
        <f t="shared" si="12"/>
        <v>0</v>
      </c>
      <c r="M77" s="68"/>
      <c r="N77" s="68"/>
      <c r="O77" s="68"/>
      <c r="P77" s="68"/>
      <c r="Q77" s="99" t="e">
        <f t="shared" si="17"/>
        <v>#DIV/0!</v>
      </c>
      <c r="R77" s="100">
        <f t="shared" si="18"/>
        <v>0.43387671059875982</v>
      </c>
      <c r="S77" s="83"/>
      <c r="T77" s="83"/>
      <c r="U77" s="101">
        <f t="shared" si="15"/>
        <v>2021.2824107652905</v>
      </c>
      <c r="V77" s="45"/>
      <c r="W77" s="45"/>
      <c r="X77" s="64"/>
      <c r="Y77" s="64"/>
      <c r="Z77" s="65"/>
      <c r="AA77" s="45"/>
      <c r="AY77" s="66">
        <f t="shared" si="19"/>
        <v>70.8</v>
      </c>
      <c r="AZ77" s="66">
        <f t="shared" si="20"/>
        <v>900</v>
      </c>
      <c r="BA77" s="66">
        <f t="shared" si="21"/>
        <v>1000</v>
      </c>
      <c r="BB77" s="22">
        <f t="shared" si="22"/>
        <v>5.0000000000000001E-3</v>
      </c>
    </row>
    <row r="78" spans="2:54" x14ac:dyDescent="0.45">
      <c r="B78" s="45" t="s">
        <v>527</v>
      </c>
      <c r="C78" s="90"/>
      <c r="D78" s="56"/>
      <c r="E78" s="57"/>
      <c r="F78" s="58"/>
      <c r="G78" s="58"/>
      <c r="H78" s="58"/>
      <c r="I78" s="58"/>
      <c r="J78" s="58"/>
      <c r="K78" s="58"/>
      <c r="L78" s="59">
        <f t="shared" si="12"/>
        <v>0</v>
      </c>
      <c r="M78" s="68"/>
      <c r="N78" s="68"/>
      <c r="O78" s="68"/>
      <c r="P78" s="68"/>
      <c r="Q78" s="99" t="e">
        <f t="shared" si="17"/>
        <v>#DIV/0!</v>
      </c>
      <c r="R78" s="100">
        <f t="shared" si="18"/>
        <v>0.43387671059875982</v>
      </c>
      <c r="S78" s="83"/>
      <c r="T78" s="83"/>
      <c r="U78" s="101">
        <f t="shared" si="15"/>
        <v>2021.2824107652905</v>
      </c>
      <c r="V78" s="45"/>
      <c r="W78" s="45"/>
      <c r="X78" s="64"/>
      <c r="Y78" s="64"/>
      <c r="Z78" s="65"/>
      <c r="AA78" s="45"/>
      <c r="AY78" s="66">
        <f t="shared" si="19"/>
        <v>70.8</v>
      </c>
      <c r="AZ78" s="66">
        <f t="shared" si="20"/>
        <v>900</v>
      </c>
      <c r="BA78" s="66">
        <f t="shared" si="21"/>
        <v>1000</v>
      </c>
      <c r="BB78" s="22">
        <f t="shared" si="22"/>
        <v>5.0000000000000001E-3</v>
      </c>
    </row>
    <row r="79" spans="2:54" x14ac:dyDescent="0.45">
      <c r="B79" s="45" t="s">
        <v>528</v>
      </c>
      <c r="C79" s="90"/>
      <c r="D79" s="56"/>
      <c r="E79" s="84"/>
      <c r="F79" s="58"/>
      <c r="G79" s="58"/>
      <c r="H79" s="58"/>
      <c r="I79" s="58"/>
      <c r="J79" s="58"/>
      <c r="K79" s="58"/>
      <c r="L79" s="59">
        <f t="shared" si="12"/>
        <v>0</v>
      </c>
      <c r="M79" s="68"/>
      <c r="N79" s="68"/>
      <c r="O79" s="68"/>
      <c r="P79" s="68"/>
      <c r="Q79" s="99" t="e">
        <f t="shared" si="17"/>
        <v>#DIV/0!</v>
      </c>
      <c r="R79" s="100">
        <f t="shared" si="18"/>
        <v>0.43387671059875982</v>
      </c>
      <c r="S79" s="83"/>
      <c r="T79" s="83"/>
      <c r="U79" s="101">
        <f t="shared" si="15"/>
        <v>2021.2824107652905</v>
      </c>
      <c r="V79" s="45"/>
      <c r="W79" s="45"/>
      <c r="X79" s="64"/>
      <c r="Y79" s="64"/>
      <c r="Z79" s="65"/>
      <c r="AA79" s="45"/>
      <c r="AY79" s="66">
        <f t="shared" si="19"/>
        <v>70.8</v>
      </c>
      <c r="AZ79" s="66">
        <f t="shared" si="20"/>
        <v>900</v>
      </c>
      <c r="BA79" s="66">
        <f t="shared" si="21"/>
        <v>1000</v>
      </c>
      <c r="BB79" s="22">
        <f t="shared" si="22"/>
        <v>5.0000000000000001E-3</v>
      </c>
    </row>
    <row r="80" spans="2:54" x14ac:dyDescent="0.45">
      <c r="B80" s="45" t="s">
        <v>529</v>
      </c>
      <c r="C80" s="90"/>
      <c r="D80" s="56"/>
      <c r="E80" s="57"/>
      <c r="F80" s="58"/>
      <c r="G80" s="58"/>
      <c r="H80" s="58"/>
      <c r="I80" s="58"/>
      <c r="J80" s="58"/>
      <c r="K80" s="58"/>
      <c r="L80" s="59">
        <f t="shared" si="12"/>
        <v>0</v>
      </c>
      <c r="M80" s="68"/>
      <c r="N80" s="68"/>
      <c r="O80" s="68"/>
      <c r="P80" s="68"/>
      <c r="Q80" s="99" t="e">
        <f t="shared" si="17"/>
        <v>#DIV/0!</v>
      </c>
      <c r="R80" s="100">
        <f t="shared" si="18"/>
        <v>0.43387671059875982</v>
      </c>
      <c r="S80" s="83"/>
      <c r="T80" s="83"/>
      <c r="U80" s="101">
        <f t="shared" si="15"/>
        <v>2021.2824107652905</v>
      </c>
      <c r="V80" s="45"/>
      <c r="W80" s="45"/>
      <c r="X80" s="64"/>
      <c r="Y80" s="64"/>
      <c r="Z80" s="65"/>
      <c r="AA80" s="45"/>
      <c r="AY80" s="66">
        <f t="shared" si="19"/>
        <v>70.8</v>
      </c>
      <c r="AZ80" s="66">
        <f t="shared" si="20"/>
        <v>900</v>
      </c>
      <c r="BA80" s="66">
        <f t="shared" si="21"/>
        <v>1000</v>
      </c>
      <c r="BB80" s="22">
        <f t="shared" si="22"/>
        <v>5.0000000000000001E-3</v>
      </c>
    </row>
    <row r="81" spans="2:54" x14ac:dyDescent="0.45">
      <c r="B81" s="45" t="s">
        <v>530</v>
      </c>
      <c r="C81" s="90"/>
      <c r="D81" s="56"/>
      <c r="E81" s="84"/>
      <c r="F81" s="58"/>
      <c r="G81" s="58"/>
      <c r="H81" s="58"/>
      <c r="I81" s="58"/>
      <c r="J81" s="58"/>
      <c r="K81" s="58"/>
      <c r="L81" s="59">
        <f t="shared" si="12"/>
        <v>0</v>
      </c>
      <c r="M81" s="68"/>
      <c r="N81" s="68"/>
      <c r="O81" s="68"/>
      <c r="P81" s="68"/>
      <c r="Q81" s="99" t="e">
        <f t="shared" si="17"/>
        <v>#DIV/0!</v>
      </c>
      <c r="R81" s="100">
        <f t="shared" si="18"/>
        <v>0.43387671059875982</v>
      </c>
      <c r="S81" s="83"/>
      <c r="T81" s="83"/>
      <c r="U81" s="101">
        <f t="shared" si="15"/>
        <v>2021.2824107652905</v>
      </c>
      <c r="V81" s="45"/>
      <c r="W81" s="45"/>
      <c r="X81" s="64"/>
      <c r="Y81" s="64"/>
      <c r="Z81" s="65"/>
      <c r="AA81" s="45"/>
      <c r="AY81" s="66">
        <f t="shared" si="19"/>
        <v>70.8</v>
      </c>
      <c r="AZ81" s="66">
        <f t="shared" si="20"/>
        <v>900</v>
      </c>
      <c r="BA81" s="66">
        <f t="shared" si="21"/>
        <v>1000</v>
      </c>
      <c r="BB81" s="22">
        <f t="shared" si="22"/>
        <v>5.0000000000000001E-3</v>
      </c>
    </row>
    <row r="82" spans="2:54" x14ac:dyDescent="0.45">
      <c r="B82" s="45" t="s">
        <v>531</v>
      </c>
      <c r="C82" s="90"/>
      <c r="D82" s="56"/>
      <c r="E82" s="80"/>
      <c r="F82" s="58"/>
      <c r="G82" s="58"/>
      <c r="H82" s="58"/>
      <c r="I82" s="58"/>
      <c r="J82" s="58"/>
      <c r="K82" s="58"/>
      <c r="L82" s="59">
        <f t="shared" ref="L82:L145" si="23">1/2*((F82*I82+H82*K82+J82*G82)-(G82*H82+I82*J82+K82*F82))/0.1582*100</f>
        <v>0</v>
      </c>
      <c r="M82" s="68"/>
      <c r="N82" s="68"/>
      <c r="O82" s="68"/>
      <c r="P82" s="68"/>
      <c r="Q82" s="99" t="e">
        <f t="shared" ref="Q82:Q145" si="24">O82/P82</f>
        <v>#DIV/0!</v>
      </c>
      <c r="R82" s="100">
        <f t="shared" ref="R82:R145" si="25">SQRT(POWER(M82-$M$12,2)+POWER(N82-$N$12,2))</f>
        <v>0.43387671059875982</v>
      </c>
      <c r="S82" s="83"/>
      <c r="T82" s="83"/>
      <c r="U82" s="101">
        <f t="shared" ref="U82:U145" si="26">(-449*((M82-0.332)/(N82-0.1858))^3)+(3525*((M82-0.332)/(N82-0.1858))^2)+(-6823.3*(M82-0.332)/(N82-0.1858))+5520.33</f>
        <v>2021.2824107652905</v>
      </c>
      <c r="V82" s="45"/>
      <c r="W82" s="45"/>
      <c r="X82" s="64"/>
      <c r="Y82" s="64"/>
      <c r="Z82" s="65"/>
      <c r="AA82" s="45"/>
      <c r="AY82" s="66">
        <f t="shared" si="19"/>
        <v>70.8</v>
      </c>
      <c r="AZ82" s="66">
        <f t="shared" si="20"/>
        <v>900</v>
      </c>
      <c r="BA82" s="66">
        <f t="shared" si="21"/>
        <v>1000</v>
      </c>
      <c r="BB82" s="22">
        <f t="shared" si="22"/>
        <v>5.0000000000000001E-3</v>
      </c>
    </row>
    <row r="83" spans="2:54" ht="16" customHeight="1" x14ac:dyDescent="0.45">
      <c r="B83" s="45" t="s">
        <v>532</v>
      </c>
      <c r="C83" s="90"/>
      <c r="D83" s="56"/>
      <c r="E83" s="84"/>
      <c r="F83" s="58"/>
      <c r="G83" s="58"/>
      <c r="H83" s="58"/>
      <c r="I83" s="58"/>
      <c r="J83" s="58"/>
      <c r="K83" s="58"/>
      <c r="L83" s="59">
        <f t="shared" si="23"/>
        <v>0</v>
      </c>
      <c r="M83" s="68"/>
      <c r="N83" s="68"/>
      <c r="O83" s="68"/>
      <c r="P83" s="68"/>
      <c r="Q83" s="99" t="e">
        <f t="shared" si="24"/>
        <v>#DIV/0!</v>
      </c>
      <c r="R83" s="100">
        <f t="shared" si="25"/>
        <v>0.43387671059875982</v>
      </c>
      <c r="S83" s="83"/>
      <c r="T83" s="83"/>
      <c r="U83" s="101">
        <f t="shared" si="26"/>
        <v>2021.2824107652905</v>
      </c>
      <c r="V83" s="45"/>
      <c r="W83" s="45"/>
      <c r="X83" s="64"/>
      <c r="Y83" s="64"/>
      <c r="Z83" s="65"/>
      <c r="AA83" s="45"/>
      <c r="AY83" s="66">
        <f t="shared" si="19"/>
        <v>70.8</v>
      </c>
      <c r="AZ83" s="66">
        <f t="shared" si="20"/>
        <v>900</v>
      </c>
      <c r="BA83" s="66">
        <f t="shared" si="21"/>
        <v>1000</v>
      </c>
      <c r="BB83" s="22">
        <f t="shared" si="22"/>
        <v>5.0000000000000001E-3</v>
      </c>
    </row>
    <row r="84" spans="2:54" ht="16" customHeight="1" x14ac:dyDescent="0.45">
      <c r="B84" s="45" t="s">
        <v>533</v>
      </c>
      <c r="C84" s="90"/>
      <c r="D84" s="56"/>
      <c r="E84" s="57"/>
      <c r="F84" s="58"/>
      <c r="G84" s="58"/>
      <c r="H84" s="58"/>
      <c r="I84" s="58"/>
      <c r="J84" s="58"/>
      <c r="K84" s="58"/>
      <c r="L84" s="59">
        <f t="shared" si="23"/>
        <v>0</v>
      </c>
      <c r="M84" s="68"/>
      <c r="N84" s="68"/>
      <c r="O84" s="68"/>
      <c r="P84" s="68"/>
      <c r="Q84" s="99" t="e">
        <f t="shared" si="24"/>
        <v>#DIV/0!</v>
      </c>
      <c r="R84" s="100">
        <f t="shared" si="25"/>
        <v>0.43387671059875982</v>
      </c>
      <c r="S84" s="83"/>
      <c r="T84" s="83"/>
      <c r="U84" s="101">
        <f t="shared" si="26"/>
        <v>2021.2824107652905</v>
      </c>
      <c r="V84" s="45"/>
      <c r="W84" s="45"/>
      <c r="X84" s="45"/>
      <c r="Y84" s="45"/>
      <c r="Z84" s="45"/>
      <c r="AA84" s="45"/>
      <c r="AY84" s="66">
        <f t="shared" si="19"/>
        <v>70.8</v>
      </c>
      <c r="AZ84" s="66">
        <f t="shared" si="20"/>
        <v>900</v>
      </c>
      <c r="BA84" s="66">
        <f t="shared" si="21"/>
        <v>1000</v>
      </c>
      <c r="BB84" s="22">
        <f t="shared" si="22"/>
        <v>5.0000000000000001E-3</v>
      </c>
    </row>
    <row r="85" spans="2:54" ht="16" customHeight="1" x14ac:dyDescent="0.45">
      <c r="B85" s="45" t="s">
        <v>534</v>
      </c>
      <c r="C85" s="90"/>
      <c r="D85" s="67"/>
      <c r="E85" s="57"/>
      <c r="F85" s="68"/>
      <c r="G85" s="68"/>
      <c r="H85" s="68"/>
      <c r="I85" s="68"/>
      <c r="J85" s="68"/>
      <c r="K85" s="68"/>
      <c r="L85" s="59">
        <f t="shared" si="23"/>
        <v>0</v>
      </c>
      <c r="M85" s="68"/>
      <c r="N85" s="68"/>
      <c r="O85" s="68"/>
      <c r="P85" s="68"/>
      <c r="Q85" s="99" t="e">
        <f t="shared" si="24"/>
        <v>#DIV/0!</v>
      </c>
      <c r="R85" s="100">
        <f t="shared" si="25"/>
        <v>0.43387671059875982</v>
      </c>
      <c r="S85" s="83"/>
      <c r="T85" s="83"/>
      <c r="U85" s="101">
        <f t="shared" si="26"/>
        <v>2021.2824107652905</v>
      </c>
      <c r="V85" s="45"/>
      <c r="W85" s="45"/>
      <c r="X85" s="45"/>
      <c r="Y85" s="45"/>
      <c r="Z85" s="45"/>
      <c r="AA85" s="45"/>
      <c r="AY85" s="66">
        <f t="shared" si="19"/>
        <v>70.8</v>
      </c>
      <c r="AZ85" s="66">
        <f t="shared" si="20"/>
        <v>900</v>
      </c>
      <c r="BA85" s="66">
        <f t="shared" si="21"/>
        <v>1000</v>
      </c>
      <c r="BB85" s="22">
        <f t="shared" si="22"/>
        <v>5.0000000000000001E-3</v>
      </c>
    </row>
    <row r="86" spans="2:54" ht="16" customHeight="1" x14ac:dyDescent="0.45">
      <c r="B86" s="45" t="s">
        <v>535</v>
      </c>
      <c r="C86" s="90"/>
      <c r="D86" s="56"/>
      <c r="E86" s="84"/>
      <c r="F86" s="58"/>
      <c r="G86" s="58"/>
      <c r="H86" s="58"/>
      <c r="I86" s="58"/>
      <c r="J86" s="58"/>
      <c r="K86" s="58"/>
      <c r="L86" s="59">
        <f t="shared" si="23"/>
        <v>0</v>
      </c>
      <c r="M86" s="68"/>
      <c r="N86" s="68"/>
      <c r="O86" s="68"/>
      <c r="P86" s="68"/>
      <c r="Q86" s="99" t="e">
        <f t="shared" si="24"/>
        <v>#DIV/0!</v>
      </c>
      <c r="R86" s="100">
        <f t="shared" si="25"/>
        <v>0.43387671059875982</v>
      </c>
      <c r="S86" s="83"/>
      <c r="T86" s="83"/>
      <c r="U86" s="101">
        <f t="shared" si="26"/>
        <v>2021.2824107652905</v>
      </c>
      <c r="V86" s="45"/>
      <c r="W86" s="45"/>
      <c r="X86" s="45"/>
      <c r="Y86" s="45"/>
      <c r="Z86" s="45"/>
      <c r="AA86" s="45"/>
      <c r="AY86" s="66">
        <f t="shared" ref="AY86:AY96" si="27">$L$11</f>
        <v>70.8</v>
      </c>
      <c r="AZ86" s="66">
        <f t="shared" ref="AZ86:AZ96" si="28">$O$11</f>
        <v>900</v>
      </c>
      <c r="BA86" s="66">
        <f t="shared" ref="BA86:BA96" si="29">$Q$11</f>
        <v>1000</v>
      </c>
      <c r="BB86" s="22">
        <f t="shared" ref="BB86:BB96" si="30">$R$13</f>
        <v>5.0000000000000001E-3</v>
      </c>
    </row>
    <row r="87" spans="2:54" x14ac:dyDescent="0.45">
      <c r="B87" s="45" t="s">
        <v>536</v>
      </c>
      <c r="C87" s="90"/>
      <c r="D87" s="56"/>
      <c r="E87" s="84"/>
      <c r="F87" s="58"/>
      <c r="G87" s="58"/>
      <c r="H87" s="58"/>
      <c r="I87" s="58"/>
      <c r="J87" s="58"/>
      <c r="K87" s="58"/>
      <c r="L87" s="59">
        <f t="shared" si="23"/>
        <v>0</v>
      </c>
      <c r="M87" s="68"/>
      <c r="N87" s="68"/>
      <c r="O87" s="68"/>
      <c r="P87" s="68"/>
      <c r="Q87" s="99" t="e">
        <f t="shared" si="24"/>
        <v>#DIV/0!</v>
      </c>
      <c r="R87" s="100">
        <f t="shared" si="25"/>
        <v>0.43387671059875982</v>
      </c>
      <c r="S87" s="83"/>
      <c r="T87" s="83"/>
      <c r="U87" s="101">
        <f t="shared" si="26"/>
        <v>2021.2824107652905</v>
      </c>
      <c r="V87" s="45"/>
      <c r="W87" s="45"/>
      <c r="X87" s="45"/>
      <c r="Y87" s="45"/>
      <c r="Z87" s="45"/>
      <c r="AA87" s="45"/>
      <c r="AY87" s="66">
        <f t="shared" si="27"/>
        <v>70.8</v>
      </c>
      <c r="AZ87" s="66">
        <f t="shared" si="28"/>
        <v>900</v>
      </c>
      <c r="BA87" s="66">
        <f t="shared" si="29"/>
        <v>1000</v>
      </c>
      <c r="BB87" s="22">
        <f t="shared" si="30"/>
        <v>5.0000000000000001E-3</v>
      </c>
    </row>
    <row r="88" spans="2:54" x14ac:dyDescent="0.45">
      <c r="B88" s="45" t="s">
        <v>537</v>
      </c>
      <c r="C88" s="90"/>
      <c r="D88" s="56"/>
      <c r="E88" s="80"/>
      <c r="F88" s="58"/>
      <c r="G88" s="58"/>
      <c r="H88" s="58"/>
      <c r="I88" s="58"/>
      <c r="J88" s="58"/>
      <c r="K88" s="58"/>
      <c r="L88" s="59">
        <f t="shared" si="23"/>
        <v>0</v>
      </c>
      <c r="M88" s="68"/>
      <c r="N88" s="68"/>
      <c r="O88" s="68"/>
      <c r="P88" s="68"/>
      <c r="Q88" s="99" t="e">
        <f t="shared" si="24"/>
        <v>#DIV/0!</v>
      </c>
      <c r="R88" s="100">
        <f t="shared" si="25"/>
        <v>0.43387671059875982</v>
      </c>
      <c r="S88" s="83"/>
      <c r="T88" s="83"/>
      <c r="U88" s="101">
        <f t="shared" si="26"/>
        <v>2021.2824107652905</v>
      </c>
      <c r="V88" s="45"/>
      <c r="W88" s="45"/>
      <c r="X88" s="45"/>
      <c r="Y88" s="45"/>
      <c r="Z88" s="45"/>
      <c r="AA88" s="45"/>
      <c r="AY88" s="66">
        <f t="shared" si="27"/>
        <v>70.8</v>
      </c>
      <c r="AZ88" s="66">
        <f t="shared" si="28"/>
        <v>900</v>
      </c>
      <c r="BA88" s="66">
        <f t="shared" si="29"/>
        <v>1000</v>
      </c>
      <c r="BB88" s="22">
        <f t="shared" si="30"/>
        <v>5.0000000000000001E-3</v>
      </c>
    </row>
    <row r="89" spans="2:54" x14ac:dyDescent="0.45">
      <c r="B89" s="45" t="s">
        <v>538</v>
      </c>
      <c r="C89" s="90"/>
      <c r="D89" s="56"/>
      <c r="E89" s="80"/>
      <c r="F89" s="58"/>
      <c r="G89" s="58"/>
      <c r="H89" s="58"/>
      <c r="I89" s="58"/>
      <c r="J89" s="58"/>
      <c r="K89" s="58"/>
      <c r="L89" s="59">
        <f t="shared" si="23"/>
        <v>0</v>
      </c>
      <c r="M89" s="68"/>
      <c r="N89" s="68"/>
      <c r="O89" s="68"/>
      <c r="P89" s="68"/>
      <c r="Q89" s="99" t="e">
        <f t="shared" si="24"/>
        <v>#DIV/0!</v>
      </c>
      <c r="R89" s="100">
        <f t="shared" si="25"/>
        <v>0.43387671059875982</v>
      </c>
      <c r="S89" s="83"/>
      <c r="T89" s="83"/>
      <c r="U89" s="101">
        <f t="shared" si="26"/>
        <v>2021.2824107652905</v>
      </c>
      <c r="V89" s="45"/>
      <c r="W89" s="45"/>
      <c r="X89" s="45"/>
      <c r="Y89" s="45"/>
      <c r="Z89" s="45"/>
      <c r="AA89" s="45"/>
      <c r="AY89" s="66">
        <f t="shared" si="27"/>
        <v>70.8</v>
      </c>
      <c r="AZ89" s="66">
        <f t="shared" si="28"/>
        <v>900</v>
      </c>
      <c r="BA89" s="66">
        <f t="shared" si="29"/>
        <v>1000</v>
      </c>
      <c r="BB89" s="22">
        <f t="shared" si="30"/>
        <v>5.0000000000000001E-3</v>
      </c>
    </row>
    <row r="90" spans="2:54" x14ac:dyDescent="0.45">
      <c r="B90" s="45" t="s">
        <v>539</v>
      </c>
      <c r="C90" s="90"/>
      <c r="D90" s="56"/>
      <c r="E90" s="80"/>
      <c r="F90" s="68"/>
      <c r="G90" s="68"/>
      <c r="H90" s="68"/>
      <c r="I90" s="68"/>
      <c r="J90" s="68"/>
      <c r="K90" s="68"/>
      <c r="L90" s="59">
        <f t="shared" si="23"/>
        <v>0</v>
      </c>
      <c r="M90" s="68"/>
      <c r="N90" s="68"/>
      <c r="O90" s="68"/>
      <c r="P90" s="68"/>
      <c r="Q90" s="99" t="e">
        <f t="shared" si="24"/>
        <v>#DIV/0!</v>
      </c>
      <c r="R90" s="100">
        <f t="shared" si="25"/>
        <v>0.43387671059875982</v>
      </c>
      <c r="S90" s="83"/>
      <c r="T90" s="83"/>
      <c r="U90" s="101">
        <f t="shared" si="26"/>
        <v>2021.2824107652905</v>
      </c>
      <c r="V90" s="45"/>
      <c r="W90" s="45"/>
      <c r="X90" s="45"/>
      <c r="Y90" s="45"/>
      <c r="Z90" s="45"/>
      <c r="AA90" s="45"/>
      <c r="AY90" s="66">
        <f t="shared" si="27"/>
        <v>70.8</v>
      </c>
      <c r="AZ90" s="66">
        <f t="shared" si="28"/>
        <v>900</v>
      </c>
      <c r="BA90" s="66">
        <f t="shared" si="29"/>
        <v>1000</v>
      </c>
      <c r="BB90" s="22">
        <f t="shared" si="30"/>
        <v>5.0000000000000001E-3</v>
      </c>
    </row>
    <row r="91" spans="2:54" x14ac:dyDescent="0.45">
      <c r="B91" s="45" t="s">
        <v>540</v>
      </c>
      <c r="C91" s="90"/>
      <c r="D91" s="56"/>
      <c r="E91" s="80"/>
      <c r="F91" s="58"/>
      <c r="G91" s="58"/>
      <c r="H91" s="58"/>
      <c r="I91" s="58"/>
      <c r="J91" s="58"/>
      <c r="K91" s="58"/>
      <c r="L91" s="59">
        <f t="shared" si="23"/>
        <v>0</v>
      </c>
      <c r="M91" s="68"/>
      <c r="N91" s="68"/>
      <c r="O91" s="68"/>
      <c r="P91" s="68"/>
      <c r="Q91" s="99" t="e">
        <f t="shared" si="24"/>
        <v>#DIV/0!</v>
      </c>
      <c r="R91" s="100">
        <f t="shared" si="25"/>
        <v>0.43387671059875982</v>
      </c>
      <c r="S91" s="83"/>
      <c r="T91" s="83"/>
      <c r="U91" s="101">
        <f t="shared" si="26"/>
        <v>2021.2824107652905</v>
      </c>
      <c r="V91" s="45"/>
      <c r="W91" s="45"/>
      <c r="X91" s="45"/>
      <c r="Y91" s="45"/>
      <c r="Z91" s="45"/>
      <c r="AA91" s="45"/>
      <c r="AY91" s="66">
        <f t="shared" si="27"/>
        <v>70.8</v>
      </c>
      <c r="AZ91" s="66">
        <f t="shared" si="28"/>
        <v>900</v>
      </c>
      <c r="BA91" s="66">
        <f t="shared" si="29"/>
        <v>1000</v>
      </c>
      <c r="BB91" s="22">
        <f t="shared" si="30"/>
        <v>5.0000000000000001E-3</v>
      </c>
    </row>
    <row r="92" spans="2:54" x14ac:dyDescent="0.45">
      <c r="B92" s="45" t="s">
        <v>541</v>
      </c>
      <c r="C92" s="90"/>
      <c r="D92" s="56"/>
      <c r="E92" s="57"/>
      <c r="F92" s="58"/>
      <c r="G92" s="58"/>
      <c r="H92" s="58"/>
      <c r="I92" s="58"/>
      <c r="J92" s="58"/>
      <c r="K92" s="58"/>
      <c r="L92" s="59">
        <f t="shared" si="23"/>
        <v>0</v>
      </c>
      <c r="M92" s="68"/>
      <c r="N92" s="68"/>
      <c r="O92" s="68"/>
      <c r="P92" s="68"/>
      <c r="Q92" s="99" t="e">
        <f t="shared" si="24"/>
        <v>#DIV/0!</v>
      </c>
      <c r="R92" s="100">
        <f t="shared" si="25"/>
        <v>0.43387671059875982</v>
      </c>
      <c r="S92" s="83"/>
      <c r="T92" s="83"/>
      <c r="U92" s="101">
        <f t="shared" si="26"/>
        <v>2021.2824107652905</v>
      </c>
      <c r="V92" s="45"/>
      <c r="W92" s="45"/>
      <c r="X92" s="45"/>
      <c r="Y92" s="45"/>
      <c r="Z92" s="45"/>
      <c r="AA92" s="45"/>
      <c r="AY92" s="66">
        <f t="shared" si="27"/>
        <v>70.8</v>
      </c>
      <c r="AZ92" s="66">
        <f t="shared" si="28"/>
        <v>900</v>
      </c>
      <c r="BA92" s="66">
        <f t="shared" si="29"/>
        <v>1000</v>
      </c>
      <c r="BB92" s="22">
        <f t="shared" si="30"/>
        <v>5.0000000000000001E-3</v>
      </c>
    </row>
    <row r="93" spans="2:54" x14ac:dyDescent="0.45">
      <c r="B93" s="45" t="s">
        <v>542</v>
      </c>
      <c r="C93" s="90"/>
      <c r="D93" s="56"/>
      <c r="E93" s="84"/>
      <c r="F93" s="58"/>
      <c r="G93" s="58"/>
      <c r="H93" s="58"/>
      <c r="I93" s="58"/>
      <c r="J93" s="58"/>
      <c r="K93" s="58"/>
      <c r="L93" s="59">
        <f t="shared" si="23"/>
        <v>0</v>
      </c>
      <c r="M93" s="68"/>
      <c r="N93" s="68"/>
      <c r="O93" s="68"/>
      <c r="P93" s="68"/>
      <c r="Q93" s="99" t="e">
        <f t="shared" si="24"/>
        <v>#DIV/0!</v>
      </c>
      <c r="R93" s="100">
        <f t="shared" si="25"/>
        <v>0.43387671059875982</v>
      </c>
      <c r="S93" s="83"/>
      <c r="T93" s="83"/>
      <c r="U93" s="101">
        <f t="shared" si="26"/>
        <v>2021.2824107652905</v>
      </c>
      <c r="V93" s="45"/>
      <c r="W93" s="45"/>
      <c r="X93" s="45"/>
      <c r="Y93" s="45"/>
      <c r="Z93" s="45"/>
      <c r="AA93" s="45"/>
      <c r="AY93" s="66">
        <f t="shared" si="27"/>
        <v>70.8</v>
      </c>
      <c r="AZ93" s="66">
        <f t="shared" si="28"/>
        <v>900</v>
      </c>
      <c r="BA93" s="66">
        <f t="shared" si="29"/>
        <v>1000</v>
      </c>
      <c r="BB93" s="22">
        <f t="shared" si="30"/>
        <v>5.0000000000000001E-3</v>
      </c>
    </row>
    <row r="94" spans="2:54" x14ac:dyDescent="0.45">
      <c r="B94" s="45" t="s">
        <v>543</v>
      </c>
      <c r="C94" s="90"/>
      <c r="D94" s="56"/>
      <c r="E94" s="57"/>
      <c r="F94" s="58"/>
      <c r="G94" s="58"/>
      <c r="H94" s="58"/>
      <c r="I94" s="58"/>
      <c r="J94" s="58"/>
      <c r="K94" s="58"/>
      <c r="L94" s="59">
        <f t="shared" si="23"/>
        <v>0</v>
      </c>
      <c r="M94" s="68"/>
      <c r="N94" s="68"/>
      <c r="O94" s="68"/>
      <c r="P94" s="68"/>
      <c r="Q94" s="99" t="e">
        <f t="shared" si="24"/>
        <v>#DIV/0!</v>
      </c>
      <c r="R94" s="100">
        <f t="shared" si="25"/>
        <v>0.43387671059875982</v>
      </c>
      <c r="S94" s="83"/>
      <c r="T94" s="83"/>
      <c r="U94" s="101">
        <f t="shared" si="26"/>
        <v>2021.2824107652905</v>
      </c>
      <c r="V94" s="45"/>
      <c r="W94" s="45"/>
      <c r="X94" s="45"/>
      <c r="Y94" s="45"/>
      <c r="Z94" s="45"/>
      <c r="AA94" s="45"/>
      <c r="AY94" s="66">
        <f t="shared" si="27"/>
        <v>70.8</v>
      </c>
      <c r="AZ94" s="66">
        <f t="shared" si="28"/>
        <v>900</v>
      </c>
      <c r="BA94" s="66">
        <f t="shared" si="29"/>
        <v>1000</v>
      </c>
      <c r="BB94" s="22">
        <f t="shared" si="30"/>
        <v>5.0000000000000001E-3</v>
      </c>
    </row>
    <row r="95" spans="2:54" x14ac:dyDescent="0.45">
      <c r="B95" s="45" t="s">
        <v>544</v>
      </c>
      <c r="C95" s="90"/>
      <c r="D95" s="56"/>
      <c r="E95" s="80"/>
      <c r="F95" s="58"/>
      <c r="G95" s="58"/>
      <c r="H95" s="58"/>
      <c r="I95" s="58"/>
      <c r="J95" s="58"/>
      <c r="K95" s="58"/>
      <c r="L95" s="59">
        <f t="shared" si="23"/>
        <v>0</v>
      </c>
      <c r="M95" s="68"/>
      <c r="N95" s="68"/>
      <c r="O95" s="68"/>
      <c r="P95" s="68"/>
      <c r="Q95" s="99" t="e">
        <f t="shared" si="24"/>
        <v>#DIV/0!</v>
      </c>
      <c r="R95" s="100">
        <f t="shared" si="25"/>
        <v>0.43387671059875982</v>
      </c>
      <c r="S95" s="83"/>
      <c r="T95" s="83"/>
      <c r="U95" s="101">
        <f t="shared" si="26"/>
        <v>2021.2824107652905</v>
      </c>
      <c r="V95" s="45"/>
      <c r="W95" s="45"/>
      <c r="X95" s="45"/>
      <c r="Y95" s="45"/>
      <c r="Z95" s="45"/>
      <c r="AA95" s="45"/>
      <c r="AY95" s="66">
        <f t="shared" si="27"/>
        <v>70.8</v>
      </c>
      <c r="AZ95" s="66">
        <f t="shared" si="28"/>
        <v>900</v>
      </c>
      <c r="BA95" s="66">
        <f t="shared" si="29"/>
        <v>1000</v>
      </c>
      <c r="BB95" s="22">
        <f t="shared" si="30"/>
        <v>5.0000000000000001E-3</v>
      </c>
    </row>
    <row r="96" spans="2:54" x14ac:dyDescent="0.45">
      <c r="B96" s="45" t="s">
        <v>545</v>
      </c>
      <c r="C96" s="90"/>
      <c r="D96" s="56"/>
      <c r="E96" s="57"/>
      <c r="F96" s="58"/>
      <c r="G96" s="58"/>
      <c r="H96" s="58"/>
      <c r="I96" s="58"/>
      <c r="J96" s="58"/>
      <c r="K96" s="58"/>
      <c r="L96" s="59">
        <f t="shared" si="23"/>
        <v>0</v>
      </c>
      <c r="M96" s="68"/>
      <c r="N96" s="68"/>
      <c r="O96" s="68"/>
      <c r="P96" s="68"/>
      <c r="Q96" s="99" t="e">
        <f t="shared" si="24"/>
        <v>#DIV/0!</v>
      </c>
      <c r="R96" s="100">
        <f t="shared" si="25"/>
        <v>0.43387671059875982</v>
      </c>
      <c r="S96" s="83"/>
      <c r="T96" s="83"/>
      <c r="U96" s="101">
        <f t="shared" si="26"/>
        <v>2021.2824107652905</v>
      </c>
      <c r="V96" s="45"/>
      <c r="W96" s="45"/>
      <c r="X96" s="45"/>
      <c r="Y96" s="45"/>
      <c r="Z96" s="45"/>
      <c r="AA96" s="45"/>
      <c r="AY96" s="66">
        <f t="shared" si="27"/>
        <v>70.8</v>
      </c>
      <c r="AZ96" s="66">
        <f t="shared" si="28"/>
        <v>900</v>
      </c>
      <c r="BA96" s="66">
        <f t="shared" si="29"/>
        <v>1000</v>
      </c>
      <c r="BB96" s="22">
        <f t="shared" si="30"/>
        <v>5.0000000000000001E-3</v>
      </c>
    </row>
    <row r="97" spans="2:54" x14ac:dyDescent="0.45">
      <c r="B97" s="45" t="s">
        <v>546</v>
      </c>
      <c r="C97" s="90"/>
      <c r="D97" s="56"/>
      <c r="E97" s="84"/>
      <c r="F97" s="58"/>
      <c r="G97" s="58"/>
      <c r="H97" s="58"/>
      <c r="I97" s="58"/>
      <c r="J97" s="58"/>
      <c r="K97" s="58"/>
      <c r="L97" s="59">
        <f t="shared" si="23"/>
        <v>0</v>
      </c>
      <c r="M97" s="68"/>
      <c r="N97" s="68"/>
      <c r="O97" s="68"/>
      <c r="P97" s="68"/>
      <c r="Q97" s="99" t="e">
        <f t="shared" si="24"/>
        <v>#DIV/0!</v>
      </c>
      <c r="R97" s="100">
        <f t="shared" si="25"/>
        <v>0.43387671059875982</v>
      </c>
      <c r="S97" s="83"/>
      <c r="T97" s="83"/>
      <c r="U97" s="101">
        <f t="shared" si="26"/>
        <v>2021.2824107652905</v>
      </c>
      <c r="V97" s="45"/>
      <c r="W97" s="45"/>
      <c r="X97" s="45"/>
      <c r="Y97" s="45"/>
      <c r="Z97" s="45"/>
      <c r="AA97" s="45"/>
      <c r="AY97" s="66"/>
      <c r="AZ97" s="66"/>
      <c r="BA97" s="66"/>
      <c r="BB97" s="22"/>
    </row>
    <row r="98" spans="2:54" x14ac:dyDescent="0.45">
      <c r="B98" s="45" t="s">
        <v>547</v>
      </c>
      <c r="C98" s="90"/>
      <c r="D98" s="56"/>
      <c r="E98" s="80"/>
      <c r="F98" s="58"/>
      <c r="G98" s="58"/>
      <c r="H98" s="58"/>
      <c r="I98" s="58"/>
      <c r="J98" s="58"/>
      <c r="K98" s="58"/>
      <c r="L98" s="59">
        <f t="shared" si="23"/>
        <v>0</v>
      </c>
      <c r="M98" s="68"/>
      <c r="N98" s="68"/>
      <c r="O98" s="68"/>
      <c r="P98" s="68"/>
      <c r="Q98" s="99" t="e">
        <f t="shared" si="24"/>
        <v>#DIV/0!</v>
      </c>
      <c r="R98" s="100">
        <f t="shared" si="25"/>
        <v>0.43387671059875982</v>
      </c>
      <c r="S98" s="83"/>
      <c r="T98" s="83"/>
      <c r="U98" s="101">
        <f t="shared" si="26"/>
        <v>2021.2824107652905</v>
      </c>
      <c r="V98" s="45"/>
      <c r="W98" s="45"/>
      <c r="X98" s="45"/>
      <c r="Y98" s="45"/>
      <c r="Z98" s="45"/>
      <c r="AA98" s="45"/>
      <c r="AY98" s="66"/>
      <c r="AZ98" s="66"/>
      <c r="BA98" s="66"/>
      <c r="BB98" s="22"/>
    </row>
    <row r="99" spans="2:54" ht="16" customHeight="1" x14ac:dyDescent="0.45">
      <c r="B99" s="45" t="s">
        <v>548</v>
      </c>
      <c r="C99" s="90"/>
      <c r="D99" s="56"/>
      <c r="E99" s="57"/>
      <c r="F99" s="58"/>
      <c r="G99" s="58"/>
      <c r="H99" s="58"/>
      <c r="I99" s="58"/>
      <c r="J99" s="58"/>
      <c r="K99" s="58"/>
      <c r="L99" s="59">
        <f t="shared" si="23"/>
        <v>0</v>
      </c>
      <c r="M99" s="68"/>
      <c r="N99" s="68"/>
      <c r="O99" s="68"/>
      <c r="P99" s="68"/>
      <c r="Q99" s="99" t="e">
        <f t="shared" si="24"/>
        <v>#DIV/0!</v>
      </c>
      <c r="R99" s="100">
        <f t="shared" si="25"/>
        <v>0.43387671059875982</v>
      </c>
      <c r="S99" s="83"/>
      <c r="T99" s="83"/>
      <c r="U99" s="101">
        <f t="shared" si="26"/>
        <v>2021.2824107652905</v>
      </c>
      <c r="V99" s="45"/>
      <c r="W99" s="45"/>
      <c r="X99" s="45"/>
      <c r="Y99" s="45"/>
      <c r="Z99" s="45"/>
      <c r="AA99" s="45"/>
      <c r="AY99" s="66"/>
      <c r="AZ99" s="66"/>
      <c r="BA99" s="66"/>
      <c r="BB99" s="22"/>
    </row>
    <row r="100" spans="2:54" ht="16" customHeight="1" x14ac:dyDescent="0.45">
      <c r="B100" s="45" t="s">
        <v>549</v>
      </c>
      <c r="C100" s="90"/>
      <c r="D100" s="56"/>
      <c r="E100" s="57"/>
      <c r="F100" s="58"/>
      <c r="G100" s="58"/>
      <c r="H100" s="58"/>
      <c r="I100" s="58"/>
      <c r="J100" s="58"/>
      <c r="K100" s="58"/>
      <c r="L100" s="59">
        <f t="shared" si="23"/>
        <v>0</v>
      </c>
      <c r="M100" s="68"/>
      <c r="N100" s="68"/>
      <c r="O100" s="68"/>
      <c r="P100" s="68"/>
      <c r="Q100" s="99" t="e">
        <f t="shared" si="24"/>
        <v>#DIV/0!</v>
      </c>
      <c r="R100" s="100">
        <f t="shared" si="25"/>
        <v>0.43387671059875982</v>
      </c>
      <c r="S100" s="83"/>
      <c r="T100" s="83"/>
      <c r="U100" s="101">
        <f t="shared" si="26"/>
        <v>2021.2824107652905</v>
      </c>
      <c r="V100" s="45"/>
      <c r="W100" s="45"/>
      <c r="X100" s="45"/>
      <c r="Y100" s="45"/>
      <c r="Z100" s="45"/>
      <c r="AA100" s="45"/>
      <c r="AY100" s="66"/>
      <c r="AZ100" s="66"/>
      <c r="BA100" s="66"/>
      <c r="BB100" s="22"/>
    </row>
    <row r="101" spans="2:54" ht="16" customHeight="1" x14ac:dyDescent="0.45">
      <c r="B101" s="45" t="s">
        <v>550</v>
      </c>
      <c r="C101" s="90"/>
      <c r="D101" s="56"/>
      <c r="E101" s="57"/>
      <c r="F101" s="58"/>
      <c r="G101" s="58"/>
      <c r="H101" s="58"/>
      <c r="I101" s="58"/>
      <c r="J101" s="58"/>
      <c r="K101" s="58"/>
      <c r="L101" s="59">
        <f t="shared" si="23"/>
        <v>0</v>
      </c>
      <c r="M101" s="68"/>
      <c r="N101" s="68"/>
      <c r="O101" s="68"/>
      <c r="P101" s="68"/>
      <c r="Q101" s="99" t="e">
        <f t="shared" si="24"/>
        <v>#DIV/0!</v>
      </c>
      <c r="R101" s="100">
        <f t="shared" si="25"/>
        <v>0.43387671059875982</v>
      </c>
      <c r="S101" s="83"/>
      <c r="T101" s="83"/>
      <c r="U101" s="101">
        <f t="shared" si="26"/>
        <v>2021.2824107652905</v>
      </c>
      <c r="V101" s="45"/>
      <c r="W101" s="45"/>
      <c r="X101" s="45"/>
      <c r="Y101" s="45"/>
      <c r="Z101" s="45"/>
      <c r="AA101" s="45"/>
      <c r="AY101" s="66"/>
      <c r="AZ101" s="66"/>
      <c r="BA101" s="66"/>
      <c r="BB101" s="22"/>
    </row>
    <row r="102" spans="2:54" x14ac:dyDescent="0.45">
      <c r="B102" s="45" t="s">
        <v>551</v>
      </c>
      <c r="C102" s="90"/>
      <c r="D102" s="56"/>
      <c r="E102" s="57"/>
      <c r="F102" s="58"/>
      <c r="G102" s="58"/>
      <c r="H102" s="58"/>
      <c r="I102" s="58"/>
      <c r="J102" s="58"/>
      <c r="K102" s="58"/>
      <c r="L102" s="59">
        <f t="shared" si="23"/>
        <v>0</v>
      </c>
      <c r="M102" s="68"/>
      <c r="N102" s="68"/>
      <c r="O102" s="68"/>
      <c r="P102" s="68"/>
      <c r="Q102" s="99" t="e">
        <f t="shared" si="24"/>
        <v>#DIV/0!</v>
      </c>
      <c r="R102" s="100">
        <f t="shared" si="25"/>
        <v>0.43387671059875982</v>
      </c>
      <c r="S102" s="83"/>
      <c r="T102" s="83"/>
      <c r="U102" s="101">
        <f t="shared" si="26"/>
        <v>2021.2824107652905</v>
      </c>
      <c r="V102" s="45"/>
      <c r="W102" s="45"/>
      <c r="X102" s="45"/>
      <c r="Y102" s="45"/>
      <c r="Z102" s="45"/>
      <c r="AA102" s="45"/>
      <c r="AY102" s="66"/>
      <c r="AZ102" s="66"/>
      <c r="BA102" s="66"/>
      <c r="BB102" s="22"/>
    </row>
    <row r="103" spans="2:54" x14ac:dyDescent="0.45">
      <c r="B103" s="45" t="s">
        <v>552</v>
      </c>
      <c r="C103" s="90"/>
      <c r="D103" s="56"/>
      <c r="E103" s="57"/>
      <c r="F103" s="58"/>
      <c r="G103" s="58"/>
      <c r="H103" s="58"/>
      <c r="I103" s="58"/>
      <c r="J103" s="58"/>
      <c r="K103" s="58"/>
      <c r="L103" s="59">
        <f t="shared" si="23"/>
        <v>0</v>
      </c>
      <c r="M103" s="68"/>
      <c r="N103" s="68"/>
      <c r="O103" s="68"/>
      <c r="P103" s="68"/>
      <c r="Q103" s="99" t="e">
        <f t="shared" si="24"/>
        <v>#DIV/0!</v>
      </c>
      <c r="R103" s="100">
        <f t="shared" si="25"/>
        <v>0.43387671059875982</v>
      </c>
      <c r="S103" s="83"/>
      <c r="T103" s="83"/>
      <c r="U103" s="101">
        <f t="shared" si="26"/>
        <v>2021.2824107652905</v>
      </c>
      <c r="V103" s="45"/>
      <c r="W103" s="45"/>
      <c r="X103" s="45"/>
      <c r="Y103" s="45"/>
      <c r="Z103" s="45"/>
      <c r="AA103" s="45"/>
      <c r="AY103" s="66"/>
      <c r="AZ103" s="66"/>
      <c r="BA103" s="66"/>
      <c r="BB103" s="22"/>
    </row>
    <row r="104" spans="2:54" x14ac:dyDescent="0.45">
      <c r="B104" s="45" t="s">
        <v>553</v>
      </c>
      <c r="C104" s="90"/>
      <c r="D104" s="56"/>
      <c r="E104" s="57"/>
      <c r="F104" s="58"/>
      <c r="G104" s="58"/>
      <c r="H104" s="58"/>
      <c r="I104" s="58"/>
      <c r="J104" s="58"/>
      <c r="K104" s="58"/>
      <c r="L104" s="59">
        <f t="shared" si="23"/>
        <v>0</v>
      </c>
      <c r="M104" s="68"/>
      <c r="N104" s="68"/>
      <c r="O104" s="68"/>
      <c r="P104" s="68"/>
      <c r="Q104" s="99" t="e">
        <f t="shared" si="24"/>
        <v>#DIV/0!</v>
      </c>
      <c r="R104" s="100">
        <f t="shared" si="25"/>
        <v>0.43387671059875982</v>
      </c>
      <c r="S104" s="83"/>
      <c r="T104" s="83"/>
      <c r="U104" s="101">
        <f t="shared" si="26"/>
        <v>2021.2824107652905</v>
      </c>
      <c r="V104" s="45"/>
      <c r="W104" s="45"/>
      <c r="X104" s="45"/>
      <c r="Y104" s="45"/>
      <c r="Z104" s="45"/>
      <c r="AA104" s="45"/>
      <c r="AY104" s="66"/>
      <c r="AZ104" s="66"/>
      <c r="BA104" s="66"/>
      <c r="BB104" s="22"/>
    </row>
    <row r="105" spans="2:54" x14ac:dyDescent="0.45">
      <c r="B105" s="45" t="s">
        <v>554</v>
      </c>
      <c r="C105" s="90"/>
      <c r="D105" s="56"/>
      <c r="E105" s="57"/>
      <c r="F105" s="58"/>
      <c r="G105" s="58"/>
      <c r="H105" s="58"/>
      <c r="I105" s="58"/>
      <c r="J105" s="58"/>
      <c r="K105" s="58"/>
      <c r="L105" s="59">
        <f t="shared" si="23"/>
        <v>0</v>
      </c>
      <c r="M105" s="68"/>
      <c r="N105" s="68"/>
      <c r="O105" s="68"/>
      <c r="P105" s="68"/>
      <c r="Q105" s="99" t="e">
        <f t="shared" si="24"/>
        <v>#DIV/0!</v>
      </c>
      <c r="R105" s="100">
        <f t="shared" si="25"/>
        <v>0.43387671059875982</v>
      </c>
      <c r="S105" s="83"/>
      <c r="T105" s="83"/>
      <c r="U105" s="101">
        <f t="shared" si="26"/>
        <v>2021.2824107652905</v>
      </c>
      <c r="V105" s="45"/>
      <c r="W105" s="45"/>
      <c r="X105" s="45"/>
      <c r="Y105" s="45"/>
      <c r="Z105" s="45"/>
      <c r="AA105" s="45"/>
      <c r="AY105" s="66"/>
      <c r="AZ105" s="66"/>
      <c r="BA105" s="66"/>
      <c r="BB105" s="22"/>
    </row>
    <row r="106" spans="2:54" x14ac:dyDescent="0.45">
      <c r="B106" s="45" t="s">
        <v>555</v>
      </c>
      <c r="C106" s="90"/>
      <c r="D106" s="56"/>
      <c r="E106" s="57"/>
      <c r="F106" s="58"/>
      <c r="G106" s="58"/>
      <c r="H106" s="58"/>
      <c r="I106" s="58"/>
      <c r="J106" s="58"/>
      <c r="K106" s="58"/>
      <c r="L106" s="59">
        <f t="shared" si="23"/>
        <v>0</v>
      </c>
      <c r="M106" s="68"/>
      <c r="N106" s="68"/>
      <c r="O106" s="68"/>
      <c r="P106" s="68"/>
      <c r="Q106" s="99" t="e">
        <f t="shared" si="24"/>
        <v>#DIV/0!</v>
      </c>
      <c r="R106" s="100">
        <f t="shared" si="25"/>
        <v>0.43387671059875982</v>
      </c>
      <c r="S106" s="83"/>
      <c r="T106" s="83"/>
      <c r="U106" s="101">
        <f t="shared" si="26"/>
        <v>2021.2824107652905</v>
      </c>
      <c r="V106" s="45"/>
      <c r="W106" s="45"/>
      <c r="X106" s="45"/>
      <c r="Y106" s="45"/>
      <c r="Z106" s="45"/>
      <c r="AA106" s="45"/>
      <c r="AY106" s="66"/>
      <c r="AZ106" s="66"/>
      <c r="BA106" s="66"/>
      <c r="BB106" s="22"/>
    </row>
    <row r="107" spans="2:54" x14ac:dyDescent="0.45">
      <c r="B107" s="45" t="s">
        <v>556</v>
      </c>
      <c r="C107" s="90"/>
      <c r="D107" s="56"/>
      <c r="E107" s="57"/>
      <c r="F107" s="58"/>
      <c r="G107" s="58"/>
      <c r="H107" s="58"/>
      <c r="I107" s="58"/>
      <c r="J107" s="58"/>
      <c r="K107" s="58"/>
      <c r="L107" s="59">
        <f t="shared" si="23"/>
        <v>0</v>
      </c>
      <c r="M107" s="68"/>
      <c r="N107" s="68"/>
      <c r="O107" s="68"/>
      <c r="P107" s="68"/>
      <c r="Q107" s="99" t="e">
        <f t="shared" si="24"/>
        <v>#DIV/0!</v>
      </c>
      <c r="R107" s="100">
        <f t="shared" si="25"/>
        <v>0.43387671059875982</v>
      </c>
      <c r="S107" s="83"/>
      <c r="T107" s="83"/>
      <c r="U107" s="101">
        <f t="shared" si="26"/>
        <v>2021.2824107652905</v>
      </c>
      <c r="V107" s="45"/>
      <c r="W107" s="45"/>
      <c r="X107" s="45"/>
      <c r="Y107" s="45"/>
      <c r="Z107" s="45"/>
      <c r="AA107" s="45"/>
      <c r="AY107" s="66"/>
      <c r="AZ107" s="66"/>
      <c r="BA107" s="66"/>
      <c r="BB107" s="22"/>
    </row>
    <row r="108" spans="2:54" x14ac:dyDescent="0.45">
      <c r="B108" s="45" t="s">
        <v>557</v>
      </c>
      <c r="C108" s="90"/>
      <c r="D108" s="56"/>
      <c r="E108" s="57"/>
      <c r="F108" s="58"/>
      <c r="G108" s="58"/>
      <c r="H108" s="58"/>
      <c r="I108" s="58"/>
      <c r="J108" s="58"/>
      <c r="K108" s="58"/>
      <c r="L108" s="59">
        <f t="shared" si="23"/>
        <v>0</v>
      </c>
      <c r="M108" s="68"/>
      <c r="N108" s="68"/>
      <c r="O108" s="68"/>
      <c r="P108" s="68"/>
      <c r="Q108" s="99" t="e">
        <f t="shared" si="24"/>
        <v>#DIV/0!</v>
      </c>
      <c r="R108" s="100">
        <f t="shared" si="25"/>
        <v>0.43387671059875982</v>
      </c>
      <c r="S108" s="83"/>
      <c r="T108" s="83"/>
      <c r="U108" s="101">
        <f t="shared" si="26"/>
        <v>2021.2824107652905</v>
      </c>
      <c r="V108" s="45"/>
      <c r="W108" s="45"/>
      <c r="X108" s="45"/>
      <c r="Y108" s="45"/>
      <c r="Z108" s="45"/>
      <c r="AA108" s="45"/>
      <c r="AY108" s="66"/>
      <c r="AZ108" s="66"/>
      <c r="BA108" s="66"/>
      <c r="BB108" s="22"/>
    </row>
    <row r="109" spans="2:54" x14ac:dyDescent="0.45">
      <c r="B109" s="45" t="s">
        <v>558</v>
      </c>
      <c r="C109" s="90"/>
      <c r="D109" s="56"/>
      <c r="E109" s="57"/>
      <c r="F109" s="58"/>
      <c r="G109" s="58"/>
      <c r="H109" s="58"/>
      <c r="I109" s="58"/>
      <c r="J109" s="58"/>
      <c r="K109" s="58"/>
      <c r="L109" s="59">
        <f t="shared" si="23"/>
        <v>0</v>
      </c>
      <c r="M109" s="68"/>
      <c r="N109" s="68"/>
      <c r="O109" s="68"/>
      <c r="P109" s="68"/>
      <c r="Q109" s="99" t="e">
        <f t="shared" si="24"/>
        <v>#DIV/0!</v>
      </c>
      <c r="R109" s="100">
        <f t="shared" si="25"/>
        <v>0.43387671059875982</v>
      </c>
      <c r="S109" s="83"/>
      <c r="T109" s="83"/>
      <c r="U109" s="101">
        <f t="shared" si="26"/>
        <v>2021.2824107652905</v>
      </c>
      <c r="V109" s="45"/>
      <c r="W109" s="45"/>
      <c r="X109" s="45"/>
      <c r="Y109" s="45"/>
      <c r="Z109" s="45"/>
      <c r="AA109" s="45"/>
      <c r="AY109" s="66"/>
      <c r="AZ109" s="66"/>
      <c r="BA109" s="66"/>
      <c r="BB109" s="22"/>
    </row>
    <row r="110" spans="2:54" x14ac:dyDescent="0.45">
      <c r="B110" s="45" t="s">
        <v>82</v>
      </c>
      <c r="C110" s="90"/>
      <c r="D110" s="56"/>
      <c r="E110" s="57"/>
      <c r="F110" s="58"/>
      <c r="G110" s="58"/>
      <c r="H110" s="58"/>
      <c r="I110" s="58"/>
      <c r="J110" s="58"/>
      <c r="K110" s="58"/>
      <c r="L110" s="59">
        <f t="shared" si="23"/>
        <v>0</v>
      </c>
      <c r="M110" s="68"/>
      <c r="N110" s="68"/>
      <c r="O110" s="68"/>
      <c r="P110" s="68"/>
      <c r="Q110" s="99" t="e">
        <f t="shared" si="24"/>
        <v>#DIV/0!</v>
      </c>
      <c r="R110" s="100">
        <f t="shared" si="25"/>
        <v>0.43387671059875982</v>
      </c>
      <c r="S110" s="83"/>
      <c r="T110" s="83"/>
      <c r="U110" s="101">
        <f t="shared" si="26"/>
        <v>2021.2824107652905</v>
      </c>
      <c r="V110" s="45"/>
      <c r="W110" s="45"/>
      <c r="X110" s="45"/>
      <c r="Y110" s="45"/>
      <c r="Z110" s="45"/>
      <c r="AA110" s="45"/>
      <c r="AY110" s="66"/>
      <c r="AZ110" s="66"/>
      <c r="BA110" s="66"/>
      <c r="BB110" s="22"/>
    </row>
    <row r="111" spans="2:54" x14ac:dyDescent="0.45">
      <c r="B111" s="45" t="s">
        <v>83</v>
      </c>
      <c r="C111" s="90"/>
      <c r="D111" s="56"/>
      <c r="E111" s="57"/>
      <c r="F111" s="58"/>
      <c r="G111" s="58"/>
      <c r="H111" s="58"/>
      <c r="I111" s="58"/>
      <c r="J111" s="58"/>
      <c r="K111" s="58"/>
      <c r="L111" s="59">
        <f t="shared" si="23"/>
        <v>0</v>
      </c>
      <c r="M111" s="68"/>
      <c r="N111" s="68"/>
      <c r="O111" s="68"/>
      <c r="P111" s="68"/>
      <c r="Q111" s="99" t="e">
        <f t="shared" si="24"/>
        <v>#DIV/0!</v>
      </c>
      <c r="R111" s="100">
        <f t="shared" si="25"/>
        <v>0.43387671059875982</v>
      </c>
      <c r="S111" s="83"/>
      <c r="T111" s="83"/>
      <c r="U111" s="101">
        <f t="shared" si="26"/>
        <v>2021.2824107652905</v>
      </c>
      <c r="V111" s="45"/>
      <c r="W111" s="45"/>
      <c r="X111" s="45"/>
      <c r="Y111" s="45"/>
      <c r="Z111" s="45"/>
      <c r="AA111" s="45"/>
      <c r="AY111" s="66"/>
      <c r="AZ111" s="66"/>
      <c r="BA111" s="66"/>
      <c r="BB111" s="22"/>
    </row>
    <row r="112" spans="2:54" x14ac:dyDescent="0.45">
      <c r="B112" s="45" t="s">
        <v>84</v>
      </c>
      <c r="C112" s="90"/>
      <c r="D112" s="56"/>
      <c r="E112" s="57"/>
      <c r="F112" s="58"/>
      <c r="G112" s="58"/>
      <c r="H112" s="58"/>
      <c r="I112" s="58"/>
      <c r="J112" s="58"/>
      <c r="K112" s="58"/>
      <c r="L112" s="59">
        <f t="shared" si="23"/>
        <v>0</v>
      </c>
      <c r="M112" s="68"/>
      <c r="N112" s="68"/>
      <c r="O112" s="68"/>
      <c r="P112" s="68"/>
      <c r="Q112" s="99" t="e">
        <f t="shared" si="24"/>
        <v>#DIV/0!</v>
      </c>
      <c r="R112" s="100">
        <f t="shared" si="25"/>
        <v>0.43387671059875982</v>
      </c>
      <c r="S112" s="83"/>
      <c r="T112" s="83"/>
      <c r="U112" s="101">
        <f t="shared" si="26"/>
        <v>2021.2824107652905</v>
      </c>
      <c r="V112" s="45"/>
      <c r="W112" s="45"/>
      <c r="X112" s="45"/>
      <c r="Y112" s="45"/>
      <c r="Z112" s="45"/>
      <c r="AA112" s="45"/>
      <c r="AY112" s="66"/>
      <c r="AZ112" s="66"/>
      <c r="BA112" s="66"/>
      <c r="BB112" s="22"/>
    </row>
    <row r="113" spans="2:54" x14ac:dyDescent="0.45">
      <c r="B113" s="45" t="s">
        <v>85</v>
      </c>
      <c r="C113" s="90"/>
      <c r="D113" s="56"/>
      <c r="E113" s="57"/>
      <c r="F113" s="58"/>
      <c r="G113" s="58"/>
      <c r="H113" s="58"/>
      <c r="I113" s="58"/>
      <c r="J113" s="58"/>
      <c r="K113" s="58"/>
      <c r="L113" s="59">
        <f t="shared" si="23"/>
        <v>0</v>
      </c>
      <c r="M113" s="68"/>
      <c r="N113" s="68"/>
      <c r="O113" s="68"/>
      <c r="P113" s="68"/>
      <c r="Q113" s="99" t="e">
        <f t="shared" si="24"/>
        <v>#DIV/0!</v>
      </c>
      <c r="R113" s="100">
        <f t="shared" si="25"/>
        <v>0.43387671059875982</v>
      </c>
      <c r="S113" s="83"/>
      <c r="T113" s="83"/>
      <c r="U113" s="101">
        <f t="shared" si="26"/>
        <v>2021.2824107652905</v>
      </c>
      <c r="V113" s="45"/>
      <c r="W113" s="45"/>
      <c r="X113" s="45"/>
      <c r="Y113" s="45"/>
      <c r="Z113" s="45"/>
      <c r="AA113" s="45"/>
      <c r="AY113" s="66"/>
      <c r="AZ113" s="66"/>
      <c r="BA113" s="66"/>
      <c r="BB113" s="22"/>
    </row>
    <row r="114" spans="2:54" ht="16" customHeight="1" x14ac:dyDescent="0.45">
      <c r="B114" s="45" t="s">
        <v>86</v>
      </c>
      <c r="C114" s="90"/>
      <c r="D114" s="56"/>
      <c r="E114" s="57"/>
      <c r="F114" s="58"/>
      <c r="G114" s="58"/>
      <c r="H114" s="58"/>
      <c r="I114" s="58"/>
      <c r="J114" s="58"/>
      <c r="K114" s="58"/>
      <c r="L114" s="59">
        <f t="shared" si="23"/>
        <v>0</v>
      </c>
      <c r="M114" s="68"/>
      <c r="N114" s="68"/>
      <c r="O114" s="68"/>
      <c r="P114" s="68"/>
      <c r="Q114" s="99" t="e">
        <f t="shared" si="24"/>
        <v>#DIV/0!</v>
      </c>
      <c r="R114" s="100">
        <f t="shared" si="25"/>
        <v>0.43387671059875982</v>
      </c>
      <c r="S114" s="83"/>
      <c r="T114" s="83"/>
      <c r="U114" s="101">
        <f t="shared" si="26"/>
        <v>2021.2824107652905</v>
      </c>
      <c r="V114" s="45"/>
      <c r="W114" s="45"/>
      <c r="X114" s="45"/>
      <c r="Y114" s="45"/>
      <c r="Z114" s="45"/>
      <c r="AA114" s="45"/>
      <c r="AY114" s="66"/>
      <c r="AZ114" s="66"/>
      <c r="BA114" s="66"/>
      <c r="BB114" s="22"/>
    </row>
    <row r="115" spans="2:54" ht="16" customHeight="1" x14ac:dyDescent="0.45">
      <c r="B115" s="45" t="s">
        <v>87</v>
      </c>
      <c r="C115" s="90"/>
      <c r="D115" s="56"/>
      <c r="E115" s="57"/>
      <c r="F115" s="58"/>
      <c r="G115" s="58"/>
      <c r="H115" s="58"/>
      <c r="I115" s="58"/>
      <c r="J115" s="58"/>
      <c r="K115" s="58"/>
      <c r="L115" s="59">
        <f t="shared" si="23"/>
        <v>0</v>
      </c>
      <c r="M115" s="68"/>
      <c r="N115" s="68"/>
      <c r="O115" s="68"/>
      <c r="P115" s="68"/>
      <c r="Q115" s="99" t="e">
        <f t="shared" si="24"/>
        <v>#DIV/0!</v>
      </c>
      <c r="R115" s="100">
        <f t="shared" si="25"/>
        <v>0.43387671059875982</v>
      </c>
      <c r="S115" s="83"/>
      <c r="T115" s="83"/>
      <c r="U115" s="101">
        <f t="shared" si="26"/>
        <v>2021.2824107652905</v>
      </c>
      <c r="V115" s="45"/>
      <c r="W115" s="45"/>
      <c r="X115" s="45"/>
      <c r="Y115" s="45"/>
      <c r="Z115" s="45"/>
      <c r="AA115" s="45"/>
      <c r="AY115" s="66"/>
      <c r="AZ115" s="66"/>
      <c r="BA115" s="66"/>
      <c r="BB115" s="22"/>
    </row>
    <row r="116" spans="2:54" ht="16" customHeight="1" x14ac:dyDescent="0.45">
      <c r="B116" s="45" t="s">
        <v>88</v>
      </c>
      <c r="C116" s="90"/>
      <c r="D116" s="56"/>
      <c r="E116" s="57"/>
      <c r="F116" s="58"/>
      <c r="G116" s="58"/>
      <c r="H116" s="58"/>
      <c r="I116" s="58"/>
      <c r="J116" s="58"/>
      <c r="K116" s="58"/>
      <c r="L116" s="59">
        <f t="shared" si="23"/>
        <v>0</v>
      </c>
      <c r="M116" s="68"/>
      <c r="N116" s="68"/>
      <c r="O116" s="68"/>
      <c r="P116" s="68"/>
      <c r="Q116" s="99" t="e">
        <f t="shared" si="24"/>
        <v>#DIV/0!</v>
      </c>
      <c r="R116" s="100">
        <f t="shared" si="25"/>
        <v>0.43387671059875982</v>
      </c>
      <c r="S116" s="83"/>
      <c r="T116" s="83"/>
      <c r="U116" s="101">
        <f t="shared" si="26"/>
        <v>2021.2824107652905</v>
      </c>
      <c r="V116" s="45"/>
      <c r="W116" s="45"/>
      <c r="X116" s="45"/>
      <c r="Y116" s="45"/>
      <c r="Z116" s="45"/>
      <c r="AA116" s="45"/>
      <c r="AY116" s="66"/>
      <c r="AZ116" s="66"/>
      <c r="BA116" s="66"/>
      <c r="BB116" s="22"/>
    </row>
    <row r="117" spans="2:54" ht="16" customHeight="1" x14ac:dyDescent="0.45">
      <c r="B117" s="45" t="s">
        <v>89</v>
      </c>
      <c r="C117" s="90"/>
      <c r="D117" s="56"/>
      <c r="E117" s="57"/>
      <c r="F117" s="58"/>
      <c r="G117" s="58"/>
      <c r="H117" s="58"/>
      <c r="I117" s="58"/>
      <c r="J117" s="58"/>
      <c r="K117" s="58"/>
      <c r="L117" s="59">
        <f t="shared" si="23"/>
        <v>0</v>
      </c>
      <c r="M117" s="68"/>
      <c r="N117" s="68"/>
      <c r="O117" s="68"/>
      <c r="P117" s="68"/>
      <c r="Q117" s="99" t="e">
        <f t="shared" si="24"/>
        <v>#DIV/0!</v>
      </c>
      <c r="R117" s="100">
        <f t="shared" si="25"/>
        <v>0.43387671059875982</v>
      </c>
      <c r="S117" s="83"/>
      <c r="T117" s="83"/>
      <c r="U117" s="101">
        <f t="shared" si="26"/>
        <v>2021.2824107652905</v>
      </c>
      <c r="V117" s="45"/>
      <c r="W117" s="45"/>
      <c r="X117" s="45"/>
      <c r="Y117" s="45"/>
      <c r="Z117" s="45"/>
      <c r="AA117" s="45"/>
      <c r="AY117" s="66"/>
      <c r="AZ117" s="66"/>
      <c r="BA117" s="66"/>
      <c r="BB117" s="22"/>
    </row>
    <row r="118" spans="2:54" x14ac:dyDescent="0.45">
      <c r="B118" s="45" t="s">
        <v>90</v>
      </c>
      <c r="C118" s="90"/>
      <c r="D118" s="56"/>
      <c r="E118" s="57"/>
      <c r="F118" s="58"/>
      <c r="G118" s="58"/>
      <c r="H118" s="58"/>
      <c r="I118" s="58"/>
      <c r="J118" s="58"/>
      <c r="K118" s="58"/>
      <c r="L118" s="59">
        <f t="shared" si="23"/>
        <v>0</v>
      </c>
      <c r="M118" s="68"/>
      <c r="N118" s="68"/>
      <c r="O118" s="68"/>
      <c r="P118" s="68"/>
      <c r="Q118" s="99" t="e">
        <f t="shared" si="24"/>
        <v>#DIV/0!</v>
      </c>
      <c r="R118" s="100">
        <f t="shared" si="25"/>
        <v>0.43387671059875982</v>
      </c>
      <c r="S118" s="83"/>
      <c r="T118" s="83"/>
      <c r="U118" s="101">
        <f t="shared" si="26"/>
        <v>2021.2824107652905</v>
      </c>
      <c r="V118" s="45"/>
      <c r="W118" s="45"/>
      <c r="X118" s="45"/>
      <c r="Y118" s="45"/>
      <c r="Z118" s="45"/>
      <c r="AA118" s="45"/>
      <c r="AY118" s="66"/>
      <c r="AZ118" s="66"/>
      <c r="BA118" s="66"/>
      <c r="BB118" s="22"/>
    </row>
    <row r="119" spans="2:54" x14ac:dyDescent="0.45">
      <c r="B119" s="45" t="s">
        <v>91</v>
      </c>
      <c r="C119" s="90"/>
      <c r="D119" s="56"/>
      <c r="E119" s="57"/>
      <c r="F119" s="58"/>
      <c r="G119" s="58"/>
      <c r="H119" s="58"/>
      <c r="I119" s="58"/>
      <c r="J119" s="58"/>
      <c r="K119" s="58"/>
      <c r="L119" s="59">
        <f t="shared" si="23"/>
        <v>0</v>
      </c>
      <c r="M119" s="68"/>
      <c r="N119" s="68"/>
      <c r="O119" s="68"/>
      <c r="P119" s="68"/>
      <c r="Q119" s="99" t="e">
        <f t="shared" si="24"/>
        <v>#DIV/0!</v>
      </c>
      <c r="R119" s="100">
        <f t="shared" si="25"/>
        <v>0.43387671059875982</v>
      </c>
      <c r="S119" s="83"/>
      <c r="T119" s="83"/>
      <c r="U119" s="101">
        <f t="shared" si="26"/>
        <v>2021.2824107652905</v>
      </c>
      <c r="V119" s="45"/>
      <c r="W119" s="45"/>
      <c r="X119" s="45"/>
      <c r="Y119" s="45"/>
      <c r="Z119" s="45"/>
      <c r="AA119" s="45"/>
      <c r="AY119" s="66"/>
      <c r="AZ119" s="66"/>
      <c r="BA119" s="66"/>
      <c r="BB119" s="22"/>
    </row>
    <row r="120" spans="2:54" x14ac:dyDescent="0.45">
      <c r="B120" s="45" t="s">
        <v>92</v>
      </c>
      <c r="C120" s="90"/>
      <c r="D120" s="56"/>
      <c r="E120" s="80"/>
      <c r="F120" s="58"/>
      <c r="G120" s="58"/>
      <c r="H120" s="58"/>
      <c r="I120" s="58"/>
      <c r="J120" s="58"/>
      <c r="K120" s="58"/>
      <c r="L120" s="59">
        <f t="shared" si="23"/>
        <v>0</v>
      </c>
      <c r="M120" s="68"/>
      <c r="N120" s="68"/>
      <c r="O120" s="68"/>
      <c r="P120" s="68"/>
      <c r="Q120" s="99" t="e">
        <f t="shared" si="24"/>
        <v>#DIV/0!</v>
      </c>
      <c r="R120" s="100">
        <f t="shared" si="25"/>
        <v>0.43387671059875982</v>
      </c>
      <c r="S120" s="83"/>
      <c r="T120" s="83"/>
      <c r="U120" s="101">
        <f t="shared" si="26"/>
        <v>2021.2824107652905</v>
      </c>
      <c r="V120" s="45"/>
      <c r="W120" s="45"/>
      <c r="X120" s="45"/>
      <c r="Y120" s="45"/>
      <c r="Z120" s="45"/>
      <c r="AA120" s="45"/>
      <c r="AY120" s="66"/>
      <c r="AZ120" s="66"/>
      <c r="BA120" s="66"/>
      <c r="BB120" s="22"/>
    </row>
    <row r="121" spans="2:54" x14ac:dyDescent="0.45">
      <c r="B121" s="45" t="s">
        <v>93</v>
      </c>
      <c r="C121" s="90"/>
      <c r="D121" s="56"/>
      <c r="E121" s="57"/>
      <c r="F121" s="58"/>
      <c r="G121" s="58"/>
      <c r="H121" s="58"/>
      <c r="I121" s="58"/>
      <c r="J121" s="58"/>
      <c r="K121" s="58"/>
      <c r="L121" s="59">
        <f t="shared" si="23"/>
        <v>0</v>
      </c>
      <c r="M121" s="68"/>
      <c r="N121" s="68"/>
      <c r="O121" s="68"/>
      <c r="P121" s="68"/>
      <c r="Q121" s="99" t="e">
        <f t="shared" si="24"/>
        <v>#DIV/0!</v>
      </c>
      <c r="R121" s="100">
        <f t="shared" si="25"/>
        <v>0.43387671059875982</v>
      </c>
      <c r="S121" s="83"/>
      <c r="T121" s="83"/>
      <c r="U121" s="101">
        <f t="shared" si="26"/>
        <v>2021.2824107652905</v>
      </c>
      <c r="V121" s="45"/>
      <c r="W121" s="45"/>
      <c r="X121" s="45"/>
      <c r="Y121" s="45"/>
      <c r="Z121" s="45"/>
      <c r="AA121" s="45"/>
      <c r="AY121" s="66"/>
      <c r="AZ121" s="66"/>
      <c r="BA121" s="66"/>
      <c r="BB121" s="22"/>
    </row>
    <row r="122" spans="2:54" x14ac:dyDescent="0.45">
      <c r="B122" s="45" t="s">
        <v>94</v>
      </c>
      <c r="C122" s="90"/>
      <c r="D122" s="56"/>
      <c r="E122" s="84"/>
      <c r="F122" s="58"/>
      <c r="G122" s="58"/>
      <c r="H122" s="58"/>
      <c r="I122" s="58"/>
      <c r="J122" s="58"/>
      <c r="K122" s="58"/>
      <c r="L122" s="59">
        <f t="shared" si="23"/>
        <v>0</v>
      </c>
      <c r="M122" s="68"/>
      <c r="N122" s="68"/>
      <c r="O122" s="68"/>
      <c r="P122" s="68"/>
      <c r="Q122" s="99" t="e">
        <f t="shared" si="24"/>
        <v>#DIV/0!</v>
      </c>
      <c r="R122" s="100">
        <f t="shared" si="25"/>
        <v>0.43387671059875982</v>
      </c>
      <c r="S122" s="83"/>
      <c r="T122" s="83"/>
      <c r="U122" s="101">
        <f t="shared" si="26"/>
        <v>2021.2824107652905</v>
      </c>
      <c r="V122" s="45"/>
      <c r="W122" s="45"/>
      <c r="X122" s="45"/>
      <c r="Y122" s="45"/>
      <c r="Z122" s="45"/>
      <c r="AA122" s="45"/>
      <c r="AY122" s="66"/>
      <c r="AZ122" s="66"/>
      <c r="BA122" s="66"/>
      <c r="BB122" s="22"/>
    </row>
    <row r="123" spans="2:54" x14ac:dyDescent="0.45">
      <c r="B123" s="45" t="s">
        <v>95</v>
      </c>
      <c r="C123" s="90"/>
      <c r="D123" s="56"/>
      <c r="E123" s="84"/>
      <c r="F123" s="58"/>
      <c r="G123" s="58"/>
      <c r="H123" s="58"/>
      <c r="I123" s="58"/>
      <c r="J123" s="58"/>
      <c r="K123" s="58"/>
      <c r="L123" s="59">
        <f t="shared" si="23"/>
        <v>0</v>
      </c>
      <c r="M123" s="68"/>
      <c r="N123" s="68"/>
      <c r="O123" s="68"/>
      <c r="P123" s="68"/>
      <c r="Q123" s="99" t="e">
        <f t="shared" si="24"/>
        <v>#DIV/0!</v>
      </c>
      <c r="R123" s="100">
        <f t="shared" si="25"/>
        <v>0.43387671059875982</v>
      </c>
      <c r="S123" s="83"/>
      <c r="T123" s="83"/>
      <c r="U123" s="101">
        <f t="shared" si="26"/>
        <v>2021.2824107652905</v>
      </c>
      <c r="V123" s="45"/>
      <c r="W123" s="45"/>
      <c r="X123" s="45"/>
      <c r="Y123" s="45"/>
      <c r="Z123" s="45"/>
      <c r="AA123" s="45"/>
      <c r="AY123" s="66"/>
      <c r="AZ123" s="66"/>
      <c r="BA123" s="66"/>
      <c r="BB123" s="22"/>
    </row>
    <row r="124" spans="2:54" x14ac:dyDescent="0.45">
      <c r="B124" s="45" t="s">
        <v>96</v>
      </c>
      <c r="C124" s="90"/>
      <c r="D124" s="56"/>
      <c r="E124" s="57"/>
      <c r="F124" s="58"/>
      <c r="G124" s="58"/>
      <c r="H124" s="58"/>
      <c r="I124" s="58"/>
      <c r="J124" s="58"/>
      <c r="K124" s="58"/>
      <c r="L124" s="59">
        <f t="shared" si="23"/>
        <v>0</v>
      </c>
      <c r="M124" s="68"/>
      <c r="N124" s="68"/>
      <c r="O124" s="68"/>
      <c r="P124" s="68"/>
      <c r="Q124" s="99" t="e">
        <f t="shared" si="24"/>
        <v>#DIV/0!</v>
      </c>
      <c r="R124" s="100">
        <f t="shared" si="25"/>
        <v>0.43387671059875982</v>
      </c>
      <c r="S124" s="83"/>
      <c r="T124" s="83"/>
      <c r="U124" s="101">
        <f t="shared" si="26"/>
        <v>2021.2824107652905</v>
      </c>
      <c r="V124" s="45"/>
      <c r="W124" s="45"/>
      <c r="X124" s="45"/>
      <c r="Y124" s="45"/>
      <c r="Z124" s="45"/>
      <c r="AA124" s="45"/>
      <c r="AY124" s="66"/>
      <c r="AZ124" s="66"/>
      <c r="BA124" s="66"/>
      <c r="BB124" s="22"/>
    </row>
    <row r="125" spans="2:54" x14ac:dyDescent="0.45">
      <c r="B125" s="45" t="s">
        <v>97</v>
      </c>
      <c r="C125" s="90"/>
      <c r="D125" s="56"/>
      <c r="E125" s="57"/>
      <c r="F125" s="68"/>
      <c r="G125" s="68"/>
      <c r="H125" s="68"/>
      <c r="I125" s="68"/>
      <c r="J125" s="68"/>
      <c r="K125" s="68"/>
      <c r="L125" s="59">
        <f t="shared" si="23"/>
        <v>0</v>
      </c>
      <c r="M125" s="68"/>
      <c r="N125" s="68"/>
      <c r="O125" s="68"/>
      <c r="P125" s="68"/>
      <c r="Q125" s="99" t="e">
        <f t="shared" si="24"/>
        <v>#DIV/0!</v>
      </c>
      <c r="R125" s="100">
        <f t="shared" si="25"/>
        <v>0.43387671059875982</v>
      </c>
      <c r="S125" s="83"/>
      <c r="T125" s="83"/>
      <c r="U125" s="101">
        <f t="shared" si="26"/>
        <v>2021.2824107652905</v>
      </c>
      <c r="V125" s="45"/>
      <c r="W125" s="45"/>
      <c r="X125" s="45"/>
      <c r="Y125" s="45"/>
      <c r="Z125" s="45"/>
      <c r="AA125" s="45"/>
      <c r="AY125" s="66"/>
      <c r="AZ125" s="66"/>
      <c r="BA125" s="66"/>
      <c r="BB125" s="22"/>
    </row>
    <row r="126" spans="2:54" ht="16" customHeight="1" x14ac:dyDescent="0.45">
      <c r="B126" s="45" t="s">
        <v>98</v>
      </c>
      <c r="C126" s="90"/>
      <c r="D126" s="56"/>
      <c r="E126" s="80"/>
      <c r="F126" s="58"/>
      <c r="G126" s="58"/>
      <c r="H126" s="58"/>
      <c r="I126" s="58"/>
      <c r="J126" s="58"/>
      <c r="K126" s="58"/>
      <c r="L126" s="59">
        <f t="shared" si="23"/>
        <v>0</v>
      </c>
      <c r="M126" s="68"/>
      <c r="N126" s="68"/>
      <c r="O126" s="68"/>
      <c r="P126" s="68"/>
      <c r="Q126" s="99" t="e">
        <f t="shared" si="24"/>
        <v>#DIV/0!</v>
      </c>
      <c r="R126" s="100">
        <f t="shared" si="25"/>
        <v>0.43387671059875982</v>
      </c>
      <c r="S126" s="83"/>
      <c r="T126" s="83"/>
      <c r="U126" s="101">
        <f t="shared" si="26"/>
        <v>2021.2824107652905</v>
      </c>
      <c r="V126" s="45"/>
      <c r="W126" s="45"/>
      <c r="X126" s="45"/>
      <c r="Y126" s="45"/>
      <c r="Z126" s="45"/>
      <c r="AA126" s="45"/>
      <c r="AY126" s="66"/>
      <c r="AZ126" s="66"/>
      <c r="BA126" s="66"/>
      <c r="BB126" s="22"/>
    </row>
    <row r="127" spans="2:54" ht="16" customHeight="1" x14ac:dyDescent="0.45">
      <c r="B127" s="45" t="s">
        <v>99</v>
      </c>
      <c r="C127" s="90"/>
      <c r="D127" s="56"/>
      <c r="E127" s="84"/>
      <c r="F127" s="68"/>
      <c r="G127" s="68"/>
      <c r="H127" s="68"/>
      <c r="I127" s="68"/>
      <c r="J127" s="68"/>
      <c r="K127" s="68"/>
      <c r="L127" s="59">
        <f t="shared" si="23"/>
        <v>0</v>
      </c>
      <c r="M127" s="68"/>
      <c r="N127" s="68"/>
      <c r="O127" s="68"/>
      <c r="P127" s="68"/>
      <c r="Q127" s="99" t="e">
        <f t="shared" si="24"/>
        <v>#DIV/0!</v>
      </c>
      <c r="R127" s="100">
        <f t="shared" si="25"/>
        <v>0.43387671059875982</v>
      </c>
      <c r="S127" s="83"/>
      <c r="T127" s="83"/>
      <c r="U127" s="101">
        <f t="shared" si="26"/>
        <v>2021.2824107652905</v>
      </c>
      <c r="V127" s="45"/>
      <c r="W127" s="45"/>
      <c r="X127" s="45"/>
      <c r="Y127" s="45"/>
      <c r="Z127" s="45"/>
      <c r="AA127" s="45"/>
      <c r="AY127" s="66"/>
      <c r="AZ127" s="66"/>
      <c r="BA127" s="66"/>
      <c r="BB127" s="22"/>
    </row>
    <row r="128" spans="2:54" ht="16" customHeight="1" x14ac:dyDescent="0.45">
      <c r="B128" s="45" t="s">
        <v>100</v>
      </c>
      <c r="C128" s="90"/>
      <c r="D128" s="56"/>
      <c r="E128" s="84"/>
      <c r="F128" s="58"/>
      <c r="G128" s="58"/>
      <c r="H128" s="58"/>
      <c r="I128" s="58"/>
      <c r="J128" s="58"/>
      <c r="K128" s="58"/>
      <c r="L128" s="59">
        <f t="shared" si="23"/>
        <v>0</v>
      </c>
      <c r="M128" s="68"/>
      <c r="N128" s="68"/>
      <c r="O128" s="68"/>
      <c r="P128" s="68"/>
      <c r="Q128" s="99" t="e">
        <f t="shared" si="24"/>
        <v>#DIV/0!</v>
      </c>
      <c r="R128" s="100">
        <f t="shared" si="25"/>
        <v>0.43387671059875982</v>
      </c>
      <c r="S128" s="83"/>
      <c r="T128" s="83"/>
      <c r="U128" s="101">
        <f t="shared" si="26"/>
        <v>2021.2824107652905</v>
      </c>
      <c r="V128" s="45"/>
      <c r="W128" s="45"/>
      <c r="X128" s="45"/>
      <c r="Y128" s="45"/>
      <c r="Z128" s="45"/>
      <c r="AA128" s="45"/>
      <c r="AY128" s="66"/>
      <c r="AZ128" s="66"/>
      <c r="BA128" s="66"/>
      <c r="BB128" s="22"/>
    </row>
    <row r="129" spans="2:54" ht="16" customHeight="1" x14ac:dyDescent="0.45">
      <c r="B129" s="45" t="s">
        <v>101</v>
      </c>
      <c r="C129" s="90"/>
      <c r="D129" s="56"/>
      <c r="E129" s="80"/>
      <c r="F129" s="58"/>
      <c r="G129" s="58"/>
      <c r="H129" s="58"/>
      <c r="I129" s="58"/>
      <c r="J129" s="58"/>
      <c r="K129" s="58"/>
      <c r="L129" s="59">
        <f t="shared" si="23"/>
        <v>0</v>
      </c>
      <c r="M129" s="68"/>
      <c r="N129" s="68"/>
      <c r="O129" s="68"/>
      <c r="P129" s="68"/>
      <c r="Q129" s="99" t="e">
        <f t="shared" si="24"/>
        <v>#DIV/0!</v>
      </c>
      <c r="R129" s="100">
        <f t="shared" si="25"/>
        <v>0.43387671059875982</v>
      </c>
      <c r="S129" s="83"/>
      <c r="T129" s="83"/>
      <c r="U129" s="101">
        <f t="shared" si="26"/>
        <v>2021.2824107652905</v>
      </c>
      <c r="V129" s="45"/>
      <c r="W129" s="45"/>
      <c r="X129" s="45"/>
      <c r="Y129" s="45"/>
      <c r="Z129" s="45"/>
      <c r="AA129" s="45"/>
      <c r="AY129" s="66"/>
      <c r="AZ129" s="66"/>
      <c r="BA129" s="66"/>
      <c r="BB129" s="22"/>
    </row>
    <row r="130" spans="2:54" x14ac:dyDescent="0.45">
      <c r="B130" s="45" t="s">
        <v>102</v>
      </c>
      <c r="C130" s="90"/>
      <c r="D130" s="56"/>
      <c r="E130" s="84"/>
      <c r="F130" s="58"/>
      <c r="G130" s="58"/>
      <c r="H130" s="58"/>
      <c r="I130" s="58"/>
      <c r="J130" s="58"/>
      <c r="K130" s="58"/>
      <c r="L130" s="59">
        <f t="shared" si="23"/>
        <v>0</v>
      </c>
      <c r="M130" s="68"/>
      <c r="N130" s="68"/>
      <c r="O130" s="68"/>
      <c r="P130" s="68"/>
      <c r="Q130" s="99" t="e">
        <f t="shared" si="24"/>
        <v>#DIV/0!</v>
      </c>
      <c r="R130" s="100">
        <f t="shared" si="25"/>
        <v>0.43387671059875982</v>
      </c>
      <c r="S130" s="83"/>
      <c r="T130" s="83"/>
      <c r="U130" s="101">
        <f t="shared" si="26"/>
        <v>2021.2824107652905</v>
      </c>
      <c r="V130" s="45"/>
      <c r="W130" s="45"/>
      <c r="X130" s="45"/>
      <c r="Y130" s="45"/>
      <c r="Z130" s="45"/>
      <c r="AA130" s="45"/>
      <c r="AY130" s="66"/>
      <c r="AZ130" s="66"/>
      <c r="BA130" s="66"/>
      <c r="BB130" s="22"/>
    </row>
    <row r="131" spans="2:54" x14ac:dyDescent="0.45">
      <c r="B131" s="45" t="s">
        <v>103</v>
      </c>
      <c r="C131" s="90"/>
      <c r="D131" s="56"/>
      <c r="E131" s="84"/>
      <c r="F131" s="58"/>
      <c r="G131" s="58"/>
      <c r="H131" s="58"/>
      <c r="I131" s="58"/>
      <c r="J131" s="58"/>
      <c r="K131" s="58"/>
      <c r="L131" s="59">
        <f t="shared" si="23"/>
        <v>0</v>
      </c>
      <c r="M131" s="68"/>
      <c r="N131" s="68"/>
      <c r="O131" s="68"/>
      <c r="P131" s="68"/>
      <c r="Q131" s="99" t="e">
        <f t="shared" si="24"/>
        <v>#DIV/0!</v>
      </c>
      <c r="R131" s="100">
        <f t="shared" si="25"/>
        <v>0.43387671059875982</v>
      </c>
      <c r="S131" s="83"/>
      <c r="T131" s="83"/>
      <c r="U131" s="101">
        <f t="shared" si="26"/>
        <v>2021.2824107652905</v>
      </c>
      <c r="V131" s="45"/>
      <c r="W131" s="45"/>
      <c r="X131" s="45"/>
      <c r="Y131" s="45"/>
      <c r="Z131" s="45"/>
      <c r="AA131" s="45"/>
      <c r="AY131" s="66"/>
      <c r="AZ131" s="66"/>
      <c r="BA131" s="66"/>
      <c r="BB131" s="22"/>
    </row>
    <row r="132" spans="2:54" x14ac:dyDescent="0.45">
      <c r="B132" s="45" t="s">
        <v>104</v>
      </c>
      <c r="C132" s="90"/>
      <c r="D132" s="56"/>
      <c r="E132" s="80"/>
      <c r="F132" s="58"/>
      <c r="G132" s="58"/>
      <c r="H132" s="58"/>
      <c r="I132" s="58"/>
      <c r="J132" s="58"/>
      <c r="K132" s="58"/>
      <c r="L132" s="59">
        <f t="shared" si="23"/>
        <v>0</v>
      </c>
      <c r="M132" s="68"/>
      <c r="N132" s="68"/>
      <c r="O132" s="68"/>
      <c r="P132" s="68"/>
      <c r="Q132" s="99" t="e">
        <f t="shared" si="24"/>
        <v>#DIV/0!</v>
      </c>
      <c r="R132" s="100">
        <f t="shared" si="25"/>
        <v>0.43387671059875982</v>
      </c>
      <c r="S132" s="83"/>
      <c r="T132" s="83"/>
      <c r="U132" s="101">
        <f t="shared" si="26"/>
        <v>2021.2824107652905</v>
      </c>
      <c r="V132" s="45"/>
      <c r="W132" s="45"/>
      <c r="X132" s="45"/>
      <c r="Y132" s="45"/>
      <c r="Z132" s="45"/>
      <c r="AA132" s="45"/>
      <c r="AY132" s="66"/>
      <c r="AZ132" s="66"/>
      <c r="BA132" s="66"/>
      <c r="BB132" s="22"/>
    </row>
    <row r="133" spans="2:54" x14ac:dyDescent="0.45">
      <c r="B133" s="45" t="s">
        <v>105</v>
      </c>
      <c r="C133" s="90"/>
      <c r="D133" s="56"/>
      <c r="E133" s="57"/>
      <c r="F133" s="58"/>
      <c r="G133" s="58"/>
      <c r="H133" s="58"/>
      <c r="I133" s="58"/>
      <c r="J133" s="58"/>
      <c r="K133" s="58"/>
      <c r="L133" s="59">
        <f t="shared" si="23"/>
        <v>0</v>
      </c>
      <c r="M133" s="68"/>
      <c r="N133" s="68"/>
      <c r="O133" s="68"/>
      <c r="P133" s="68"/>
      <c r="Q133" s="99" t="e">
        <f t="shared" si="24"/>
        <v>#DIV/0!</v>
      </c>
      <c r="R133" s="100">
        <f t="shared" si="25"/>
        <v>0.43387671059875982</v>
      </c>
      <c r="S133" s="83"/>
      <c r="T133" s="83"/>
      <c r="U133" s="101">
        <f t="shared" si="26"/>
        <v>2021.2824107652905</v>
      </c>
      <c r="V133" s="45"/>
      <c r="W133" s="45"/>
      <c r="X133" s="45"/>
      <c r="Y133" s="45"/>
      <c r="Z133" s="45"/>
      <c r="AA133" s="45"/>
      <c r="AY133" s="66"/>
      <c r="AZ133" s="66"/>
      <c r="BA133" s="66"/>
      <c r="BB133" s="22"/>
    </row>
    <row r="134" spans="2:54" x14ac:dyDescent="0.45">
      <c r="B134" s="45" t="s">
        <v>106</v>
      </c>
      <c r="C134" s="90"/>
      <c r="D134" s="56"/>
      <c r="E134" s="80"/>
      <c r="F134" s="58"/>
      <c r="G134" s="58"/>
      <c r="H134" s="58"/>
      <c r="I134" s="58"/>
      <c r="J134" s="58"/>
      <c r="K134" s="58"/>
      <c r="L134" s="59">
        <f t="shared" si="23"/>
        <v>0</v>
      </c>
      <c r="M134" s="68"/>
      <c r="N134" s="68"/>
      <c r="O134" s="68"/>
      <c r="P134" s="68"/>
      <c r="Q134" s="99" t="e">
        <f t="shared" si="24"/>
        <v>#DIV/0!</v>
      </c>
      <c r="R134" s="100">
        <f t="shared" si="25"/>
        <v>0.43387671059875982</v>
      </c>
      <c r="S134" s="83"/>
      <c r="T134" s="83"/>
      <c r="U134" s="101">
        <f t="shared" si="26"/>
        <v>2021.2824107652905</v>
      </c>
      <c r="V134" s="45"/>
      <c r="W134" s="45"/>
      <c r="X134" s="45"/>
      <c r="Y134" s="45"/>
      <c r="Z134" s="45"/>
      <c r="AA134" s="45"/>
      <c r="AY134" s="66"/>
      <c r="AZ134" s="66"/>
      <c r="BA134" s="66"/>
      <c r="BB134" s="22"/>
    </row>
    <row r="135" spans="2:54" x14ac:dyDescent="0.45">
      <c r="B135" s="45" t="s">
        <v>107</v>
      </c>
      <c r="C135" s="90"/>
      <c r="D135" s="56"/>
      <c r="E135" s="84"/>
      <c r="F135" s="58"/>
      <c r="G135" s="58"/>
      <c r="H135" s="58"/>
      <c r="I135" s="58"/>
      <c r="J135" s="58"/>
      <c r="K135" s="58"/>
      <c r="L135" s="59">
        <f t="shared" si="23"/>
        <v>0</v>
      </c>
      <c r="M135" s="68"/>
      <c r="N135" s="68"/>
      <c r="O135" s="68"/>
      <c r="P135" s="68"/>
      <c r="Q135" s="99" t="e">
        <f t="shared" si="24"/>
        <v>#DIV/0!</v>
      </c>
      <c r="R135" s="100">
        <f t="shared" si="25"/>
        <v>0.43387671059875982</v>
      </c>
      <c r="S135" s="83"/>
      <c r="T135" s="83"/>
      <c r="U135" s="101">
        <f t="shared" si="26"/>
        <v>2021.2824107652905</v>
      </c>
      <c r="V135" s="45"/>
      <c r="W135" s="45"/>
      <c r="X135" s="45"/>
      <c r="Y135" s="45"/>
      <c r="Z135" s="45"/>
      <c r="AA135" s="45"/>
      <c r="AY135" s="66"/>
      <c r="AZ135" s="66"/>
      <c r="BA135" s="66"/>
      <c r="BB135" s="22"/>
    </row>
    <row r="136" spans="2:54" x14ac:dyDescent="0.45">
      <c r="B136" s="45" t="s">
        <v>108</v>
      </c>
      <c r="C136" s="90"/>
      <c r="D136" s="56"/>
      <c r="E136" s="80"/>
      <c r="F136" s="58"/>
      <c r="G136" s="58"/>
      <c r="H136" s="58"/>
      <c r="I136" s="58"/>
      <c r="J136" s="58"/>
      <c r="K136" s="58"/>
      <c r="L136" s="59">
        <f t="shared" si="23"/>
        <v>0</v>
      </c>
      <c r="M136" s="68"/>
      <c r="N136" s="68"/>
      <c r="O136" s="68"/>
      <c r="P136" s="68"/>
      <c r="Q136" s="99" t="e">
        <f t="shared" si="24"/>
        <v>#DIV/0!</v>
      </c>
      <c r="R136" s="100">
        <f t="shared" si="25"/>
        <v>0.43387671059875982</v>
      </c>
      <c r="S136" s="83"/>
      <c r="T136" s="83"/>
      <c r="U136" s="101">
        <f t="shared" si="26"/>
        <v>2021.2824107652905</v>
      </c>
      <c r="V136" s="45"/>
      <c r="W136" s="45"/>
      <c r="X136" s="45"/>
      <c r="Y136" s="45"/>
      <c r="Z136" s="45"/>
      <c r="AA136" s="45"/>
      <c r="AY136" s="66"/>
      <c r="AZ136" s="66"/>
      <c r="BA136" s="66"/>
      <c r="BB136" s="22"/>
    </row>
    <row r="137" spans="2:54" x14ac:dyDescent="0.45">
      <c r="B137" s="45" t="s">
        <v>109</v>
      </c>
      <c r="C137" s="90"/>
      <c r="D137" s="56"/>
      <c r="E137" s="57"/>
      <c r="F137" s="58"/>
      <c r="G137" s="58"/>
      <c r="H137" s="58"/>
      <c r="I137" s="58"/>
      <c r="J137" s="58"/>
      <c r="K137" s="58"/>
      <c r="L137" s="59">
        <f t="shared" si="23"/>
        <v>0</v>
      </c>
      <c r="M137" s="68"/>
      <c r="N137" s="68"/>
      <c r="O137" s="68"/>
      <c r="P137" s="68"/>
      <c r="Q137" s="99" t="e">
        <f t="shared" si="24"/>
        <v>#DIV/0!</v>
      </c>
      <c r="R137" s="100">
        <f t="shared" si="25"/>
        <v>0.43387671059875982</v>
      </c>
      <c r="S137" s="83"/>
      <c r="T137" s="83"/>
      <c r="U137" s="101">
        <f t="shared" si="26"/>
        <v>2021.2824107652905</v>
      </c>
      <c r="V137" s="45"/>
      <c r="W137" s="45"/>
      <c r="X137" s="45"/>
      <c r="Y137" s="45"/>
      <c r="Z137" s="45"/>
      <c r="AA137" s="45"/>
      <c r="AY137" s="66"/>
      <c r="AZ137" s="66"/>
      <c r="BA137" s="66"/>
      <c r="BB137" s="22"/>
    </row>
    <row r="138" spans="2:54" x14ac:dyDescent="0.45">
      <c r="B138" s="45" t="s">
        <v>110</v>
      </c>
      <c r="C138" s="90"/>
      <c r="D138" s="56"/>
      <c r="E138" s="84"/>
      <c r="F138" s="58"/>
      <c r="G138" s="58"/>
      <c r="H138" s="58"/>
      <c r="I138" s="58"/>
      <c r="J138" s="58"/>
      <c r="K138" s="58"/>
      <c r="L138" s="59">
        <f t="shared" si="23"/>
        <v>0</v>
      </c>
      <c r="M138" s="68"/>
      <c r="N138" s="68"/>
      <c r="O138" s="68"/>
      <c r="P138" s="68"/>
      <c r="Q138" s="99" t="e">
        <f t="shared" si="24"/>
        <v>#DIV/0!</v>
      </c>
      <c r="R138" s="100">
        <f t="shared" si="25"/>
        <v>0.43387671059875982</v>
      </c>
      <c r="S138" s="83"/>
      <c r="T138" s="83"/>
      <c r="U138" s="101">
        <f t="shared" si="26"/>
        <v>2021.2824107652905</v>
      </c>
      <c r="V138" s="45"/>
      <c r="W138" s="45"/>
      <c r="X138" s="45"/>
      <c r="Y138" s="45"/>
      <c r="Z138" s="45"/>
      <c r="AA138" s="45"/>
      <c r="AY138" s="66"/>
      <c r="AZ138" s="66"/>
      <c r="BA138" s="66"/>
      <c r="BB138" s="22"/>
    </row>
    <row r="139" spans="2:54" x14ac:dyDescent="0.45">
      <c r="B139" s="45" t="s">
        <v>111</v>
      </c>
      <c r="C139" s="90"/>
      <c r="D139" s="56"/>
      <c r="E139" s="84"/>
      <c r="F139" s="58"/>
      <c r="G139" s="58"/>
      <c r="H139" s="58"/>
      <c r="I139" s="58"/>
      <c r="J139" s="58"/>
      <c r="K139" s="58"/>
      <c r="L139" s="59">
        <f t="shared" si="23"/>
        <v>0</v>
      </c>
      <c r="M139" s="68"/>
      <c r="N139" s="68"/>
      <c r="O139" s="68"/>
      <c r="P139" s="68"/>
      <c r="Q139" s="99" t="e">
        <f t="shared" si="24"/>
        <v>#DIV/0!</v>
      </c>
      <c r="R139" s="100">
        <f t="shared" si="25"/>
        <v>0.43387671059875982</v>
      </c>
      <c r="S139" s="83"/>
      <c r="T139" s="83"/>
      <c r="U139" s="101">
        <f t="shared" si="26"/>
        <v>2021.2824107652905</v>
      </c>
      <c r="V139" s="45"/>
      <c r="W139" s="45"/>
      <c r="X139" s="45"/>
      <c r="Y139" s="45"/>
      <c r="Z139" s="45"/>
      <c r="AA139" s="45"/>
      <c r="AY139" s="66"/>
      <c r="AZ139" s="66"/>
      <c r="BA139" s="66"/>
      <c r="BB139" s="22"/>
    </row>
    <row r="140" spans="2:54" x14ac:dyDescent="0.45">
      <c r="B140" s="45" t="s">
        <v>112</v>
      </c>
      <c r="C140" s="90"/>
      <c r="D140" s="56"/>
      <c r="E140" s="57"/>
      <c r="F140" s="58"/>
      <c r="G140" s="58"/>
      <c r="H140" s="58"/>
      <c r="I140" s="58"/>
      <c r="J140" s="58"/>
      <c r="K140" s="58"/>
      <c r="L140" s="59">
        <f t="shared" si="23"/>
        <v>0</v>
      </c>
      <c r="M140" s="68"/>
      <c r="N140" s="68"/>
      <c r="O140" s="68"/>
      <c r="P140" s="68"/>
      <c r="Q140" s="99" t="e">
        <f t="shared" si="24"/>
        <v>#DIV/0!</v>
      </c>
      <c r="R140" s="100">
        <f t="shared" si="25"/>
        <v>0.43387671059875982</v>
      </c>
      <c r="S140" s="83"/>
      <c r="T140" s="83"/>
      <c r="U140" s="101">
        <f t="shared" si="26"/>
        <v>2021.2824107652905</v>
      </c>
      <c r="V140" s="45"/>
      <c r="W140" s="45"/>
      <c r="X140" s="45"/>
      <c r="Y140" s="45"/>
      <c r="Z140" s="45"/>
      <c r="AA140" s="45"/>
      <c r="AY140" s="66"/>
      <c r="AZ140" s="66"/>
      <c r="BA140" s="66"/>
      <c r="BB140" s="22"/>
    </row>
    <row r="141" spans="2:54" x14ac:dyDescent="0.45">
      <c r="B141" s="45" t="s">
        <v>113</v>
      </c>
      <c r="C141" s="90"/>
      <c r="D141" s="56"/>
      <c r="E141" s="80"/>
      <c r="F141" s="58"/>
      <c r="G141" s="58"/>
      <c r="H141" s="58"/>
      <c r="I141" s="58"/>
      <c r="J141" s="58"/>
      <c r="K141" s="58"/>
      <c r="L141" s="59">
        <f t="shared" si="23"/>
        <v>0</v>
      </c>
      <c r="M141" s="68"/>
      <c r="N141" s="68"/>
      <c r="O141" s="68"/>
      <c r="P141" s="68"/>
      <c r="Q141" s="99" t="e">
        <f t="shared" si="24"/>
        <v>#DIV/0!</v>
      </c>
      <c r="R141" s="100">
        <f t="shared" si="25"/>
        <v>0.43387671059875982</v>
      </c>
      <c r="S141" s="83"/>
      <c r="T141" s="83"/>
      <c r="U141" s="101">
        <f t="shared" si="26"/>
        <v>2021.2824107652905</v>
      </c>
      <c r="V141" s="45"/>
      <c r="W141" s="45"/>
      <c r="X141" s="45"/>
      <c r="Y141" s="45"/>
      <c r="Z141" s="45"/>
      <c r="AA141" s="45"/>
      <c r="AY141" s="66"/>
      <c r="AZ141" s="66"/>
      <c r="BA141" s="66"/>
      <c r="BB141" s="22"/>
    </row>
    <row r="142" spans="2:54" ht="16" customHeight="1" x14ac:dyDescent="0.45">
      <c r="B142" s="45" t="s">
        <v>114</v>
      </c>
      <c r="C142" s="90"/>
      <c r="D142" s="56"/>
      <c r="E142" s="84"/>
      <c r="F142" s="58"/>
      <c r="G142" s="58"/>
      <c r="H142" s="58"/>
      <c r="I142" s="58"/>
      <c r="J142" s="58"/>
      <c r="K142" s="58"/>
      <c r="L142" s="59">
        <f t="shared" si="23"/>
        <v>0</v>
      </c>
      <c r="M142" s="68"/>
      <c r="N142" s="68"/>
      <c r="O142" s="68"/>
      <c r="P142" s="68"/>
      <c r="Q142" s="99" t="e">
        <f t="shared" si="24"/>
        <v>#DIV/0!</v>
      </c>
      <c r="R142" s="100">
        <f t="shared" si="25"/>
        <v>0.43387671059875982</v>
      </c>
      <c r="S142" s="83"/>
      <c r="T142" s="83"/>
      <c r="U142" s="101">
        <f t="shared" si="26"/>
        <v>2021.2824107652905</v>
      </c>
      <c r="V142" s="45"/>
      <c r="W142" s="45"/>
      <c r="X142" s="45"/>
      <c r="Y142" s="45"/>
      <c r="Z142" s="45"/>
      <c r="AA142" s="45"/>
      <c r="AY142" s="66"/>
      <c r="AZ142" s="66"/>
      <c r="BA142" s="66"/>
      <c r="BB142" s="22"/>
    </row>
    <row r="143" spans="2:54" ht="16" customHeight="1" x14ac:dyDescent="0.45">
      <c r="B143" s="45" t="s">
        <v>115</v>
      </c>
      <c r="C143" s="90"/>
      <c r="D143" s="56"/>
      <c r="E143" s="57"/>
      <c r="F143" s="58"/>
      <c r="G143" s="58"/>
      <c r="H143" s="58"/>
      <c r="I143" s="58"/>
      <c r="J143" s="58"/>
      <c r="K143" s="58"/>
      <c r="L143" s="59">
        <f t="shared" si="23"/>
        <v>0</v>
      </c>
      <c r="M143" s="68"/>
      <c r="N143" s="68"/>
      <c r="O143" s="68"/>
      <c r="P143" s="68"/>
      <c r="Q143" s="99" t="e">
        <f t="shared" si="24"/>
        <v>#DIV/0!</v>
      </c>
      <c r="R143" s="100">
        <f t="shared" si="25"/>
        <v>0.43387671059875982</v>
      </c>
      <c r="S143" s="83"/>
      <c r="T143" s="83"/>
      <c r="U143" s="101">
        <f t="shared" si="26"/>
        <v>2021.2824107652905</v>
      </c>
      <c r="V143" s="45"/>
      <c r="W143" s="45"/>
      <c r="X143" s="45"/>
      <c r="Y143" s="45"/>
      <c r="Z143" s="45"/>
      <c r="AA143" s="45"/>
      <c r="AY143" s="66"/>
      <c r="AZ143" s="66"/>
      <c r="BA143" s="66"/>
      <c r="BB143" s="22"/>
    </row>
    <row r="144" spans="2:54" ht="16" customHeight="1" x14ac:dyDescent="0.45">
      <c r="B144" s="45" t="s">
        <v>116</v>
      </c>
      <c r="C144" s="90"/>
      <c r="D144" s="56"/>
      <c r="E144" s="80"/>
      <c r="F144" s="58"/>
      <c r="G144" s="58"/>
      <c r="H144" s="58"/>
      <c r="I144" s="58"/>
      <c r="J144" s="58"/>
      <c r="K144" s="58"/>
      <c r="L144" s="59">
        <f t="shared" si="23"/>
        <v>0</v>
      </c>
      <c r="M144" s="68"/>
      <c r="N144" s="68"/>
      <c r="O144" s="68"/>
      <c r="P144" s="68"/>
      <c r="Q144" s="99" t="e">
        <f t="shared" si="24"/>
        <v>#DIV/0!</v>
      </c>
      <c r="R144" s="100">
        <f t="shared" si="25"/>
        <v>0.43387671059875982</v>
      </c>
      <c r="S144" s="83"/>
      <c r="T144" s="83"/>
      <c r="U144" s="101">
        <f t="shared" si="26"/>
        <v>2021.2824107652905</v>
      </c>
      <c r="V144" s="45"/>
      <c r="W144" s="45"/>
      <c r="X144" s="45"/>
      <c r="Y144" s="45"/>
      <c r="Z144" s="45"/>
      <c r="AA144" s="45"/>
      <c r="AY144" s="66"/>
      <c r="AZ144" s="66"/>
      <c r="BA144" s="66"/>
      <c r="BB144" s="22"/>
    </row>
    <row r="145" spans="2:54" ht="16" customHeight="1" x14ac:dyDescent="0.45">
      <c r="B145" s="45" t="s">
        <v>117</v>
      </c>
      <c r="C145" s="90"/>
      <c r="D145" s="56"/>
      <c r="E145" s="84"/>
      <c r="F145" s="58"/>
      <c r="G145" s="58"/>
      <c r="H145" s="58"/>
      <c r="I145" s="58"/>
      <c r="J145" s="58"/>
      <c r="K145" s="58"/>
      <c r="L145" s="59">
        <f t="shared" si="23"/>
        <v>0</v>
      </c>
      <c r="M145" s="68"/>
      <c r="N145" s="68"/>
      <c r="O145" s="68"/>
      <c r="P145" s="68"/>
      <c r="Q145" s="99" t="e">
        <f t="shared" si="24"/>
        <v>#DIV/0!</v>
      </c>
      <c r="R145" s="100">
        <f t="shared" si="25"/>
        <v>0.43387671059875982</v>
      </c>
      <c r="S145" s="83"/>
      <c r="T145" s="83"/>
      <c r="U145" s="101">
        <f t="shared" si="26"/>
        <v>2021.2824107652905</v>
      </c>
      <c r="V145" s="45"/>
      <c r="W145" s="45"/>
      <c r="X145" s="45"/>
      <c r="Y145" s="45"/>
      <c r="Z145" s="45"/>
      <c r="AA145" s="45"/>
      <c r="AY145" s="66"/>
      <c r="AZ145" s="66"/>
      <c r="BA145" s="66"/>
      <c r="BB145" s="22"/>
    </row>
    <row r="146" spans="2:54" x14ac:dyDescent="0.45">
      <c r="B146" s="45" t="s">
        <v>118</v>
      </c>
      <c r="C146" s="90"/>
      <c r="D146" s="56"/>
      <c r="E146" s="57"/>
      <c r="F146" s="58"/>
      <c r="G146" s="58"/>
      <c r="H146" s="58"/>
      <c r="I146" s="58"/>
      <c r="J146" s="58"/>
      <c r="K146" s="58"/>
      <c r="L146" s="59">
        <f t="shared" ref="L146:L209" si="31">1/2*((F146*I146+H146*K146+J146*G146)-(G146*H146+I146*J146+K146*F146))/0.1582*100</f>
        <v>0</v>
      </c>
      <c r="M146" s="68"/>
      <c r="N146" s="68"/>
      <c r="O146" s="68"/>
      <c r="P146" s="68"/>
      <c r="Q146" s="99" t="e">
        <f t="shared" ref="Q146:Q209" si="32">O146/P146</f>
        <v>#DIV/0!</v>
      </c>
      <c r="R146" s="100">
        <f t="shared" ref="R146:R209" si="33">SQRT(POWER(M146-$M$12,2)+POWER(N146-$N$12,2))</f>
        <v>0.43387671059875982</v>
      </c>
      <c r="S146" s="83"/>
      <c r="T146" s="83"/>
      <c r="U146" s="101">
        <f t="shared" ref="U146:U209" si="34">(-449*((M146-0.332)/(N146-0.1858))^3)+(3525*((M146-0.332)/(N146-0.1858))^2)+(-6823.3*(M146-0.332)/(N146-0.1858))+5520.33</f>
        <v>2021.2824107652905</v>
      </c>
      <c r="V146" s="45"/>
      <c r="W146" s="45"/>
      <c r="X146" s="45"/>
      <c r="Y146" s="45"/>
      <c r="Z146" s="45"/>
      <c r="AA146" s="45"/>
      <c r="AY146" s="66"/>
      <c r="AZ146" s="66"/>
      <c r="BA146" s="66"/>
      <c r="BB146" s="22"/>
    </row>
    <row r="147" spans="2:54" x14ac:dyDescent="0.45">
      <c r="B147" s="45" t="s">
        <v>119</v>
      </c>
      <c r="C147" s="90"/>
      <c r="D147" s="56"/>
      <c r="E147" s="80"/>
      <c r="F147" s="58"/>
      <c r="G147" s="58"/>
      <c r="H147" s="58"/>
      <c r="I147" s="58"/>
      <c r="J147" s="58"/>
      <c r="K147" s="58"/>
      <c r="L147" s="59">
        <f t="shared" si="31"/>
        <v>0</v>
      </c>
      <c r="M147" s="68"/>
      <c r="N147" s="68"/>
      <c r="O147" s="68"/>
      <c r="P147" s="68"/>
      <c r="Q147" s="99" t="e">
        <f t="shared" si="32"/>
        <v>#DIV/0!</v>
      </c>
      <c r="R147" s="100">
        <f t="shared" si="33"/>
        <v>0.43387671059875982</v>
      </c>
      <c r="S147" s="83"/>
      <c r="T147" s="83"/>
      <c r="U147" s="101">
        <f t="shared" si="34"/>
        <v>2021.2824107652905</v>
      </c>
      <c r="V147" s="45"/>
      <c r="W147" s="45"/>
      <c r="X147" s="45"/>
      <c r="Y147" s="45"/>
      <c r="Z147" s="45"/>
      <c r="AA147" s="45"/>
      <c r="AY147" s="66"/>
      <c r="AZ147" s="66"/>
      <c r="BA147" s="66"/>
      <c r="BB147" s="22"/>
    </row>
    <row r="148" spans="2:54" x14ac:dyDescent="0.45">
      <c r="B148" s="45" t="s">
        <v>120</v>
      </c>
      <c r="C148" s="90"/>
      <c r="D148" s="56"/>
      <c r="E148" s="84"/>
      <c r="F148" s="58"/>
      <c r="G148" s="58"/>
      <c r="H148" s="58"/>
      <c r="I148" s="58"/>
      <c r="J148" s="58"/>
      <c r="K148" s="58"/>
      <c r="L148" s="59">
        <f t="shared" si="31"/>
        <v>0</v>
      </c>
      <c r="M148" s="68"/>
      <c r="N148" s="68"/>
      <c r="O148" s="68"/>
      <c r="P148" s="68"/>
      <c r="Q148" s="99" t="e">
        <f t="shared" si="32"/>
        <v>#DIV/0!</v>
      </c>
      <c r="R148" s="100">
        <f t="shared" si="33"/>
        <v>0.43387671059875982</v>
      </c>
      <c r="S148" s="83"/>
      <c r="T148" s="83"/>
      <c r="U148" s="101">
        <f t="shared" si="34"/>
        <v>2021.2824107652905</v>
      </c>
      <c r="V148" s="45"/>
      <c r="W148" s="45"/>
      <c r="X148" s="45"/>
      <c r="Y148" s="45"/>
      <c r="Z148" s="45"/>
      <c r="AA148" s="45"/>
      <c r="AY148" s="66"/>
      <c r="AZ148" s="66"/>
      <c r="BA148" s="66"/>
      <c r="BB148" s="22"/>
    </row>
    <row r="149" spans="2:54" x14ac:dyDescent="0.45">
      <c r="B149" s="45" t="s">
        <v>121</v>
      </c>
      <c r="C149" s="90"/>
      <c r="D149" s="56"/>
      <c r="E149" s="57"/>
      <c r="F149" s="58"/>
      <c r="G149" s="58"/>
      <c r="H149" s="58"/>
      <c r="I149" s="58"/>
      <c r="J149" s="58"/>
      <c r="K149" s="58"/>
      <c r="L149" s="59">
        <f t="shared" si="31"/>
        <v>0</v>
      </c>
      <c r="M149" s="68"/>
      <c r="N149" s="68"/>
      <c r="O149" s="68"/>
      <c r="P149" s="68"/>
      <c r="Q149" s="99" t="e">
        <f t="shared" si="32"/>
        <v>#DIV/0!</v>
      </c>
      <c r="R149" s="100">
        <f t="shared" si="33"/>
        <v>0.43387671059875982</v>
      </c>
      <c r="S149" s="83"/>
      <c r="T149" s="83"/>
      <c r="U149" s="101">
        <f t="shared" si="34"/>
        <v>2021.2824107652905</v>
      </c>
      <c r="V149" s="45"/>
      <c r="W149" s="45"/>
      <c r="X149" s="45"/>
      <c r="Y149" s="45"/>
      <c r="Z149" s="45"/>
      <c r="AA149" s="45"/>
      <c r="AY149" s="66"/>
      <c r="AZ149" s="66"/>
      <c r="BA149" s="66"/>
      <c r="BB149" s="22"/>
    </row>
    <row r="150" spans="2:54" x14ac:dyDescent="0.45">
      <c r="B150" s="45" t="s">
        <v>122</v>
      </c>
      <c r="C150" s="90"/>
      <c r="D150" s="56"/>
      <c r="E150" s="80"/>
      <c r="F150" s="58"/>
      <c r="G150" s="58"/>
      <c r="H150" s="58"/>
      <c r="I150" s="58"/>
      <c r="J150" s="58"/>
      <c r="K150" s="58"/>
      <c r="L150" s="59">
        <f t="shared" si="31"/>
        <v>0</v>
      </c>
      <c r="M150" s="68"/>
      <c r="N150" s="68"/>
      <c r="O150" s="68"/>
      <c r="P150" s="68"/>
      <c r="Q150" s="99" t="e">
        <f t="shared" si="32"/>
        <v>#DIV/0!</v>
      </c>
      <c r="R150" s="100">
        <f t="shared" si="33"/>
        <v>0.43387671059875982</v>
      </c>
      <c r="S150" s="83"/>
      <c r="T150" s="83"/>
      <c r="U150" s="101">
        <f t="shared" si="34"/>
        <v>2021.2824107652905</v>
      </c>
      <c r="V150" s="45"/>
      <c r="W150" s="45"/>
      <c r="X150" s="45"/>
      <c r="Y150" s="45"/>
      <c r="Z150" s="45"/>
      <c r="AA150" s="45"/>
      <c r="AY150" s="66"/>
      <c r="AZ150" s="66"/>
      <c r="BA150" s="66"/>
      <c r="BB150" s="22"/>
    </row>
    <row r="151" spans="2:54" x14ac:dyDescent="0.45">
      <c r="B151" s="45" t="s">
        <v>123</v>
      </c>
      <c r="C151" s="90"/>
      <c r="D151" s="56"/>
      <c r="E151" s="84"/>
      <c r="F151" s="58"/>
      <c r="G151" s="58"/>
      <c r="H151" s="58"/>
      <c r="I151" s="58"/>
      <c r="J151" s="58"/>
      <c r="K151" s="58"/>
      <c r="L151" s="59">
        <f t="shared" si="31"/>
        <v>0</v>
      </c>
      <c r="M151" s="68"/>
      <c r="N151" s="68"/>
      <c r="O151" s="68"/>
      <c r="P151" s="68"/>
      <c r="Q151" s="99" t="e">
        <f t="shared" si="32"/>
        <v>#DIV/0!</v>
      </c>
      <c r="R151" s="100">
        <f t="shared" si="33"/>
        <v>0.43387671059875982</v>
      </c>
      <c r="S151" s="83"/>
      <c r="T151" s="83"/>
      <c r="U151" s="101">
        <f t="shared" si="34"/>
        <v>2021.2824107652905</v>
      </c>
      <c r="V151" s="45"/>
      <c r="W151" s="45"/>
      <c r="X151" s="45"/>
      <c r="Y151" s="45"/>
      <c r="Z151" s="45"/>
      <c r="AA151" s="45"/>
      <c r="AY151" s="66"/>
      <c r="AZ151" s="66"/>
      <c r="BA151" s="66"/>
      <c r="BB151" s="22"/>
    </row>
    <row r="152" spans="2:54" x14ac:dyDescent="0.45">
      <c r="B152" s="45" t="s">
        <v>124</v>
      </c>
      <c r="C152" s="90"/>
      <c r="D152" s="56"/>
      <c r="E152" s="57"/>
      <c r="F152" s="58"/>
      <c r="G152" s="58"/>
      <c r="H152" s="58"/>
      <c r="I152" s="58"/>
      <c r="J152" s="58"/>
      <c r="K152" s="58"/>
      <c r="L152" s="59">
        <f t="shared" si="31"/>
        <v>0</v>
      </c>
      <c r="M152" s="68"/>
      <c r="N152" s="68"/>
      <c r="O152" s="68"/>
      <c r="P152" s="68"/>
      <c r="Q152" s="99" t="e">
        <f t="shared" si="32"/>
        <v>#DIV/0!</v>
      </c>
      <c r="R152" s="100">
        <f t="shared" si="33"/>
        <v>0.43387671059875982</v>
      </c>
      <c r="S152" s="83"/>
      <c r="T152" s="83"/>
      <c r="U152" s="101">
        <f t="shared" si="34"/>
        <v>2021.2824107652905</v>
      </c>
      <c r="V152" s="45"/>
      <c r="W152" s="45"/>
      <c r="X152" s="45"/>
      <c r="Y152" s="45"/>
      <c r="Z152" s="45"/>
      <c r="AA152" s="45"/>
      <c r="AY152" s="66"/>
      <c r="AZ152" s="66"/>
      <c r="BA152" s="66"/>
      <c r="BB152" s="22"/>
    </row>
    <row r="153" spans="2:54" x14ac:dyDescent="0.45">
      <c r="B153" s="45" t="s">
        <v>125</v>
      </c>
      <c r="C153" s="90"/>
      <c r="D153" s="56"/>
      <c r="E153" s="80"/>
      <c r="F153" s="58"/>
      <c r="G153" s="58"/>
      <c r="H153" s="58"/>
      <c r="I153" s="58"/>
      <c r="J153" s="58"/>
      <c r="K153" s="58"/>
      <c r="L153" s="59">
        <f t="shared" si="31"/>
        <v>0</v>
      </c>
      <c r="M153" s="68"/>
      <c r="N153" s="68"/>
      <c r="O153" s="68"/>
      <c r="P153" s="68"/>
      <c r="Q153" s="99" t="e">
        <f t="shared" si="32"/>
        <v>#DIV/0!</v>
      </c>
      <c r="R153" s="100">
        <f t="shared" si="33"/>
        <v>0.43387671059875982</v>
      </c>
      <c r="S153" s="83"/>
      <c r="T153" s="83"/>
      <c r="U153" s="101">
        <f t="shared" si="34"/>
        <v>2021.2824107652905</v>
      </c>
      <c r="V153" s="45"/>
      <c r="W153" s="45"/>
      <c r="X153" s="45"/>
      <c r="Y153" s="45"/>
      <c r="Z153" s="45"/>
      <c r="AA153" s="45"/>
      <c r="AY153" s="66"/>
      <c r="AZ153" s="66"/>
      <c r="BA153" s="66"/>
      <c r="BB153" s="22"/>
    </row>
    <row r="154" spans="2:54" x14ac:dyDescent="0.45">
      <c r="B154" s="45" t="s">
        <v>126</v>
      </c>
      <c r="C154" s="90"/>
      <c r="D154" s="56"/>
      <c r="E154" s="84"/>
      <c r="F154" s="58"/>
      <c r="G154" s="58"/>
      <c r="H154" s="58"/>
      <c r="I154" s="58"/>
      <c r="J154" s="58"/>
      <c r="K154" s="58"/>
      <c r="L154" s="59">
        <f t="shared" si="31"/>
        <v>0</v>
      </c>
      <c r="M154" s="68"/>
      <c r="N154" s="68"/>
      <c r="O154" s="68"/>
      <c r="P154" s="68"/>
      <c r="Q154" s="99" t="e">
        <f t="shared" si="32"/>
        <v>#DIV/0!</v>
      </c>
      <c r="R154" s="100">
        <f t="shared" si="33"/>
        <v>0.43387671059875982</v>
      </c>
      <c r="S154" s="83"/>
      <c r="T154" s="83"/>
      <c r="U154" s="101">
        <f t="shared" si="34"/>
        <v>2021.2824107652905</v>
      </c>
      <c r="V154" s="45"/>
      <c r="W154" s="45"/>
      <c r="X154" s="45"/>
      <c r="Y154" s="45"/>
      <c r="Z154" s="45"/>
      <c r="AA154" s="45"/>
      <c r="AY154" s="66"/>
      <c r="AZ154" s="66"/>
      <c r="BA154" s="66"/>
      <c r="BB154" s="22"/>
    </row>
    <row r="155" spans="2:54" x14ac:dyDescent="0.45">
      <c r="B155" s="45" t="s">
        <v>127</v>
      </c>
      <c r="C155" s="90"/>
      <c r="D155" s="56"/>
      <c r="E155" s="57"/>
      <c r="F155" s="58"/>
      <c r="G155" s="58"/>
      <c r="H155" s="58"/>
      <c r="I155" s="58"/>
      <c r="J155" s="58"/>
      <c r="K155" s="58"/>
      <c r="L155" s="59">
        <f t="shared" si="31"/>
        <v>0</v>
      </c>
      <c r="M155" s="68"/>
      <c r="N155" s="68"/>
      <c r="O155" s="68"/>
      <c r="P155" s="68"/>
      <c r="Q155" s="99" t="e">
        <f t="shared" si="32"/>
        <v>#DIV/0!</v>
      </c>
      <c r="R155" s="100">
        <f t="shared" si="33"/>
        <v>0.43387671059875982</v>
      </c>
      <c r="S155" s="83"/>
      <c r="T155" s="83"/>
      <c r="U155" s="101">
        <f t="shared" si="34"/>
        <v>2021.2824107652905</v>
      </c>
      <c r="V155" s="45"/>
      <c r="W155" s="45"/>
      <c r="X155" s="45"/>
      <c r="Y155" s="45"/>
      <c r="Z155" s="45"/>
      <c r="AA155" s="45"/>
      <c r="AY155" s="66"/>
      <c r="AZ155" s="66"/>
      <c r="BA155" s="66"/>
      <c r="BB155" s="22"/>
    </row>
    <row r="156" spans="2:54" x14ac:dyDescent="0.45">
      <c r="B156" s="45" t="s">
        <v>128</v>
      </c>
      <c r="C156" s="90"/>
      <c r="D156" s="56"/>
      <c r="E156" s="80"/>
      <c r="F156" s="58"/>
      <c r="G156" s="58"/>
      <c r="H156" s="58"/>
      <c r="I156" s="58"/>
      <c r="J156" s="58"/>
      <c r="K156" s="58"/>
      <c r="L156" s="59">
        <f t="shared" si="31"/>
        <v>0</v>
      </c>
      <c r="M156" s="68"/>
      <c r="N156" s="68"/>
      <c r="O156" s="68"/>
      <c r="P156" s="68"/>
      <c r="Q156" s="99" t="e">
        <f t="shared" si="32"/>
        <v>#DIV/0!</v>
      </c>
      <c r="R156" s="100">
        <f t="shared" si="33"/>
        <v>0.43387671059875982</v>
      </c>
      <c r="S156" s="83"/>
      <c r="T156" s="83"/>
      <c r="U156" s="101">
        <f t="shared" si="34"/>
        <v>2021.2824107652905</v>
      </c>
      <c r="V156" s="45"/>
      <c r="W156" s="45"/>
      <c r="X156" s="45"/>
      <c r="Y156" s="45"/>
      <c r="Z156" s="45"/>
      <c r="AA156" s="45"/>
      <c r="AY156" s="66"/>
      <c r="AZ156" s="66"/>
      <c r="BA156" s="66"/>
      <c r="BB156" s="22"/>
    </row>
    <row r="157" spans="2:54" x14ac:dyDescent="0.45">
      <c r="B157" s="45" t="s">
        <v>129</v>
      </c>
      <c r="C157" s="90"/>
      <c r="D157" s="56"/>
      <c r="E157" s="84"/>
      <c r="F157" s="58"/>
      <c r="G157" s="58"/>
      <c r="H157" s="58"/>
      <c r="I157" s="58"/>
      <c r="J157" s="58"/>
      <c r="K157" s="58"/>
      <c r="L157" s="59">
        <f t="shared" si="31"/>
        <v>0</v>
      </c>
      <c r="M157" s="68"/>
      <c r="N157" s="68"/>
      <c r="O157" s="68"/>
      <c r="P157" s="68"/>
      <c r="Q157" s="99" t="e">
        <f t="shared" si="32"/>
        <v>#DIV/0!</v>
      </c>
      <c r="R157" s="100">
        <f t="shared" si="33"/>
        <v>0.43387671059875982</v>
      </c>
      <c r="S157" s="83"/>
      <c r="T157" s="83"/>
      <c r="U157" s="101">
        <f t="shared" si="34"/>
        <v>2021.2824107652905</v>
      </c>
      <c r="V157" s="45"/>
      <c r="W157" s="45"/>
      <c r="X157" s="45"/>
      <c r="Y157" s="45"/>
      <c r="Z157" s="45"/>
      <c r="AA157" s="45"/>
      <c r="AY157" s="66"/>
      <c r="AZ157" s="66"/>
      <c r="BA157" s="66"/>
      <c r="BB157" s="22"/>
    </row>
    <row r="158" spans="2:54" x14ac:dyDescent="0.45">
      <c r="B158" s="45" t="s">
        <v>130</v>
      </c>
      <c r="C158" s="90"/>
      <c r="D158" s="56"/>
      <c r="E158" s="57"/>
      <c r="F158" s="58"/>
      <c r="G158" s="58"/>
      <c r="H158" s="58"/>
      <c r="I158" s="58"/>
      <c r="J158" s="58"/>
      <c r="K158" s="58"/>
      <c r="L158" s="59">
        <f t="shared" si="31"/>
        <v>0</v>
      </c>
      <c r="M158" s="68"/>
      <c r="N158" s="68"/>
      <c r="O158" s="68"/>
      <c r="P158" s="68"/>
      <c r="Q158" s="99" t="e">
        <f t="shared" si="32"/>
        <v>#DIV/0!</v>
      </c>
      <c r="R158" s="100">
        <f t="shared" si="33"/>
        <v>0.43387671059875982</v>
      </c>
      <c r="S158" s="83"/>
      <c r="T158" s="83"/>
      <c r="U158" s="101">
        <f t="shared" si="34"/>
        <v>2021.2824107652905</v>
      </c>
      <c r="V158" s="45"/>
      <c r="W158" s="45"/>
      <c r="X158" s="45"/>
      <c r="Y158" s="45"/>
      <c r="Z158" s="45"/>
      <c r="AA158" s="45"/>
      <c r="AY158" s="66"/>
      <c r="AZ158" s="66"/>
      <c r="BA158" s="66"/>
      <c r="BB158" s="22"/>
    </row>
    <row r="159" spans="2:54" x14ac:dyDescent="0.45">
      <c r="B159" s="45" t="s">
        <v>131</v>
      </c>
      <c r="C159" s="90"/>
      <c r="D159" s="56"/>
      <c r="E159" s="80"/>
      <c r="F159" s="58"/>
      <c r="G159" s="58"/>
      <c r="H159" s="58"/>
      <c r="I159" s="58"/>
      <c r="J159" s="58"/>
      <c r="K159" s="58"/>
      <c r="L159" s="59">
        <f t="shared" si="31"/>
        <v>0</v>
      </c>
      <c r="M159" s="68"/>
      <c r="N159" s="68"/>
      <c r="O159" s="68"/>
      <c r="P159" s="68"/>
      <c r="Q159" s="99" t="e">
        <f t="shared" si="32"/>
        <v>#DIV/0!</v>
      </c>
      <c r="R159" s="100">
        <f t="shared" si="33"/>
        <v>0.43387671059875982</v>
      </c>
      <c r="S159" s="83"/>
      <c r="T159" s="83"/>
      <c r="U159" s="101">
        <f t="shared" si="34"/>
        <v>2021.2824107652905</v>
      </c>
      <c r="V159" s="45"/>
      <c r="W159" s="45"/>
      <c r="X159" s="45"/>
      <c r="Y159" s="45"/>
      <c r="Z159" s="45"/>
      <c r="AA159" s="45"/>
      <c r="AY159" s="66"/>
      <c r="AZ159" s="66"/>
      <c r="BA159" s="66"/>
      <c r="BB159" s="22"/>
    </row>
    <row r="160" spans="2:54" x14ac:dyDescent="0.45">
      <c r="B160" s="45" t="s">
        <v>132</v>
      </c>
      <c r="C160" s="90"/>
      <c r="D160" s="56"/>
      <c r="E160" s="84"/>
      <c r="F160" s="58"/>
      <c r="G160" s="58"/>
      <c r="H160" s="58"/>
      <c r="I160" s="58"/>
      <c r="J160" s="58"/>
      <c r="K160" s="58"/>
      <c r="L160" s="59">
        <f t="shared" si="31"/>
        <v>0</v>
      </c>
      <c r="M160" s="68"/>
      <c r="N160" s="68"/>
      <c r="O160" s="68"/>
      <c r="P160" s="68"/>
      <c r="Q160" s="99" t="e">
        <f t="shared" si="32"/>
        <v>#DIV/0!</v>
      </c>
      <c r="R160" s="100">
        <f t="shared" si="33"/>
        <v>0.43387671059875982</v>
      </c>
      <c r="S160" s="83"/>
      <c r="T160" s="83"/>
      <c r="U160" s="101">
        <f t="shared" si="34"/>
        <v>2021.2824107652905</v>
      </c>
      <c r="V160" s="45"/>
      <c r="W160" s="45"/>
      <c r="X160" s="45"/>
      <c r="Y160" s="45"/>
      <c r="Z160" s="45"/>
      <c r="AA160" s="45"/>
      <c r="AY160" s="66"/>
      <c r="AZ160" s="66"/>
      <c r="BA160" s="66"/>
      <c r="BB160" s="22"/>
    </row>
    <row r="161" spans="2:54" x14ac:dyDescent="0.45">
      <c r="B161" s="45" t="s">
        <v>133</v>
      </c>
      <c r="C161" s="90"/>
      <c r="D161" s="56"/>
      <c r="E161" s="57"/>
      <c r="F161" s="58"/>
      <c r="G161" s="58"/>
      <c r="H161" s="58"/>
      <c r="I161" s="58"/>
      <c r="J161" s="58"/>
      <c r="K161" s="58"/>
      <c r="L161" s="59">
        <f t="shared" si="31"/>
        <v>0</v>
      </c>
      <c r="M161" s="68"/>
      <c r="N161" s="68"/>
      <c r="O161" s="68"/>
      <c r="P161" s="68"/>
      <c r="Q161" s="99" t="e">
        <f t="shared" si="32"/>
        <v>#DIV/0!</v>
      </c>
      <c r="R161" s="100">
        <f t="shared" si="33"/>
        <v>0.43387671059875982</v>
      </c>
      <c r="S161" s="83"/>
      <c r="T161" s="83"/>
      <c r="U161" s="101">
        <f t="shared" si="34"/>
        <v>2021.2824107652905</v>
      </c>
      <c r="V161" s="45"/>
      <c r="W161" s="45"/>
      <c r="X161" s="45"/>
      <c r="Y161" s="45"/>
      <c r="Z161" s="45"/>
      <c r="AA161" s="45"/>
      <c r="AY161" s="66"/>
      <c r="AZ161" s="66"/>
      <c r="BA161" s="66"/>
      <c r="BB161" s="22"/>
    </row>
    <row r="162" spans="2:54" x14ac:dyDescent="0.45">
      <c r="B162" s="45" t="s">
        <v>134</v>
      </c>
      <c r="C162" s="90"/>
      <c r="D162" s="56"/>
      <c r="E162" s="80"/>
      <c r="F162" s="58"/>
      <c r="G162" s="58"/>
      <c r="H162" s="58"/>
      <c r="I162" s="58"/>
      <c r="J162" s="58"/>
      <c r="K162" s="58"/>
      <c r="L162" s="59">
        <f t="shared" si="31"/>
        <v>0</v>
      </c>
      <c r="M162" s="68"/>
      <c r="N162" s="68"/>
      <c r="O162" s="68"/>
      <c r="P162" s="68"/>
      <c r="Q162" s="99" t="e">
        <f t="shared" si="32"/>
        <v>#DIV/0!</v>
      </c>
      <c r="R162" s="100">
        <f t="shared" si="33"/>
        <v>0.43387671059875982</v>
      </c>
      <c r="S162" s="83"/>
      <c r="T162" s="83"/>
      <c r="U162" s="101">
        <f t="shared" si="34"/>
        <v>2021.2824107652905</v>
      </c>
      <c r="V162" s="45"/>
      <c r="W162" s="45"/>
      <c r="X162" s="45"/>
      <c r="Y162" s="45"/>
      <c r="Z162" s="45"/>
      <c r="AA162" s="45"/>
      <c r="AY162" s="66"/>
      <c r="AZ162" s="66"/>
      <c r="BA162" s="66"/>
      <c r="BB162" s="22"/>
    </row>
    <row r="163" spans="2:54" x14ac:dyDescent="0.45">
      <c r="B163" s="45" t="s">
        <v>135</v>
      </c>
      <c r="C163" s="90"/>
      <c r="D163" s="56"/>
      <c r="E163" s="84"/>
      <c r="F163" s="58"/>
      <c r="G163" s="58"/>
      <c r="H163" s="58"/>
      <c r="I163" s="58"/>
      <c r="J163" s="58"/>
      <c r="K163" s="58"/>
      <c r="L163" s="59">
        <f t="shared" si="31"/>
        <v>0</v>
      </c>
      <c r="M163" s="68"/>
      <c r="N163" s="68"/>
      <c r="O163" s="68"/>
      <c r="P163" s="68"/>
      <c r="Q163" s="99" t="e">
        <f t="shared" si="32"/>
        <v>#DIV/0!</v>
      </c>
      <c r="R163" s="100">
        <f t="shared" si="33"/>
        <v>0.43387671059875982</v>
      </c>
      <c r="S163" s="83"/>
      <c r="T163" s="83"/>
      <c r="U163" s="101">
        <f t="shared" si="34"/>
        <v>2021.2824107652905</v>
      </c>
      <c r="V163" s="45"/>
      <c r="W163" s="45"/>
      <c r="X163" s="45"/>
      <c r="Y163" s="45"/>
      <c r="Z163" s="45"/>
      <c r="AA163" s="45"/>
      <c r="AY163" s="66"/>
      <c r="AZ163" s="66"/>
      <c r="BA163" s="66"/>
      <c r="BB163" s="22"/>
    </row>
    <row r="164" spans="2:54" x14ac:dyDescent="0.45">
      <c r="B164" s="45" t="s">
        <v>136</v>
      </c>
      <c r="C164" s="90"/>
      <c r="D164" s="56"/>
      <c r="E164" s="57"/>
      <c r="F164" s="58"/>
      <c r="G164" s="58"/>
      <c r="H164" s="58"/>
      <c r="I164" s="58"/>
      <c r="J164" s="58"/>
      <c r="K164" s="58"/>
      <c r="L164" s="59">
        <f t="shared" si="31"/>
        <v>0</v>
      </c>
      <c r="M164" s="68"/>
      <c r="N164" s="68"/>
      <c r="O164" s="68"/>
      <c r="P164" s="68"/>
      <c r="Q164" s="99" t="e">
        <f t="shared" si="32"/>
        <v>#DIV/0!</v>
      </c>
      <c r="R164" s="100">
        <f t="shared" si="33"/>
        <v>0.43387671059875982</v>
      </c>
      <c r="S164" s="83"/>
      <c r="T164" s="83"/>
      <c r="U164" s="101">
        <f t="shared" si="34"/>
        <v>2021.2824107652905</v>
      </c>
      <c r="V164" s="45"/>
      <c r="W164" s="45"/>
      <c r="X164" s="45"/>
      <c r="Y164" s="45"/>
      <c r="Z164" s="45"/>
      <c r="AA164" s="45"/>
      <c r="AY164" s="66"/>
      <c r="AZ164" s="66"/>
      <c r="BA164" s="66"/>
      <c r="BB164" s="22"/>
    </row>
    <row r="165" spans="2:54" x14ac:dyDescent="0.45">
      <c r="B165" s="45" t="s">
        <v>137</v>
      </c>
      <c r="C165" s="90"/>
      <c r="D165" s="56"/>
      <c r="E165" s="80"/>
      <c r="F165" s="58"/>
      <c r="G165" s="58"/>
      <c r="H165" s="58"/>
      <c r="I165" s="58"/>
      <c r="J165" s="58"/>
      <c r="K165" s="58"/>
      <c r="L165" s="59">
        <f t="shared" si="31"/>
        <v>0</v>
      </c>
      <c r="M165" s="68"/>
      <c r="N165" s="68"/>
      <c r="O165" s="68"/>
      <c r="P165" s="68"/>
      <c r="Q165" s="99" t="e">
        <f t="shared" si="32"/>
        <v>#DIV/0!</v>
      </c>
      <c r="R165" s="100">
        <f t="shared" si="33"/>
        <v>0.43387671059875982</v>
      </c>
      <c r="S165" s="83"/>
      <c r="T165" s="83"/>
      <c r="U165" s="101">
        <f t="shared" si="34"/>
        <v>2021.2824107652905</v>
      </c>
      <c r="V165" s="45"/>
      <c r="W165" s="45"/>
      <c r="X165" s="45"/>
      <c r="Y165" s="45"/>
      <c r="Z165" s="45"/>
      <c r="AA165" s="45"/>
      <c r="AY165" s="66"/>
      <c r="AZ165" s="66"/>
      <c r="BA165" s="66"/>
      <c r="BB165" s="22"/>
    </row>
    <row r="166" spans="2:54" x14ac:dyDescent="0.45">
      <c r="B166" s="45" t="s">
        <v>138</v>
      </c>
      <c r="C166" s="90"/>
      <c r="D166" s="56"/>
      <c r="E166" s="84"/>
      <c r="F166" s="58"/>
      <c r="G166" s="58"/>
      <c r="H166" s="58"/>
      <c r="I166" s="58"/>
      <c r="J166" s="58"/>
      <c r="K166" s="58"/>
      <c r="L166" s="59">
        <f t="shared" si="31"/>
        <v>0</v>
      </c>
      <c r="M166" s="68"/>
      <c r="N166" s="68"/>
      <c r="O166" s="68"/>
      <c r="P166" s="68"/>
      <c r="Q166" s="99" t="e">
        <f t="shared" si="32"/>
        <v>#DIV/0!</v>
      </c>
      <c r="R166" s="100">
        <f t="shared" si="33"/>
        <v>0.43387671059875982</v>
      </c>
      <c r="S166" s="83"/>
      <c r="T166" s="83"/>
      <c r="U166" s="101">
        <f t="shared" si="34"/>
        <v>2021.2824107652905</v>
      </c>
      <c r="V166" s="45"/>
      <c r="W166" s="45"/>
      <c r="X166" s="45"/>
      <c r="Y166" s="45"/>
      <c r="Z166" s="45"/>
      <c r="AA166" s="45"/>
      <c r="AY166" s="66"/>
      <c r="AZ166" s="66"/>
      <c r="BA166" s="66"/>
      <c r="BB166" s="22"/>
    </row>
    <row r="167" spans="2:54" x14ac:dyDescent="0.45">
      <c r="B167" s="45" t="s">
        <v>139</v>
      </c>
      <c r="C167" s="90"/>
      <c r="D167" s="56"/>
      <c r="E167" s="57"/>
      <c r="F167" s="58"/>
      <c r="G167" s="58"/>
      <c r="H167" s="58"/>
      <c r="I167" s="58"/>
      <c r="J167" s="58"/>
      <c r="K167" s="58"/>
      <c r="L167" s="59">
        <f t="shared" si="31"/>
        <v>0</v>
      </c>
      <c r="M167" s="68"/>
      <c r="N167" s="68"/>
      <c r="O167" s="68"/>
      <c r="P167" s="68"/>
      <c r="Q167" s="99" t="e">
        <f t="shared" si="32"/>
        <v>#DIV/0!</v>
      </c>
      <c r="R167" s="100">
        <f t="shared" si="33"/>
        <v>0.43387671059875982</v>
      </c>
      <c r="S167" s="83"/>
      <c r="T167" s="83"/>
      <c r="U167" s="101">
        <f t="shared" si="34"/>
        <v>2021.2824107652905</v>
      </c>
      <c r="V167" s="45"/>
      <c r="W167" s="45"/>
      <c r="X167" s="45"/>
      <c r="Y167" s="45"/>
      <c r="Z167" s="45"/>
      <c r="AA167" s="45"/>
      <c r="AY167" s="66"/>
      <c r="AZ167" s="66"/>
      <c r="BA167" s="66"/>
      <c r="BB167" s="22"/>
    </row>
    <row r="168" spans="2:54" x14ac:dyDescent="0.45">
      <c r="B168" s="45" t="s">
        <v>140</v>
      </c>
      <c r="C168" s="90"/>
      <c r="D168" s="56"/>
      <c r="E168" s="80"/>
      <c r="F168" s="58"/>
      <c r="G168" s="58"/>
      <c r="H168" s="58"/>
      <c r="I168" s="58"/>
      <c r="J168" s="58"/>
      <c r="K168" s="58"/>
      <c r="L168" s="59">
        <f t="shared" si="31"/>
        <v>0</v>
      </c>
      <c r="M168" s="68"/>
      <c r="N168" s="68"/>
      <c r="O168" s="68"/>
      <c r="P168" s="68"/>
      <c r="Q168" s="99" t="e">
        <f t="shared" si="32"/>
        <v>#DIV/0!</v>
      </c>
      <c r="R168" s="100">
        <f t="shared" si="33"/>
        <v>0.43387671059875982</v>
      </c>
      <c r="S168" s="83"/>
      <c r="T168" s="83"/>
      <c r="U168" s="101">
        <f t="shared" si="34"/>
        <v>2021.2824107652905</v>
      </c>
      <c r="V168" s="45"/>
      <c r="W168" s="45"/>
      <c r="X168" s="45"/>
      <c r="Y168" s="45"/>
      <c r="Z168" s="45"/>
      <c r="AA168" s="45"/>
      <c r="AY168" s="66"/>
      <c r="AZ168" s="66"/>
      <c r="BA168" s="66"/>
      <c r="BB168" s="22"/>
    </row>
    <row r="169" spans="2:54" x14ac:dyDescent="0.45">
      <c r="B169" s="45" t="s">
        <v>141</v>
      </c>
      <c r="C169" s="90"/>
      <c r="D169" s="56"/>
      <c r="E169" s="84"/>
      <c r="F169" s="58"/>
      <c r="G169" s="58"/>
      <c r="H169" s="58"/>
      <c r="I169" s="58"/>
      <c r="J169" s="58"/>
      <c r="K169" s="58"/>
      <c r="L169" s="59">
        <f t="shared" si="31"/>
        <v>0</v>
      </c>
      <c r="M169" s="68"/>
      <c r="N169" s="68"/>
      <c r="O169" s="68"/>
      <c r="P169" s="68"/>
      <c r="Q169" s="99" t="e">
        <f t="shared" si="32"/>
        <v>#DIV/0!</v>
      </c>
      <c r="R169" s="100">
        <f t="shared" si="33"/>
        <v>0.43387671059875982</v>
      </c>
      <c r="S169" s="83"/>
      <c r="T169" s="83"/>
      <c r="U169" s="101">
        <f t="shared" si="34"/>
        <v>2021.2824107652905</v>
      </c>
      <c r="V169" s="45"/>
      <c r="W169" s="45"/>
      <c r="X169" s="45"/>
      <c r="Y169" s="45"/>
      <c r="Z169" s="45"/>
      <c r="AA169" s="45"/>
      <c r="AY169" s="66"/>
      <c r="AZ169" s="66"/>
      <c r="BA169" s="66"/>
      <c r="BB169" s="22"/>
    </row>
    <row r="170" spans="2:54" x14ac:dyDescent="0.45">
      <c r="B170" s="45" t="s">
        <v>142</v>
      </c>
      <c r="C170" s="90"/>
      <c r="D170" s="56"/>
      <c r="E170" s="57"/>
      <c r="F170" s="58"/>
      <c r="G170" s="58"/>
      <c r="H170" s="58"/>
      <c r="I170" s="58"/>
      <c r="J170" s="58"/>
      <c r="K170" s="58"/>
      <c r="L170" s="59">
        <f t="shared" si="31"/>
        <v>0</v>
      </c>
      <c r="M170" s="68"/>
      <c r="N170" s="68"/>
      <c r="O170" s="68"/>
      <c r="P170" s="68"/>
      <c r="Q170" s="99" t="e">
        <f t="shared" si="32"/>
        <v>#DIV/0!</v>
      </c>
      <c r="R170" s="100">
        <f t="shared" si="33"/>
        <v>0.43387671059875982</v>
      </c>
      <c r="S170" s="83"/>
      <c r="T170" s="83"/>
      <c r="U170" s="101">
        <f t="shared" si="34"/>
        <v>2021.2824107652905</v>
      </c>
      <c r="V170" s="45"/>
      <c r="W170" s="45"/>
      <c r="X170" s="45"/>
      <c r="Y170" s="45"/>
      <c r="Z170" s="45"/>
      <c r="AA170" s="45"/>
      <c r="AY170" s="66"/>
      <c r="AZ170" s="66"/>
      <c r="BA170" s="66"/>
      <c r="BB170" s="22"/>
    </row>
    <row r="171" spans="2:54" x14ac:dyDescent="0.45">
      <c r="B171" s="45" t="s">
        <v>143</v>
      </c>
      <c r="C171" s="90"/>
      <c r="D171" s="56"/>
      <c r="E171" s="80"/>
      <c r="F171" s="58"/>
      <c r="G171" s="58"/>
      <c r="H171" s="58"/>
      <c r="I171" s="58"/>
      <c r="J171" s="58"/>
      <c r="K171" s="58"/>
      <c r="L171" s="59">
        <f t="shared" si="31"/>
        <v>0</v>
      </c>
      <c r="M171" s="68"/>
      <c r="N171" s="68"/>
      <c r="O171" s="68"/>
      <c r="P171" s="68"/>
      <c r="Q171" s="99" t="e">
        <f t="shared" si="32"/>
        <v>#DIV/0!</v>
      </c>
      <c r="R171" s="100">
        <f t="shared" si="33"/>
        <v>0.43387671059875982</v>
      </c>
      <c r="S171" s="83"/>
      <c r="T171" s="83"/>
      <c r="U171" s="101">
        <f t="shared" si="34"/>
        <v>2021.2824107652905</v>
      </c>
      <c r="V171" s="45"/>
      <c r="W171" s="45"/>
      <c r="X171" s="45"/>
      <c r="Y171" s="45"/>
      <c r="Z171" s="45"/>
      <c r="AA171" s="45"/>
      <c r="AY171" s="66"/>
      <c r="AZ171" s="66"/>
      <c r="BA171" s="66"/>
      <c r="BB171" s="22"/>
    </row>
    <row r="172" spans="2:54" x14ac:dyDescent="0.45">
      <c r="B172" s="45" t="s">
        <v>144</v>
      </c>
      <c r="C172" s="90"/>
      <c r="D172" s="56"/>
      <c r="E172" s="84"/>
      <c r="F172" s="58"/>
      <c r="G172" s="58"/>
      <c r="H172" s="58"/>
      <c r="I172" s="58"/>
      <c r="J172" s="58"/>
      <c r="K172" s="58"/>
      <c r="L172" s="59">
        <f t="shared" si="31"/>
        <v>0</v>
      </c>
      <c r="M172" s="68"/>
      <c r="N172" s="68"/>
      <c r="O172" s="68"/>
      <c r="P172" s="68"/>
      <c r="Q172" s="99" t="e">
        <f t="shared" si="32"/>
        <v>#DIV/0!</v>
      </c>
      <c r="R172" s="100">
        <f t="shared" si="33"/>
        <v>0.43387671059875982</v>
      </c>
      <c r="S172" s="83"/>
      <c r="T172" s="83"/>
      <c r="U172" s="101">
        <f t="shared" si="34"/>
        <v>2021.2824107652905</v>
      </c>
      <c r="V172" s="45"/>
      <c r="W172" s="45"/>
      <c r="X172" s="45"/>
      <c r="Y172" s="45"/>
      <c r="Z172" s="45"/>
      <c r="AA172" s="45"/>
      <c r="AY172" s="66"/>
      <c r="AZ172" s="66"/>
      <c r="BA172" s="66"/>
      <c r="BB172" s="22"/>
    </row>
    <row r="173" spans="2:54" x14ac:dyDescent="0.45">
      <c r="B173" s="45" t="s">
        <v>145</v>
      </c>
      <c r="C173" s="90"/>
      <c r="D173" s="56"/>
      <c r="E173" s="57"/>
      <c r="F173" s="58"/>
      <c r="G173" s="58"/>
      <c r="H173" s="58"/>
      <c r="I173" s="58"/>
      <c r="J173" s="58"/>
      <c r="K173" s="58"/>
      <c r="L173" s="59">
        <f t="shared" si="31"/>
        <v>0</v>
      </c>
      <c r="M173" s="68"/>
      <c r="N173" s="68"/>
      <c r="O173" s="68"/>
      <c r="P173" s="68"/>
      <c r="Q173" s="99" t="e">
        <f t="shared" si="32"/>
        <v>#DIV/0!</v>
      </c>
      <c r="R173" s="100">
        <f t="shared" si="33"/>
        <v>0.43387671059875982</v>
      </c>
      <c r="S173" s="83"/>
      <c r="T173" s="83"/>
      <c r="U173" s="101">
        <f t="shared" si="34"/>
        <v>2021.2824107652905</v>
      </c>
      <c r="V173" s="45"/>
      <c r="W173" s="45"/>
      <c r="X173" s="45"/>
      <c r="Y173" s="45"/>
      <c r="Z173" s="45"/>
      <c r="AA173" s="45"/>
      <c r="AY173" s="66"/>
      <c r="AZ173" s="66"/>
      <c r="BA173" s="66"/>
      <c r="BB173" s="22"/>
    </row>
    <row r="174" spans="2:54" x14ac:dyDescent="0.45">
      <c r="B174" s="45" t="s">
        <v>146</v>
      </c>
      <c r="C174" s="90"/>
      <c r="D174" s="56"/>
      <c r="E174" s="80"/>
      <c r="F174" s="58"/>
      <c r="G174" s="58"/>
      <c r="H174" s="58"/>
      <c r="I174" s="58"/>
      <c r="J174" s="58"/>
      <c r="K174" s="58"/>
      <c r="L174" s="59">
        <f t="shared" si="31"/>
        <v>0</v>
      </c>
      <c r="M174" s="68"/>
      <c r="N174" s="68"/>
      <c r="O174" s="68"/>
      <c r="P174" s="68"/>
      <c r="Q174" s="99" t="e">
        <f t="shared" si="32"/>
        <v>#DIV/0!</v>
      </c>
      <c r="R174" s="100">
        <f t="shared" si="33"/>
        <v>0.43387671059875982</v>
      </c>
      <c r="S174" s="83"/>
      <c r="T174" s="83"/>
      <c r="U174" s="101">
        <f t="shared" si="34"/>
        <v>2021.2824107652905</v>
      </c>
      <c r="V174" s="45"/>
      <c r="W174" s="45"/>
      <c r="X174" s="45"/>
      <c r="Y174" s="45"/>
      <c r="Z174" s="45"/>
      <c r="AA174" s="45"/>
      <c r="AY174" s="66"/>
      <c r="AZ174" s="66"/>
      <c r="BA174" s="66"/>
      <c r="BB174" s="22"/>
    </row>
    <row r="175" spans="2:54" x14ac:dyDescent="0.45">
      <c r="B175" s="45" t="s">
        <v>147</v>
      </c>
      <c r="C175" s="90"/>
      <c r="D175" s="56"/>
      <c r="E175" s="84"/>
      <c r="F175" s="58"/>
      <c r="G175" s="58"/>
      <c r="H175" s="58"/>
      <c r="I175" s="58"/>
      <c r="J175" s="58"/>
      <c r="K175" s="58"/>
      <c r="L175" s="59">
        <f t="shared" si="31"/>
        <v>0</v>
      </c>
      <c r="M175" s="68"/>
      <c r="N175" s="68"/>
      <c r="O175" s="68"/>
      <c r="P175" s="68"/>
      <c r="Q175" s="99" t="e">
        <f t="shared" si="32"/>
        <v>#DIV/0!</v>
      </c>
      <c r="R175" s="100">
        <f t="shared" si="33"/>
        <v>0.43387671059875982</v>
      </c>
      <c r="S175" s="83"/>
      <c r="T175" s="83"/>
      <c r="U175" s="101">
        <f t="shared" si="34"/>
        <v>2021.2824107652905</v>
      </c>
      <c r="V175" s="45"/>
      <c r="W175" s="45"/>
      <c r="X175" s="45"/>
      <c r="Y175" s="45"/>
      <c r="Z175" s="45"/>
      <c r="AA175" s="45"/>
      <c r="AY175" s="66"/>
      <c r="AZ175" s="66"/>
      <c r="BA175" s="66"/>
      <c r="BB175" s="22"/>
    </row>
    <row r="176" spans="2:54" x14ac:dyDescent="0.45">
      <c r="B176" s="45" t="s">
        <v>148</v>
      </c>
      <c r="C176" s="90"/>
      <c r="D176" s="56"/>
      <c r="E176" s="57"/>
      <c r="F176" s="58"/>
      <c r="G176" s="58"/>
      <c r="H176" s="58"/>
      <c r="I176" s="58"/>
      <c r="J176" s="58"/>
      <c r="K176" s="58"/>
      <c r="L176" s="59">
        <f t="shared" si="31"/>
        <v>0</v>
      </c>
      <c r="M176" s="68"/>
      <c r="N176" s="68"/>
      <c r="O176" s="68"/>
      <c r="P176" s="68"/>
      <c r="Q176" s="99" t="e">
        <f t="shared" si="32"/>
        <v>#DIV/0!</v>
      </c>
      <c r="R176" s="100">
        <f t="shared" si="33"/>
        <v>0.43387671059875982</v>
      </c>
      <c r="S176" s="83"/>
      <c r="T176" s="83"/>
      <c r="U176" s="101">
        <f t="shared" si="34"/>
        <v>2021.2824107652905</v>
      </c>
      <c r="V176" s="45"/>
      <c r="W176" s="45"/>
      <c r="X176" s="45"/>
      <c r="Y176" s="45"/>
      <c r="Z176" s="45"/>
      <c r="AA176" s="45"/>
      <c r="AY176" s="66"/>
      <c r="AZ176" s="66"/>
      <c r="BA176" s="66"/>
      <c r="BB176" s="22"/>
    </row>
    <row r="177" spans="2:54" x14ac:dyDescent="0.45">
      <c r="B177" s="45" t="s">
        <v>561</v>
      </c>
      <c r="C177" s="90"/>
      <c r="D177" s="56"/>
      <c r="E177" s="80"/>
      <c r="F177" s="58"/>
      <c r="G177" s="58"/>
      <c r="H177" s="58"/>
      <c r="I177" s="58"/>
      <c r="J177" s="58"/>
      <c r="K177" s="58"/>
      <c r="L177" s="59">
        <f t="shared" si="31"/>
        <v>0</v>
      </c>
      <c r="M177" s="68"/>
      <c r="N177" s="68"/>
      <c r="O177" s="68"/>
      <c r="P177" s="68"/>
      <c r="Q177" s="99" t="e">
        <f t="shared" si="32"/>
        <v>#DIV/0!</v>
      </c>
      <c r="R177" s="100">
        <f t="shared" si="33"/>
        <v>0.43387671059875982</v>
      </c>
      <c r="S177" s="83"/>
      <c r="T177" s="83"/>
      <c r="U177" s="101">
        <f t="shared" si="34"/>
        <v>2021.2824107652905</v>
      </c>
      <c r="V177" s="45"/>
      <c r="W177" s="45"/>
      <c r="X177" s="45"/>
      <c r="Y177" s="45"/>
      <c r="Z177" s="45"/>
      <c r="AA177" s="45"/>
      <c r="AY177" s="66"/>
      <c r="AZ177" s="66"/>
      <c r="BA177" s="66"/>
      <c r="BB177" s="22"/>
    </row>
    <row r="178" spans="2:54" x14ac:dyDescent="0.45">
      <c r="B178" s="45" t="s">
        <v>562</v>
      </c>
      <c r="C178" s="90"/>
      <c r="D178" s="56"/>
      <c r="E178" s="84"/>
      <c r="F178" s="58"/>
      <c r="G178" s="58"/>
      <c r="H178" s="58"/>
      <c r="I178" s="58"/>
      <c r="J178" s="58"/>
      <c r="K178" s="58"/>
      <c r="L178" s="59">
        <f t="shared" si="31"/>
        <v>0</v>
      </c>
      <c r="M178" s="68"/>
      <c r="N178" s="68"/>
      <c r="O178" s="68"/>
      <c r="P178" s="68"/>
      <c r="Q178" s="99" t="e">
        <f t="shared" si="32"/>
        <v>#DIV/0!</v>
      </c>
      <c r="R178" s="100">
        <f t="shared" si="33"/>
        <v>0.43387671059875982</v>
      </c>
      <c r="S178" s="83"/>
      <c r="T178" s="83"/>
      <c r="U178" s="101">
        <f t="shared" si="34"/>
        <v>2021.2824107652905</v>
      </c>
      <c r="V178" s="45"/>
      <c r="W178" s="45"/>
      <c r="X178" s="45"/>
      <c r="Y178" s="45"/>
      <c r="Z178" s="45"/>
      <c r="AA178" s="45"/>
      <c r="AY178" s="66"/>
      <c r="AZ178" s="66"/>
      <c r="BA178" s="66"/>
      <c r="BB178" s="22"/>
    </row>
    <row r="179" spans="2:54" x14ac:dyDescent="0.45">
      <c r="B179" s="45" t="s">
        <v>563</v>
      </c>
      <c r="C179" s="90"/>
      <c r="D179" s="56"/>
      <c r="E179" s="57"/>
      <c r="F179" s="58"/>
      <c r="G179" s="58"/>
      <c r="H179" s="58"/>
      <c r="I179" s="58"/>
      <c r="J179" s="58"/>
      <c r="K179" s="58"/>
      <c r="L179" s="59">
        <f t="shared" si="31"/>
        <v>0</v>
      </c>
      <c r="M179" s="68"/>
      <c r="N179" s="68"/>
      <c r="O179" s="68"/>
      <c r="P179" s="68"/>
      <c r="Q179" s="99" t="e">
        <f t="shared" si="32"/>
        <v>#DIV/0!</v>
      </c>
      <c r="R179" s="100">
        <f t="shared" si="33"/>
        <v>0.43387671059875982</v>
      </c>
      <c r="S179" s="83"/>
      <c r="T179" s="83"/>
      <c r="U179" s="101">
        <f t="shared" si="34"/>
        <v>2021.2824107652905</v>
      </c>
      <c r="V179" s="45"/>
      <c r="W179" s="45"/>
      <c r="X179" s="45"/>
      <c r="Y179" s="45"/>
      <c r="Z179" s="45"/>
      <c r="AA179" s="45"/>
      <c r="AY179" s="66"/>
      <c r="AZ179" s="66"/>
      <c r="BA179" s="66"/>
      <c r="BB179" s="22"/>
    </row>
    <row r="180" spans="2:54" x14ac:dyDescent="0.45">
      <c r="B180" s="45" t="s">
        <v>564</v>
      </c>
      <c r="C180" s="90"/>
      <c r="D180" s="56"/>
      <c r="E180" s="80"/>
      <c r="F180" s="58"/>
      <c r="G180" s="58"/>
      <c r="H180" s="58"/>
      <c r="I180" s="58"/>
      <c r="J180" s="58"/>
      <c r="K180" s="58"/>
      <c r="L180" s="59">
        <f t="shared" si="31"/>
        <v>0</v>
      </c>
      <c r="M180" s="68"/>
      <c r="N180" s="68"/>
      <c r="O180" s="68"/>
      <c r="P180" s="68"/>
      <c r="Q180" s="99" t="e">
        <f t="shared" si="32"/>
        <v>#DIV/0!</v>
      </c>
      <c r="R180" s="100">
        <f t="shared" si="33"/>
        <v>0.43387671059875982</v>
      </c>
      <c r="S180" s="83"/>
      <c r="T180" s="83"/>
      <c r="U180" s="101">
        <f t="shared" si="34"/>
        <v>2021.2824107652905</v>
      </c>
      <c r="V180" s="45"/>
      <c r="W180" s="45"/>
      <c r="X180" s="45"/>
      <c r="Y180" s="45"/>
      <c r="Z180" s="45"/>
      <c r="AA180" s="45"/>
      <c r="AY180" s="66"/>
      <c r="AZ180" s="66"/>
      <c r="BA180" s="66"/>
      <c r="BB180" s="22"/>
    </row>
    <row r="181" spans="2:54" x14ac:dyDescent="0.45">
      <c r="B181" s="45" t="s">
        <v>565</v>
      </c>
      <c r="C181" s="90"/>
      <c r="D181" s="56"/>
      <c r="E181" s="84"/>
      <c r="F181" s="58"/>
      <c r="G181" s="58"/>
      <c r="H181" s="58"/>
      <c r="I181" s="58"/>
      <c r="J181" s="58"/>
      <c r="K181" s="58"/>
      <c r="L181" s="59">
        <f t="shared" si="31"/>
        <v>0</v>
      </c>
      <c r="M181" s="68"/>
      <c r="N181" s="68"/>
      <c r="O181" s="68"/>
      <c r="P181" s="68"/>
      <c r="Q181" s="99" t="e">
        <f t="shared" si="32"/>
        <v>#DIV/0!</v>
      </c>
      <c r="R181" s="100">
        <f t="shared" si="33"/>
        <v>0.43387671059875982</v>
      </c>
      <c r="S181" s="83"/>
      <c r="T181" s="83"/>
      <c r="U181" s="101">
        <f t="shared" si="34"/>
        <v>2021.2824107652905</v>
      </c>
      <c r="V181" s="45"/>
      <c r="W181" s="45"/>
      <c r="X181" s="45"/>
      <c r="Y181" s="45"/>
      <c r="Z181" s="45"/>
      <c r="AA181" s="45"/>
      <c r="AY181" s="66"/>
      <c r="AZ181" s="66"/>
      <c r="BA181" s="66"/>
      <c r="BB181" s="22"/>
    </row>
    <row r="182" spans="2:54" x14ac:dyDescent="0.45">
      <c r="B182" s="45" t="s">
        <v>566</v>
      </c>
      <c r="C182" s="90"/>
      <c r="D182" s="56"/>
      <c r="E182" s="57"/>
      <c r="F182" s="58"/>
      <c r="G182" s="58"/>
      <c r="H182" s="58"/>
      <c r="I182" s="58"/>
      <c r="J182" s="58"/>
      <c r="K182" s="58"/>
      <c r="L182" s="59">
        <f t="shared" si="31"/>
        <v>0</v>
      </c>
      <c r="M182" s="68"/>
      <c r="N182" s="68"/>
      <c r="O182" s="68"/>
      <c r="P182" s="68"/>
      <c r="Q182" s="99" t="e">
        <f t="shared" si="32"/>
        <v>#DIV/0!</v>
      </c>
      <c r="R182" s="100">
        <f t="shared" si="33"/>
        <v>0.43387671059875982</v>
      </c>
      <c r="S182" s="83"/>
      <c r="T182" s="83"/>
      <c r="U182" s="101">
        <f t="shared" si="34"/>
        <v>2021.2824107652905</v>
      </c>
      <c r="V182" s="45"/>
      <c r="W182" s="45"/>
      <c r="X182" s="45"/>
      <c r="Y182" s="45"/>
      <c r="Z182" s="45"/>
      <c r="AA182" s="45"/>
      <c r="AY182" s="66"/>
      <c r="AZ182" s="66"/>
      <c r="BA182" s="66"/>
      <c r="BB182" s="22"/>
    </row>
    <row r="183" spans="2:54" x14ac:dyDescent="0.45">
      <c r="B183" s="45" t="s">
        <v>567</v>
      </c>
      <c r="C183" s="90"/>
      <c r="D183" s="56"/>
      <c r="E183" s="80"/>
      <c r="F183" s="58"/>
      <c r="G183" s="58"/>
      <c r="H183" s="58"/>
      <c r="I183" s="58"/>
      <c r="J183" s="58"/>
      <c r="K183" s="58"/>
      <c r="L183" s="59">
        <f t="shared" si="31"/>
        <v>0</v>
      </c>
      <c r="M183" s="68"/>
      <c r="N183" s="68"/>
      <c r="O183" s="68"/>
      <c r="P183" s="68"/>
      <c r="Q183" s="99" t="e">
        <f t="shared" si="32"/>
        <v>#DIV/0!</v>
      </c>
      <c r="R183" s="100">
        <f t="shared" si="33"/>
        <v>0.43387671059875982</v>
      </c>
      <c r="S183" s="83"/>
      <c r="T183" s="83"/>
      <c r="U183" s="101">
        <f t="shared" si="34"/>
        <v>2021.2824107652905</v>
      </c>
      <c r="V183" s="45"/>
      <c r="W183" s="45"/>
      <c r="X183" s="45"/>
      <c r="Y183" s="45"/>
      <c r="Z183" s="45"/>
      <c r="AA183" s="45"/>
      <c r="AY183" s="66"/>
      <c r="AZ183" s="66"/>
      <c r="BA183" s="66"/>
      <c r="BB183" s="22"/>
    </row>
    <row r="184" spans="2:54" x14ac:dyDescent="0.45">
      <c r="B184" s="45" t="s">
        <v>568</v>
      </c>
      <c r="C184" s="90"/>
      <c r="D184" s="56"/>
      <c r="E184" s="84"/>
      <c r="F184" s="58"/>
      <c r="G184" s="58"/>
      <c r="H184" s="58"/>
      <c r="I184" s="58"/>
      <c r="J184" s="58"/>
      <c r="K184" s="58"/>
      <c r="L184" s="59">
        <f t="shared" si="31"/>
        <v>0</v>
      </c>
      <c r="M184" s="68"/>
      <c r="N184" s="68"/>
      <c r="O184" s="68"/>
      <c r="P184" s="68"/>
      <c r="Q184" s="99" t="e">
        <f t="shared" si="32"/>
        <v>#DIV/0!</v>
      </c>
      <c r="R184" s="100">
        <f t="shared" si="33"/>
        <v>0.43387671059875982</v>
      </c>
      <c r="S184" s="83"/>
      <c r="T184" s="83"/>
      <c r="U184" s="101">
        <f t="shared" si="34"/>
        <v>2021.2824107652905</v>
      </c>
      <c r="V184" s="45"/>
      <c r="W184" s="45"/>
      <c r="X184" s="45"/>
      <c r="Y184" s="45"/>
      <c r="Z184" s="45"/>
      <c r="AA184" s="45"/>
      <c r="AY184" s="66"/>
      <c r="AZ184" s="66"/>
      <c r="BA184" s="66"/>
      <c r="BB184" s="22"/>
    </row>
    <row r="185" spans="2:54" x14ac:dyDescent="0.45">
      <c r="B185" s="45" t="s">
        <v>569</v>
      </c>
      <c r="C185" s="90"/>
      <c r="D185" s="56"/>
      <c r="E185" s="57"/>
      <c r="F185" s="58"/>
      <c r="G185" s="58"/>
      <c r="H185" s="58"/>
      <c r="I185" s="58"/>
      <c r="J185" s="58"/>
      <c r="K185" s="58"/>
      <c r="L185" s="59">
        <f t="shared" si="31"/>
        <v>0</v>
      </c>
      <c r="M185" s="68"/>
      <c r="N185" s="68"/>
      <c r="O185" s="68"/>
      <c r="P185" s="68"/>
      <c r="Q185" s="99" t="e">
        <f t="shared" si="32"/>
        <v>#DIV/0!</v>
      </c>
      <c r="R185" s="100">
        <f t="shared" si="33"/>
        <v>0.43387671059875982</v>
      </c>
      <c r="S185" s="83"/>
      <c r="T185" s="83"/>
      <c r="U185" s="101">
        <f t="shared" si="34"/>
        <v>2021.2824107652905</v>
      </c>
      <c r="V185" s="45"/>
      <c r="W185" s="45"/>
      <c r="X185" s="45"/>
      <c r="Y185" s="45"/>
      <c r="Z185" s="45"/>
      <c r="AA185" s="45"/>
      <c r="AY185" s="66"/>
      <c r="AZ185" s="66"/>
      <c r="BA185" s="66"/>
      <c r="BB185" s="22"/>
    </row>
    <row r="186" spans="2:54" x14ac:dyDescent="0.45">
      <c r="B186" s="45" t="s">
        <v>570</v>
      </c>
      <c r="C186" s="90"/>
      <c r="D186" s="56"/>
      <c r="E186" s="80"/>
      <c r="F186" s="58"/>
      <c r="G186" s="58"/>
      <c r="H186" s="58"/>
      <c r="I186" s="58"/>
      <c r="J186" s="58"/>
      <c r="K186" s="58"/>
      <c r="L186" s="59">
        <f t="shared" si="31"/>
        <v>0</v>
      </c>
      <c r="M186" s="68"/>
      <c r="N186" s="68"/>
      <c r="O186" s="68"/>
      <c r="P186" s="68"/>
      <c r="Q186" s="99" t="e">
        <f t="shared" si="32"/>
        <v>#DIV/0!</v>
      </c>
      <c r="R186" s="100">
        <f t="shared" si="33"/>
        <v>0.43387671059875982</v>
      </c>
      <c r="S186" s="83"/>
      <c r="T186" s="83"/>
      <c r="U186" s="101">
        <f t="shared" si="34"/>
        <v>2021.2824107652905</v>
      </c>
      <c r="V186" s="45"/>
      <c r="W186" s="45"/>
      <c r="X186" s="45"/>
      <c r="Y186" s="45"/>
      <c r="Z186" s="45"/>
      <c r="AA186" s="45"/>
      <c r="AY186" s="66"/>
      <c r="AZ186" s="66"/>
      <c r="BA186" s="66"/>
      <c r="BB186" s="22"/>
    </row>
    <row r="187" spans="2:54" x14ac:dyDescent="0.45">
      <c r="B187" s="45" t="s">
        <v>571</v>
      </c>
      <c r="C187" s="90"/>
      <c r="D187" s="56"/>
      <c r="E187" s="84"/>
      <c r="F187" s="58"/>
      <c r="G187" s="58"/>
      <c r="H187" s="58"/>
      <c r="I187" s="58"/>
      <c r="J187" s="58"/>
      <c r="K187" s="58"/>
      <c r="L187" s="59">
        <f t="shared" si="31"/>
        <v>0</v>
      </c>
      <c r="M187" s="68"/>
      <c r="N187" s="68"/>
      <c r="O187" s="68"/>
      <c r="P187" s="68"/>
      <c r="Q187" s="99" t="e">
        <f t="shared" si="32"/>
        <v>#DIV/0!</v>
      </c>
      <c r="R187" s="100">
        <f t="shared" si="33"/>
        <v>0.43387671059875982</v>
      </c>
      <c r="S187" s="83"/>
      <c r="T187" s="83"/>
      <c r="U187" s="101">
        <f t="shared" si="34"/>
        <v>2021.2824107652905</v>
      </c>
      <c r="V187" s="45"/>
      <c r="W187" s="45"/>
      <c r="X187" s="45"/>
      <c r="Y187" s="45"/>
      <c r="Z187" s="45"/>
      <c r="AA187" s="45"/>
      <c r="AY187" s="66"/>
      <c r="AZ187" s="66"/>
      <c r="BA187" s="66"/>
      <c r="BB187" s="22"/>
    </row>
    <row r="188" spans="2:54" x14ac:dyDescent="0.45">
      <c r="B188" s="45" t="s">
        <v>572</v>
      </c>
      <c r="C188" s="90"/>
      <c r="D188" s="56"/>
      <c r="E188" s="57"/>
      <c r="F188" s="58"/>
      <c r="G188" s="58"/>
      <c r="H188" s="58"/>
      <c r="I188" s="58"/>
      <c r="J188" s="58"/>
      <c r="K188" s="58"/>
      <c r="L188" s="59">
        <f t="shared" si="31"/>
        <v>0</v>
      </c>
      <c r="M188" s="68"/>
      <c r="N188" s="68"/>
      <c r="O188" s="68"/>
      <c r="P188" s="68"/>
      <c r="Q188" s="99" t="e">
        <f t="shared" si="32"/>
        <v>#DIV/0!</v>
      </c>
      <c r="R188" s="100">
        <f t="shared" si="33"/>
        <v>0.43387671059875982</v>
      </c>
      <c r="S188" s="83"/>
      <c r="T188" s="83"/>
      <c r="U188" s="101">
        <f t="shared" si="34"/>
        <v>2021.2824107652905</v>
      </c>
      <c r="V188" s="45"/>
      <c r="W188" s="45"/>
      <c r="X188" s="45"/>
      <c r="Y188" s="45"/>
      <c r="Z188" s="45"/>
      <c r="AA188" s="45"/>
      <c r="AY188" s="66"/>
      <c r="AZ188" s="66"/>
      <c r="BA188" s="66"/>
      <c r="BB188" s="22"/>
    </row>
    <row r="189" spans="2:54" x14ac:dyDescent="0.45">
      <c r="B189" s="45" t="s">
        <v>573</v>
      </c>
      <c r="C189" s="90"/>
      <c r="D189" s="56"/>
      <c r="E189" s="80"/>
      <c r="F189" s="58"/>
      <c r="G189" s="58"/>
      <c r="H189" s="58"/>
      <c r="I189" s="58"/>
      <c r="J189" s="58"/>
      <c r="K189" s="58"/>
      <c r="L189" s="59">
        <f t="shared" si="31"/>
        <v>0</v>
      </c>
      <c r="M189" s="68"/>
      <c r="N189" s="68"/>
      <c r="O189" s="68"/>
      <c r="P189" s="68"/>
      <c r="Q189" s="99" t="e">
        <f t="shared" si="32"/>
        <v>#DIV/0!</v>
      </c>
      <c r="R189" s="100">
        <f t="shared" si="33"/>
        <v>0.43387671059875982</v>
      </c>
      <c r="S189" s="83"/>
      <c r="T189" s="83"/>
      <c r="U189" s="101">
        <f t="shared" si="34"/>
        <v>2021.2824107652905</v>
      </c>
      <c r="V189" s="45"/>
      <c r="W189" s="45"/>
      <c r="X189" s="45"/>
      <c r="Y189" s="45"/>
      <c r="Z189" s="45"/>
      <c r="AA189" s="45"/>
      <c r="AY189" s="66"/>
      <c r="AZ189" s="66"/>
      <c r="BA189" s="66"/>
      <c r="BB189" s="22"/>
    </row>
    <row r="190" spans="2:54" x14ac:dyDescent="0.45">
      <c r="B190" s="45" t="s">
        <v>574</v>
      </c>
      <c r="C190" s="90"/>
      <c r="D190" s="56"/>
      <c r="E190" s="84"/>
      <c r="F190" s="58"/>
      <c r="G190" s="58"/>
      <c r="H190" s="58"/>
      <c r="I190" s="58"/>
      <c r="J190" s="58"/>
      <c r="K190" s="58"/>
      <c r="L190" s="59">
        <f t="shared" si="31"/>
        <v>0</v>
      </c>
      <c r="M190" s="68"/>
      <c r="N190" s="68"/>
      <c r="O190" s="68"/>
      <c r="P190" s="68"/>
      <c r="Q190" s="99" t="e">
        <f t="shared" si="32"/>
        <v>#DIV/0!</v>
      </c>
      <c r="R190" s="100">
        <f t="shared" si="33"/>
        <v>0.43387671059875982</v>
      </c>
      <c r="S190" s="83"/>
      <c r="T190" s="83"/>
      <c r="U190" s="101">
        <f t="shared" si="34"/>
        <v>2021.2824107652905</v>
      </c>
      <c r="V190" s="45"/>
      <c r="W190" s="45"/>
      <c r="X190" s="45"/>
      <c r="Y190" s="45"/>
      <c r="Z190" s="45"/>
      <c r="AA190" s="45"/>
      <c r="AY190" s="66"/>
      <c r="AZ190" s="66"/>
      <c r="BA190" s="66"/>
      <c r="BB190" s="22"/>
    </row>
    <row r="191" spans="2:54" x14ac:dyDescent="0.45">
      <c r="B191" s="45" t="s">
        <v>575</v>
      </c>
      <c r="C191" s="90"/>
      <c r="D191" s="56"/>
      <c r="E191" s="57"/>
      <c r="F191" s="58"/>
      <c r="G191" s="58"/>
      <c r="H191" s="58"/>
      <c r="I191" s="58"/>
      <c r="J191" s="58"/>
      <c r="K191" s="58"/>
      <c r="L191" s="59">
        <f t="shared" si="31"/>
        <v>0</v>
      </c>
      <c r="M191" s="68"/>
      <c r="N191" s="68"/>
      <c r="O191" s="68"/>
      <c r="P191" s="68"/>
      <c r="Q191" s="99" t="e">
        <f t="shared" si="32"/>
        <v>#DIV/0!</v>
      </c>
      <c r="R191" s="100">
        <f t="shared" si="33"/>
        <v>0.43387671059875982</v>
      </c>
      <c r="S191" s="83"/>
      <c r="T191" s="83"/>
      <c r="U191" s="101">
        <f t="shared" si="34"/>
        <v>2021.2824107652905</v>
      </c>
      <c r="V191" s="45"/>
      <c r="W191" s="45"/>
      <c r="X191" s="45"/>
      <c r="Y191" s="45"/>
      <c r="Z191" s="45"/>
      <c r="AA191" s="45"/>
      <c r="AY191" s="66"/>
      <c r="AZ191" s="66"/>
      <c r="BA191" s="66"/>
      <c r="BB191" s="22"/>
    </row>
    <row r="192" spans="2:54" x14ac:dyDescent="0.45">
      <c r="B192" s="45" t="s">
        <v>576</v>
      </c>
      <c r="C192" s="90"/>
      <c r="D192" s="56"/>
      <c r="E192" s="80"/>
      <c r="F192" s="58"/>
      <c r="G192" s="58"/>
      <c r="H192" s="58"/>
      <c r="I192" s="58"/>
      <c r="J192" s="58"/>
      <c r="K192" s="58"/>
      <c r="L192" s="59">
        <f t="shared" si="31"/>
        <v>0</v>
      </c>
      <c r="M192" s="68"/>
      <c r="N192" s="68"/>
      <c r="O192" s="68"/>
      <c r="P192" s="68"/>
      <c r="Q192" s="99" t="e">
        <f t="shared" si="32"/>
        <v>#DIV/0!</v>
      </c>
      <c r="R192" s="100">
        <f t="shared" si="33"/>
        <v>0.43387671059875982</v>
      </c>
      <c r="S192" s="83"/>
      <c r="T192" s="83"/>
      <c r="U192" s="101">
        <f t="shared" si="34"/>
        <v>2021.2824107652905</v>
      </c>
      <c r="V192" s="45"/>
      <c r="W192" s="45"/>
      <c r="X192" s="45"/>
      <c r="Y192" s="45"/>
      <c r="Z192" s="45"/>
      <c r="AA192" s="45"/>
      <c r="AY192" s="66"/>
      <c r="AZ192" s="66"/>
      <c r="BA192" s="66"/>
      <c r="BB192" s="22"/>
    </row>
    <row r="193" spans="2:54" x14ac:dyDescent="0.45">
      <c r="B193" s="45" t="s">
        <v>577</v>
      </c>
      <c r="C193" s="90"/>
      <c r="D193" s="56"/>
      <c r="E193" s="84"/>
      <c r="F193" s="58"/>
      <c r="G193" s="58"/>
      <c r="H193" s="58"/>
      <c r="I193" s="58"/>
      <c r="J193" s="58"/>
      <c r="K193" s="58"/>
      <c r="L193" s="59">
        <f t="shared" si="31"/>
        <v>0</v>
      </c>
      <c r="M193" s="68"/>
      <c r="N193" s="68"/>
      <c r="O193" s="68"/>
      <c r="P193" s="68"/>
      <c r="Q193" s="99" t="e">
        <f t="shared" si="32"/>
        <v>#DIV/0!</v>
      </c>
      <c r="R193" s="100">
        <f t="shared" si="33"/>
        <v>0.43387671059875982</v>
      </c>
      <c r="S193" s="83"/>
      <c r="T193" s="83"/>
      <c r="U193" s="101">
        <f t="shared" si="34"/>
        <v>2021.2824107652905</v>
      </c>
      <c r="V193" s="45"/>
      <c r="W193" s="45"/>
      <c r="X193" s="45"/>
      <c r="Y193" s="45"/>
      <c r="Z193" s="45"/>
      <c r="AA193" s="45"/>
      <c r="AY193" s="66"/>
      <c r="AZ193" s="66"/>
      <c r="BA193" s="66"/>
      <c r="BB193" s="22"/>
    </row>
    <row r="194" spans="2:54" x14ac:dyDescent="0.45">
      <c r="B194" s="45" t="s">
        <v>578</v>
      </c>
      <c r="C194" s="90"/>
      <c r="D194" s="56"/>
      <c r="E194" s="57"/>
      <c r="F194" s="58"/>
      <c r="G194" s="58"/>
      <c r="H194" s="58"/>
      <c r="I194" s="58"/>
      <c r="J194" s="58"/>
      <c r="K194" s="58"/>
      <c r="L194" s="59">
        <f t="shared" si="31"/>
        <v>0</v>
      </c>
      <c r="M194" s="68"/>
      <c r="N194" s="68"/>
      <c r="O194" s="68"/>
      <c r="P194" s="68"/>
      <c r="Q194" s="99" t="e">
        <f t="shared" si="32"/>
        <v>#DIV/0!</v>
      </c>
      <c r="R194" s="100">
        <f t="shared" si="33"/>
        <v>0.43387671059875982</v>
      </c>
      <c r="S194" s="83"/>
      <c r="T194" s="83"/>
      <c r="U194" s="101">
        <f t="shared" si="34"/>
        <v>2021.2824107652905</v>
      </c>
      <c r="V194" s="45"/>
      <c r="W194" s="45"/>
      <c r="X194" s="45"/>
      <c r="Y194" s="45"/>
      <c r="Z194" s="45"/>
      <c r="AA194" s="45"/>
      <c r="AY194" s="66"/>
      <c r="AZ194" s="66"/>
      <c r="BA194" s="66"/>
      <c r="BB194" s="22"/>
    </row>
    <row r="195" spans="2:54" x14ac:dyDescent="0.45">
      <c r="B195" s="45" t="s">
        <v>579</v>
      </c>
      <c r="C195" s="90"/>
      <c r="D195" s="56"/>
      <c r="E195" s="80"/>
      <c r="F195" s="58"/>
      <c r="G195" s="58"/>
      <c r="H195" s="58"/>
      <c r="I195" s="58"/>
      <c r="J195" s="58"/>
      <c r="K195" s="58"/>
      <c r="L195" s="59">
        <f t="shared" si="31"/>
        <v>0</v>
      </c>
      <c r="M195" s="68"/>
      <c r="N195" s="68"/>
      <c r="O195" s="68"/>
      <c r="P195" s="68"/>
      <c r="Q195" s="99" t="e">
        <f t="shared" si="32"/>
        <v>#DIV/0!</v>
      </c>
      <c r="R195" s="100">
        <f t="shared" si="33"/>
        <v>0.43387671059875982</v>
      </c>
      <c r="S195" s="83"/>
      <c r="T195" s="83"/>
      <c r="U195" s="101">
        <f t="shared" si="34"/>
        <v>2021.2824107652905</v>
      </c>
      <c r="V195" s="45"/>
      <c r="W195" s="45"/>
      <c r="X195" s="45"/>
      <c r="Y195" s="45"/>
      <c r="Z195" s="45"/>
      <c r="AA195" s="45"/>
      <c r="AY195" s="66"/>
      <c r="AZ195" s="66"/>
      <c r="BA195" s="66"/>
      <c r="BB195" s="22"/>
    </row>
    <row r="196" spans="2:54" x14ac:dyDescent="0.45">
      <c r="B196" s="45" t="s">
        <v>580</v>
      </c>
      <c r="C196" s="90"/>
      <c r="D196" s="56"/>
      <c r="E196" s="84"/>
      <c r="F196" s="58"/>
      <c r="G196" s="58"/>
      <c r="H196" s="58"/>
      <c r="I196" s="58"/>
      <c r="J196" s="58"/>
      <c r="K196" s="58"/>
      <c r="L196" s="59">
        <f t="shared" si="31"/>
        <v>0</v>
      </c>
      <c r="M196" s="68"/>
      <c r="N196" s="68"/>
      <c r="O196" s="68"/>
      <c r="P196" s="68"/>
      <c r="Q196" s="99" t="e">
        <f t="shared" si="32"/>
        <v>#DIV/0!</v>
      </c>
      <c r="R196" s="100">
        <f t="shared" si="33"/>
        <v>0.43387671059875982</v>
      </c>
      <c r="S196" s="83"/>
      <c r="T196" s="83"/>
      <c r="U196" s="101">
        <f t="shared" si="34"/>
        <v>2021.2824107652905</v>
      </c>
      <c r="V196" s="45"/>
      <c r="W196" s="45"/>
      <c r="X196" s="45"/>
      <c r="Y196" s="45"/>
      <c r="Z196" s="45"/>
      <c r="AA196" s="45"/>
      <c r="AY196" s="66"/>
      <c r="AZ196" s="66"/>
      <c r="BA196" s="66"/>
      <c r="BB196" s="22"/>
    </row>
    <row r="197" spans="2:54" x14ac:dyDescent="0.45">
      <c r="B197" s="45" t="s">
        <v>581</v>
      </c>
      <c r="C197" s="90"/>
      <c r="D197" s="56"/>
      <c r="E197" s="57"/>
      <c r="F197" s="58"/>
      <c r="G197" s="58"/>
      <c r="H197" s="58"/>
      <c r="I197" s="58"/>
      <c r="J197" s="58"/>
      <c r="K197" s="58"/>
      <c r="L197" s="59">
        <f t="shared" si="31"/>
        <v>0</v>
      </c>
      <c r="M197" s="68"/>
      <c r="N197" s="68"/>
      <c r="O197" s="68"/>
      <c r="P197" s="68"/>
      <c r="Q197" s="99" t="e">
        <f t="shared" si="32"/>
        <v>#DIV/0!</v>
      </c>
      <c r="R197" s="100">
        <f t="shared" si="33"/>
        <v>0.43387671059875982</v>
      </c>
      <c r="S197" s="83"/>
      <c r="T197" s="83"/>
      <c r="U197" s="101">
        <f t="shared" si="34"/>
        <v>2021.2824107652905</v>
      </c>
      <c r="V197" s="45"/>
      <c r="W197" s="45"/>
      <c r="X197" s="45"/>
      <c r="Y197" s="45"/>
      <c r="Z197" s="45"/>
      <c r="AA197" s="45"/>
      <c r="AY197" s="66"/>
      <c r="AZ197" s="66"/>
      <c r="BA197" s="66"/>
      <c r="BB197" s="22"/>
    </row>
    <row r="198" spans="2:54" x14ac:dyDescent="0.45">
      <c r="B198" s="45" t="s">
        <v>582</v>
      </c>
      <c r="C198" s="90"/>
      <c r="D198" s="56"/>
      <c r="E198" s="80"/>
      <c r="F198" s="58"/>
      <c r="G198" s="58"/>
      <c r="H198" s="58"/>
      <c r="I198" s="58"/>
      <c r="J198" s="58"/>
      <c r="K198" s="58"/>
      <c r="L198" s="59">
        <f t="shared" si="31"/>
        <v>0</v>
      </c>
      <c r="M198" s="68"/>
      <c r="N198" s="68"/>
      <c r="O198" s="68"/>
      <c r="P198" s="68"/>
      <c r="Q198" s="99" t="e">
        <f t="shared" si="32"/>
        <v>#DIV/0!</v>
      </c>
      <c r="R198" s="100">
        <f t="shared" si="33"/>
        <v>0.43387671059875982</v>
      </c>
      <c r="S198" s="83"/>
      <c r="T198" s="83"/>
      <c r="U198" s="101">
        <f t="shared" si="34"/>
        <v>2021.2824107652905</v>
      </c>
      <c r="V198" s="45"/>
      <c r="W198" s="45"/>
      <c r="X198" s="45"/>
      <c r="Y198" s="45"/>
      <c r="Z198" s="45"/>
      <c r="AA198" s="45"/>
      <c r="AY198" s="66"/>
      <c r="AZ198" s="66"/>
      <c r="BA198" s="66"/>
      <c r="BB198" s="22"/>
    </row>
    <row r="199" spans="2:54" x14ac:dyDescent="0.45">
      <c r="B199" s="45" t="s">
        <v>583</v>
      </c>
      <c r="C199" s="90"/>
      <c r="D199" s="56"/>
      <c r="E199" s="84"/>
      <c r="F199" s="58"/>
      <c r="G199" s="58"/>
      <c r="H199" s="58"/>
      <c r="I199" s="58"/>
      <c r="J199" s="58"/>
      <c r="K199" s="58"/>
      <c r="L199" s="59">
        <f t="shared" si="31"/>
        <v>0</v>
      </c>
      <c r="M199" s="68"/>
      <c r="N199" s="68"/>
      <c r="O199" s="68"/>
      <c r="P199" s="68"/>
      <c r="Q199" s="99" t="e">
        <f t="shared" si="32"/>
        <v>#DIV/0!</v>
      </c>
      <c r="R199" s="100">
        <f t="shared" si="33"/>
        <v>0.43387671059875982</v>
      </c>
      <c r="S199" s="83"/>
      <c r="T199" s="83"/>
      <c r="U199" s="101">
        <f t="shared" si="34"/>
        <v>2021.2824107652905</v>
      </c>
      <c r="V199" s="45"/>
      <c r="W199" s="45"/>
      <c r="X199" s="45"/>
      <c r="Y199" s="45"/>
      <c r="Z199" s="45"/>
      <c r="AA199" s="45"/>
      <c r="AY199" s="66"/>
      <c r="AZ199" s="66"/>
      <c r="BA199" s="66"/>
      <c r="BB199" s="22"/>
    </row>
    <row r="200" spans="2:54" x14ac:dyDescent="0.45">
      <c r="B200" s="45" t="s">
        <v>584</v>
      </c>
      <c r="C200" s="90"/>
      <c r="D200" s="56"/>
      <c r="E200" s="57"/>
      <c r="F200" s="58"/>
      <c r="G200" s="58"/>
      <c r="H200" s="58"/>
      <c r="I200" s="58"/>
      <c r="J200" s="58"/>
      <c r="K200" s="58"/>
      <c r="L200" s="59">
        <f t="shared" si="31"/>
        <v>0</v>
      </c>
      <c r="M200" s="68"/>
      <c r="N200" s="68"/>
      <c r="O200" s="68"/>
      <c r="P200" s="68"/>
      <c r="Q200" s="99" t="e">
        <f t="shared" si="32"/>
        <v>#DIV/0!</v>
      </c>
      <c r="R200" s="100">
        <f t="shared" si="33"/>
        <v>0.43387671059875982</v>
      </c>
      <c r="S200" s="83"/>
      <c r="T200" s="83"/>
      <c r="U200" s="101">
        <f t="shared" si="34"/>
        <v>2021.2824107652905</v>
      </c>
      <c r="V200" s="45"/>
      <c r="W200" s="45"/>
      <c r="X200" s="45"/>
      <c r="Y200" s="45"/>
      <c r="Z200" s="45"/>
      <c r="AA200" s="45"/>
      <c r="AY200" s="66"/>
      <c r="AZ200" s="66"/>
      <c r="BA200" s="66"/>
      <c r="BB200" s="22"/>
    </row>
    <row r="201" spans="2:54" x14ac:dyDescent="0.45">
      <c r="B201" s="45" t="s">
        <v>585</v>
      </c>
      <c r="C201" s="90"/>
      <c r="D201" s="56"/>
      <c r="E201" s="80"/>
      <c r="F201" s="58"/>
      <c r="G201" s="58"/>
      <c r="H201" s="58"/>
      <c r="I201" s="58"/>
      <c r="J201" s="58"/>
      <c r="K201" s="58"/>
      <c r="L201" s="59">
        <f t="shared" si="31"/>
        <v>0</v>
      </c>
      <c r="M201" s="68"/>
      <c r="N201" s="68"/>
      <c r="O201" s="68"/>
      <c r="P201" s="68"/>
      <c r="Q201" s="99" t="e">
        <f t="shared" si="32"/>
        <v>#DIV/0!</v>
      </c>
      <c r="R201" s="100">
        <f t="shared" si="33"/>
        <v>0.43387671059875982</v>
      </c>
      <c r="S201" s="83"/>
      <c r="T201" s="83"/>
      <c r="U201" s="101">
        <f t="shared" si="34"/>
        <v>2021.2824107652905</v>
      </c>
      <c r="V201" s="45"/>
      <c r="W201" s="45"/>
      <c r="X201" s="45"/>
      <c r="Y201" s="45"/>
      <c r="Z201" s="45"/>
      <c r="AA201" s="45"/>
      <c r="AY201" s="66"/>
      <c r="AZ201" s="66"/>
      <c r="BA201" s="66"/>
      <c r="BB201" s="22"/>
    </row>
    <row r="202" spans="2:54" x14ac:dyDescent="0.45">
      <c r="B202" s="45" t="s">
        <v>586</v>
      </c>
      <c r="C202" s="90"/>
      <c r="D202" s="56"/>
      <c r="E202" s="84"/>
      <c r="F202" s="58"/>
      <c r="G202" s="58"/>
      <c r="H202" s="58"/>
      <c r="I202" s="58"/>
      <c r="J202" s="58"/>
      <c r="K202" s="58"/>
      <c r="L202" s="59">
        <f t="shared" si="31"/>
        <v>0</v>
      </c>
      <c r="M202" s="68"/>
      <c r="N202" s="68"/>
      <c r="O202" s="68"/>
      <c r="P202" s="68"/>
      <c r="Q202" s="99" t="e">
        <f t="shared" si="32"/>
        <v>#DIV/0!</v>
      </c>
      <c r="R202" s="100">
        <f t="shared" si="33"/>
        <v>0.43387671059875982</v>
      </c>
      <c r="S202" s="83"/>
      <c r="T202" s="83"/>
      <c r="U202" s="101">
        <f t="shared" si="34"/>
        <v>2021.2824107652905</v>
      </c>
      <c r="V202" s="45"/>
      <c r="W202" s="45"/>
      <c r="X202" s="45"/>
      <c r="Y202" s="45"/>
      <c r="Z202" s="45"/>
      <c r="AA202" s="45"/>
      <c r="AY202" s="66"/>
      <c r="AZ202" s="66"/>
      <c r="BA202" s="66"/>
      <c r="BB202" s="22"/>
    </row>
    <row r="203" spans="2:54" x14ac:dyDescent="0.45">
      <c r="B203" s="45" t="s">
        <v>587</v>
      </c>
      <c r="C203" s="90"/>
      <c r="D203" s="56"/>
      <c r="E203" s="57"/>
      <c r="F203" s="58"/>
      <c r="G203" s="58"/>
      <c r="H203" s="58"/>
      <c r="I203" s="58"/>
      <c r="J203" s="58"/>
      <c r="K203" s="58"/>
      <c r="L203" s="59">
        <f t="shared" si="31"/>
        <v>0</v>
      </c>
      <c r="M203" s="68"/>
      <c r="N203" s="68"/>
      <c r="O203" s="68"/>
      <c r="P203" s="68"/>
      <c r="Q203" s="99" t="e">
        <f t="shared" si="32"/>
        <v>#DIV/0!</v>
      </c>
      <c r="R203" s="100">
        <f t="shared" si="33"/>
        <v>0.43387671059875982</v>
      </c>
      <c r="S203" s="83"/>
      <c r="T203" s="83"/>
      <c r="U203" s="101">
        <f t="shared" si="34"/>
        <v>2021.2824107652905</v>
      </c>
      <c r="V203" s="45"/>
      <c r="W203" s="45"/>
      <c r="X203" s="45"/>
      <c r="Y203" s="45"/>
      <c r="Z203" s="45"/>
      <c r="AA203" s="45"/>
      <c r="AY203" s="66"/>
      <c r="AZ203" s="66"/>
      <c r="BA203" s="66"/>
      <c r="BB203" s="22"/>
    </row>
    <row r="204" spans="2:54" x14ac:dyDescent="0.45">
      <c r="B204" s="45" t="s">
        <v>588</v>
      </c>
      <c r="C204" s="90"/>
      <c r="D204" s="56"/>
      <c r="E204" s="80"/>
      <c r="F204" s="58"/>
      <c r="G204" s="58"/>
      <c r="H204" s="58"/>
      <c r="I204" s="58"/>
      <c r="J204" s="58"/>
      <c r="K204" s="58"/>
      <c r="L204" s="59">
        <f t="shared" si="31"/>
        <v>0</v>
      </c>
      <c r="M204" s="68"/>
      <c r="N204" s="68"/>
      <c r="O204" s="68"/>
      <c r="P204" s="68"/>
      <c r="Q204" s="99" t="e">
        <f t="shared" si="32"/>
        <v>#DIV/0!</v>
      </c>
      <c r="R204" s="100">
        <f t="shared" si="33"/>
        <v>0.43387671059875982</v>
      </c>
      <c r="S204" s="83"/>
      <c r="T204" s="83"/>
      <c r="U204" s="101">
        <f t="shared" si="34"/>
        <v>2021.2824107652905</v>
      </c>
      <c r="V204" s="45"/>
      <c r="W204" s="45"/>
      <c r="X204" s="45"/>
      <c r="Y204" s="45"/>
      <c r="Z204" s="45"/>
      <c r="AA204" s="45"/>
      <c r="AY204" s="66"/>
      <c r="AZ204" s="66"/>
      <c r="BA204" s="66"/>
      <c r="BB204" s="22"/>
    </row>
    <row r="205" spans="2:54" x14ac:dyDescent="0.45">
      <c r="B205" s="45" t="s">
        <v>589</v>
      </c>
      <c r="C205" s="90"/>
      <c r="D205" s="56"/>
      <c r="E205" s="84"/>
      <c r="F205" s="58"/>
      <c r="G205" s="58"/>
      <c r="H205" s="58"/>
      <c r="I205" s="58"/>
      <c r="J205" s="58"/>
      <c r="K205" s="58"/>
      <c r="L205" s="59">
        <f t="shared" si="31"/>
        <v>0</v>
      </c>
      <c r="M205" s="68"/>
      <c r="N205" s="68"/>
      <c r="O205" s="68"/>
      <c r="P205" s="68"/>
      <c r="Q205" s="99" t="e">
        <f t="shared" si="32"/>
        <v>#DIV/0!</v>
      </c>
      <c r="R205" s="100">
        <f t="shared" si="33"/>
        <v>0.43387671059875982</v>
      </c>
      <c r="S205" s="83"/>
      <c r="T205" s="83"/>
      <c r="U205" s="101">
        <f t="shared" si="34"/>
        <v>2021.2824107652905</v>
      </c>
      <c r="V205" s="45"/>
      <c r="W205" s="45"/>
      <c r="X205" s="45"/>
      <c r="Y205" s="45"/>
      <c r="Z205" s="45"/>
      <c r="AA205" s="45"/>
      <c r="AY205" s="66"/>
      <c r="AZ205" s="66"/>
      <c r="BA205" s="66"/>
      <c r="BB205" s="22"/>
    </row>
    <row r="206" spans="2:54" x14ac:dyDescent="0.45">
      <c r="B206" s="45" t="s">
        <v>590</v>
      </c>
      <c r="C206" s="90"/>
      <c r="D206" s="56"/>
      <c r="E206" s="57"/>
      <c r="F206" s="58"/>
      <c r="G206" s="58"/>
      <c r="H206" s="58"/>
      <c r="I206" s="58"/>
      <c r="J206" s="58"/>
      <c r="K206" s="58"/>
      <c r="L206" s="59">
        <f t="shared" si="31"/>
        <v>0</v>
      </c>
      <c r="M206" s="68"/>
      <c r="N206" s="68"/>
      <c r="O206" s="68"/>
      <c r="P206" s="68"/>
      <c r="Q206" s="99" t="e">
        <f t="shared" si="32"/>
        <v>#DIV/0!</v>
      </c>
      <c r="R206" s="100">
        <f t="shared" si="33"/>
        <v>0.43387671059875982</v>
      </c>
      <c r="S206" s="83"/>
      <c r="T206" s="83"/>
      <c r="U206" s="101">
        <f t="shared" si="34"/>
        <v>2021.2824107652905</v>
      </c>
      <c r="V206" s="45"/>
      <c r="W206" s="45"/>
      <c r="X206" s="45"/>
      <c r="Y206" s="45"/>
      <c r="Z206" s="45"/>
      <c r="AA206" s="45"/>
      <c r="AY206" s="66"/>
      <c r="AZ206" s="66"/>
      <c r="BA206" s="66"/>
      <c r="BB206" s="22"/>
    </row>
    <row r="207" spans="2:54" x14ac:dyDescent="0.45">
      <c r="B207" s="45" t="s">
        <v>591</v>
      </c>
      <c r="C207" s="90"/>
      <c r="D207" s="56"/>
      <c r="E207" s="80"/>
      <c r="F207" s="58"/>
      <c r="G207" s="58"/>
      <c r="H207" s="58"/>
      <c r="I207" s="58"/>
      <c r="J207" s="58"/>
      <c r="K207" s="58"/>
      <c r="L207" s="59">
        <f t="shared" si="31"/>
        <v>0</v>
      </c>
      <c r="M207" s="68"/>
      <c r="N207" s="68"/>
      <c r="O207" s="68"/>
      <c r="P207" s="68"/>
      <c r="Q207" s="99" t="e">
        <f t="shared" si="32"/>
        <v>#DIV/0!</v>
      </c>
      <c r="R207" s="100">
        <f t="shared" si="33"/>
        <v>0.43387671059875982</v>
      </c>
      <c r="S207" s="83"/>
      <c r="T207" s="83"/>
      <c r="U207" s="101">
        <f t="shared" si="34"/>
        <v>2021.2824107652905</v>
      </c>
      <c r="V207" s="45"/>
      <c r="W207" s="45"/>
      <c r="X207" s="45"/>
      <c r="Y207" s="45"/>
      <c r="Z207" s="45"/>
      <c r="AA207" s="45"/>
      <c r="AY207" s="66"/>
      <c r="AZ207" s="66"/>
      <c r="BA207" s="66"/>
      <c r="BB207" s="22"/>
    </row>
    <row r="208" spans="2:54" x14ac:dyDescent="0.45">
      <c r="B208" s="45" t="s">
        <v>592</v>
      </c>
      <c r="C208" s="90"/>
      <c r="D208" s="56"/>
      <c r="E208" s="84"/>
      <c r="F208" s="58"/>
      <c r="G208" s="58"/>
      <c r="H208" s="58"/>
      <c r="I208" s="58"/>
      <c r="J208" s="58"/>
      <c r="K208" s="58"/>
      <c r="L208" s="59">
        <f t="shared" si="31"/>
        <v>0</v>
      </c>
      <c r="M208" s="68"/>
      <c r="N208" s="68"/>
      <c r="O208" s="68"/>
      <c r="P208" s="68"/>
      <c r="Q208" s="99" t="e">
        <f t="shared" si="32"/>
        <v>#DIV/0!</v>
      </c>
      <c r="R208" s="100">
        <f t="shared" si="33"/>
        <v>0.43387671059875982</v>
      </c>
      <c r="S208" s="83"/>
      <c r="T208" s="83"/>
      <c r="U208" s="101">
        <f t="shared" si="34"/>
        <v>2021.2824107652905</v>
      </c>
      <c r="V208" s="45"/>
      <c r="W208" s="45"/>
      <c r="X208" s="45"/>
      <c r="Y208" s="45"/>
      <c r="Z208" s="45"/>
      <c r="AA208" s="45"/>
      <c r="AY208" s="66"/>
      <c r="AZ208" s="66"/>
      <c r="BA208" s="66"/>
      <c r="BB208" s="22"/>
    </row>
    <row r="209" spans="2:54" x14ac:dyDescent="0.45">
      <c r="B209" s="45" t="s">
        <v>593</v>
      </c>
      <c r="C209" s="90"/>
      <c r="D209" s="56"/>
      <c r="E209" s="57"/>
      <c r="F209" s="58"/>
      <c r="G209" s="58"/>
      <c r="H209" s="58"/>
      <c r="I209" s="58"/>
      <c r="J209" s="58"/>
      <c r="K209" s="58"/>
      <c r="L209" s="59">
        <f t="shared" si="31"/>
        <v>0</v>
      </c>
      <c r="M209" s="68"/>
      <c r="N209" s="68"/>
      <c r="O209" s="68"/>
      <c r="P209" s="68"/>
      <c r="Q209" s="99" t="e">
        <f t="shared" si="32"/>
        <v>#DIV/0!</v>
      </c>
      <c r="R209" s="100">
        <f t="shared" si="33"/>
        <v>0.43387671059875982</v>
      </c>
      <c r="S209" s="83"/>
      <c r="T209" s="83"/>
      <c r="U209" s="101">
        <f t="shared" si="34"/>
        <v>2021.2824107652905</v>
      </c>
      <c r="V209" s="45"/>
      <c r="W209" s="45"/>
      <c r="X209" s="45"/>
      <c r="Y209" s="45"/>
      <c r="Z209" s="45"/>
      <c r="AA209" s="45"/>
      <c r="AY209" s="66"/>
      <c r="AZ209" s="66"/>
      <c r="BA209" s="66"/>
      <c r="BB209" s="22"/>
    </row>
    <row r="210" spans="2:54" x14ac:dyDescent="0.45">
      <c r="B210" s="45" t="s">
        <v>594</v>
      </c>
      <c r="C210" s="90"/>
      <c r="D210" s="56"/>
      <c r="E210" s="80"/>
      <c r="F210" s="58"/>
      <c r="G210" s="58"/>
      <c r="H210" s="58"/>
      <c r="I210" s="58"/>
      <c r="J210" s="58"/>
      <c r="K210" s="58"/>
      <c r="L210" s="59">
        <f t="shared" ref="L210:L273" si="35">1/2*((F210*I210+H210*K210+J210*G210)-(G210*H210+I210*J210+K210*F210))/0.1582*100</f>
        <v>0</v>
      </c>
      <c r="M210" s="68"/>
      <c r="N210" s="68"/>
      <c r="O210" s="68"/>
      <c r="P210" s="68"/>
      <c r="Q210" s="99" t="e">
        <f t="shared" ref="Q210:Q273" si="36">O210/P210</f>
        <v>#DIV/0!</v>
      </c>
      <c r="R210" s="100">
        <f t="shared" ref="R210:R273" si="37">SQRT(POWER(M210-$M$12,2)+POWER(N210-$N$12,2))</f>
        <v>0.43387671059875982</v>
      </c>
      <c r="S210" s="83"/>
      <c r="T210" s="83"/>
      <c r="U210" s="101">
        <f t="shared" ref="U210:U273" si="38">(-449*((M210-0.332)/(N210-0.1858))^3)+(3525*((M210-0.332)/(N210-0.1858))^2)+(-6823.3*(M210-0.332)/(N210-0.1858))+5520.33</f>
        <v>2021.2824107652905</v>
      </c>
      <c r="V210" s="45"/>
      <c r="W210" s="45"/>
      <c r="X210" s="45"/>
      <c r="Y210" s="45"/>
      <c r="Z210" s="45"/>
      <c r="AA210" s="45"/>
      <c r="AY210" s="66"/>
      <c r="AZ210" s="66"/>
      <c r="BA210" s="66"/>
      <c r="BB210" s="22"/>
    </row>
    <row r="211" spans="2:54" x14ac:dyDescent="0.45">
      <c r="B211" s="45" t="s">
        <v>595</v>
      </c>
      <c r="C211" s="90"/>
      <c r="D211" s="56"/>
      <c r="E211" s="84"/>
      <c r="F211" s="58"/>
      <c r="G211" s="58"/>
      <c r="H211" s="58"/>
      <c r="I211" s="58"/>
      <c r="J211" s="58"/>
      <c r="K211" s="58"/>
      <c r="L211" s="59">
        <f t="shared" si="35"/>
        <v>0</v>
      </c>
      <c r="M211" s="68"/>
      <c r="N211" s="68"/>
      <c r="O211" s="68"/>
      <c r="P211" s="68"/>
      <c r="Q211" s="99" t="e">
        <f t="shared" si="36"/>
        <v>#DIV/0!</v>
      </c>
      <c r="R211" s="100">
        <f t="shared" si="37"/>
        <v>0.43387671059875982</v>
      </c>
      <c r="S211" s="83"/>
      <c r="T211" s="83"/>
      <c r="U211" s="101">
        <f t="shared" si="38"/>
        <v>2021.2824107652905</v>
      </c>
      <c r="V211" s="45"/>
      <c r="W211" s="45"/>
      <c r="X211" s="45"/>
      <c r="Y211" s="45"/>
      <c r="Z211" s="45"/>
      <c r="AA211" s="45"/>
      <c r="AY211" s="66"/>
      <c r="AZ211" s="66"/>
      <c r="BA211" s="66"/>
      <c r="BB211" s="22"/>
    </row>
    <row r="212" spans="2:54" x14ac:dyDescent="0.45">
      <c r="B212" s="45" t="s">
        <v>596</v>
      </c>
      <c r="C212" s="90"/>
      <c r="D212" s="56"/>
      <c r="E212" s="57"/>
      <c r="F212" s="58"/>
      <c r="G212" s="58"/>
      <c r="H212" s="58"/>
      <c r="I212" s="58"/>
      <c r="J212" s="58"/>
      <c r="K212" s="58"/>
      <c r="L212" s="59">
        <f t="shared" si="35"/>
        <v>0</v>
      </c>
      <c r="M212" s="68"/>
      <c r="N212" s="68"/>
      <c r="O212" s="68"/>
      <c r="P212" s="68"/>
      <c r="Q212" s="99" t="e">
        <f t="shared" si="36"/>
        <v>#DIV/0!</v>
      </c>
      <c r="R212" s="100">
        <f t="shared" si="37"/>
        <v>0.43387671059875982</v>
      </c>
      <c r="S212" s="83"/>
      <c r="T212" s="83"/>
      <c r="U212" s="101">
        <f t="shared" si="38"/>
        <v>2021.2824107652905</v>
      </c>
      <c r="V212" s="45"/>
      <c r="W212" s="45"/>
      <c r="X212" s="45"/>
      <c r="Y212" s="45"/>
      <c r="Z212" s="45"/>
      <c r="AA212" s="45"/>
      <c r="AY212" s="66"/>
      <c r="AZ212" s="66"/>
      <c r="BA212" s="66"/>
      <c r="BB212" s="22"/>
    </row>
    <row r="213" spans="2:54" x14ac:dyDescent="0.45">
      <c r="B213" s="45" t="s">
        <v>597</v>
      </c>
      <c r="C213" s="90"/>
      <c r="D213" s="56"/>
      <c r="E213" s="80"/>
      <c r="F213" s="58"/>
      <c r="G213" s="58"/>
      <c r="H213" s="58"/>
      <c r="I213" s="58"/>
      <c r="J213" s="58"/>
      <c r="K213" s="58"/>
      <c r="L213" s="59">
        <f t="shared" si="35"/>
        <v>0</v>
      </c>
      <c r="M213" s="68"/>
      <c r="N213" s="68"/>
      <c r="O213" s="68"/>
      <c r="P213" s="68"/>
      <c r="Q213" s="99" t="e">
        <f t="shared" si="36"/>
        <v>#DIV/0!</v>
      </c>
      <c r="R213" s="100">
        <f t="shared" si="37"/>
        <v>0.43387671059875982</v>
      </c>
      <c r="S213" s="83"/>
      <c r="T213" s="83"/>
      <c r="U213" s="101">
        <f t="shared" si="38"/>
        <v>2021.2824107652905</v>
      </c>
      <c r="V213" s="45"/>
      <c r="W213" s="45"/>
      <c r="X213" s="45"/>
      <c r="Y213" s="45"/>
      <c r="Z213" s="45"/>
      <c r="AA213" s="45"/>
      <c r="AY213" s="66"/>
      <c r="AZ213" s="66"/>
      <c r="BA213" s="66"/>
      <c r="BB213" s="22"/>
    </row>
    <row r="214" spans="2:54" x14ac:dyDescent="0.45">
      <c r="B214" s="45" t="s">
        <v>598</v>
      </c>
      <c r="C214" s="90"/>
      <c r="D214" s="56"/>
      <c r="E214" s="84"/>
      <c r="F214" s="58"/>
      <c r="G214" s="58"/>
      <c r="H214" s="58"/>
      <c r="I214" s="58"/>
      <c r="J214" s="58"/>
      <c r="K214" s="58"/>
      <c r="L214" s="59">
        <f t="shared" si="35"/>
        <v>0</v>
      </c>
      <c r="M214" s="68"/>
      <c r="N214" s="68"/>
      <c r="O214" s="68"/>
      <c r="P214" s="68"/>
      <c r="Q214" s="99" t="e">
        <f t="shared" si="36"/>
        <v>#DIV/0!</v>
      </c>
      <c r="R214" s="100">
        <f t="shared" si="37"/>
        <v>0.43387671059875982</v>
      </c>
      <c r="S214" s="83"/>
      <c r="T214" s="83"/>
      <c r="U214" s="101">
        <f t="shared" si="38"/>
        <v>2021.2824107652905</v>
      </c>
      <c r="V214" s="45"/>
      <c r="W214" s="45"/>
      <c r="X214" s="45"/>
      <c r="Y214" s="45"/>
      <c r="Z214" s="45"/>
      <c r="AA214" s="45"/>
      <c r="AY214" s="66"/>
      <c r="AZ214" s="66"/>
      <c r="BA214" s="66"/>
      <c r="BB214" s="22"/>
    </row>
    <row r="215" spans="2:54" x14ac:dyDescent="0.45">
      <c r="B215" s="45" t="s">
        <v>599</v>
      </c>
      <c r="C215" s="90"/>
      <c r="D215" s="56"/>
      <c r="E215" s="57"/>
      <c r="F215" s="58"/>
      <c r="G215" s="58"/>
      <c r="H215" s="58"/>
      <c r="I215" s="58"/>
      <c r="J215" s="58"/>
      <c r="K215" s="58"/>
      <c r="L215" s="59">
        <f t="shared" si="35"/>
        <v>0</v>
      </c>
      <c r="M215" s="68"/>
      <c r="N215" s="68"/>
      <c r="O215" s="68"/>
      <c r="P215" s="68"/>
      <c r="Q215" s="99" t="e">
        <f t="shared" si="36"/>
        <v>#DIV/0!</v>
      </c>
      <c r="R215" s="100">
        <f t="shared" si="37"/>
        <v>0.43387671059875982</v>
      </c>
      <c r="S215" s="83"/>
      <c r="T215" s="83"/>
      <c r="U215" s="101">
        <f t="shared" si="38"/>
        <v>2021.2824107652905</v>
      </c>
      <c r="V215" s="45"/>
      <c r="W215" s="45"/>
      <c r="X215" s="45"/>
      <c r="Y215" s="45"/>
      <c r="Z215" s="45"/>
      <c r="AA215" s="45"/>
      <c r="AY215" s="66"/>
      <c r="AZ215" s="66"/>
      <c r="BA215" s="66"/>
      <c r="BB215" s="22"/>
    </row>
    <row r="216" spans="2:54" x14ac:dyDescent="0.45">
      <c r="B216" s="45" t="s">
        <v>600</v>
      </c>
      <c r="C216" s="90"/>
      <c r="D216" s="56"/>
      <c r="E216" s="80"/>
      <c r="F216" s="58"/>
      <c r="G216" s="58"/>
      <c r="H216" s="58"/>
      <c r="I216" s="58"/>
      <c r="J216" s="58"/>
      <c r="K216" s="58"/>
      <c r="L216" s="59">
        <f t="shared" si="35"/>
        <v>0</v>
      </c>
      <c r="M216" s="68"/>
      <c r="N216" s="68"/>
      <c r="O216" s="68"/>
      <c r="P216" s="68"/>
      <c r="Q216" s="99" t="e">
        <f t="shared" si="36"/>
        <v>#DIV/0!</v>
      </c>
      <c r="R216" s="100">
        <f t="shared" si="37"/>
        <v>0.43387671059875982</v>
      </c>
      <c r="S216" s="83"/>
      <c r="T216" s="83"/>
      <c r="U216" s="101">
        <f t="shared" si="38"/>
        <v>2021.2824107652905</v>
      </c>
      <c r="V216" s="45"/>
      <c r="W216" s="45"/>
      <c r="X216" s="45"/>
      <c r="Y216" s="45"/>
      <c r="Z216" s="45"/>
      <c r="AA216" s="45"/>
      <c r="AY216" s="66"/>
      <c r="AZ216" s="66"/>
      <c r="BA216" s="66"/>
      <c r="BB216" s="22"/>
    </row>
    <row r="217" spans="2:54" x14ac:dyDescent="0.45">
      <c r="B217" s="45" t="s">
        <v>601</v>
      </c>
      <c r="C217" s="90"/>
      <c r="D217" s="56"/>
      <c r="E217" s="84"/>
      <c r="F217" s="58"/>
      <c r="G217" s="58"/>
      <c r="H217" s="58"/>
      <c r="I217" s="58"/>
      <c r="J217" s="58"/>
      <c r="K217" s="58"/>
      <c r="L217" s="59">
        <f t="shared" si="35"/>
        <v>0</v>
      </c>
      <c r="M217" s="68"/>
      <c r="N217" s="68"/>
      <c r="O217" s="68"/>
      <c r="P217" s="68"/>
      <c r="Q217" s="99" t="e">
        <f t="shared" si="36"/>
        <v>#DIV/0!</v>
      </c>
      <c r="R217" s="100">
        <f t="shared" si="37"/>
        <v>0.43387671059875982</v>
      </c>
      <c r="S217" s="83"/>
      <c r="T217" s="83"/>
      <c r="U217" s="101">
        <f t="shared" si="38"/>
        <v>2021.2824107652905</v>
      </c>
      <c r="V217" s="45"/>
      <c r="W217" s="45"/>
      <c r="X217" s="45"/>
      <c r="Y217" s="45"/>
      <c r="Z217" s="45"/>
      <c r="AA217" s="45"/>
      <c r="AY217" s="66"/>
      <c r="AZ217" s="66"/>
      <c r="BA217" s="66"/>
      <c r="BB217" s="22"/>
    </row>
    <row r="218" spans="2:54" x14ac:dyDescent="0.45">
      <c r="B218" s="45" t="s">
        <v>602</v>
      </c>
      <c r="C218" s="90"/>
      <c r="D218" s="56"/>
      <c r="E218" s="57"/>
      <c r="F218" s="58"/>
      <c r="G218" s="58"/>
      <c r="H218" s="58"/>
      <c r="I218" s="58"/>
      <c r="J218" s="58"/>
      <c r="K218" s="58"/>
      <c r="L218" s="59">
        <f t="shared" si="35"/>
        <v>0</v>
      </c>
      <c r="M218" s="68"/>
      <c r="N218" s="68"/>
      <c r="O218" s="68"/>
      <c r="P218" s="68"/>
      <c r="Q218" s="99" t="e">
        <f t="shared" si="36"/>
        <v>#DIV/0!</v>
      </c>
      <c r="R218" s="100">
        <f t="shared" si="37"/>
        <v>0.43387671059875982</v>
      </c>
      <c r="S218" s="83"/>
      <c r="T218" s="83"/>
      <c r="U218" s="101">
        <f t="shared" si="38"/>
        <v>2021.2824107652905</v>
      </c>
      <c r="V218" s="45"/>
      <c r="W218" s="45"/>
      <c r="X218" s="45"/>
      <c r="Y218" s="45"/>
      <c r="Z218" s="45"/>
      <c r="AA218" s="45"/>
      <c r="AY218" s="66"/>
      <c r="AZ218" s="66"/>
      <c r="BA218" s="66"/>
      <c r="BB218" s="22"/>
    </row>
    <row r="219" spans="2:54" x14ac:dyDescent="0.45">
      <c r="B219" s="45" t="s">
        <v>603</v>
      </c>
      <c r="C219" s="90"/>
      <c r="D219" s="56"/>
      <c r="E219" s="80"/>
      <c r="F219" s="58"/>
      <c r="G219" s="58"/>
      <c r="H219" s="58"/>
      <c r="I219" s="58"/>
      <c r="J219" s="58"/>
      <c r="K219" s="58"/>
      <c r="L219" s="59">
        <f t="shared" si="35"/>
        <v>0</v>
      </c>
      <c r="M219" s="68"/>
      <c r="N219" s="68"/>
      <c r="O219" s="68"/>
      <c r="P219" s="68"/>
      <c r="Q219" s="99" t="e">
        <f t="shared" si="36"/>
        <v>#DIV/0!</v>
      </c>
      <c r="R219" s="100">
        <f t="shared" si="37"/>
        <v>0.43387671059875982</v>
      </c>
      <c r="S219" s="83"/>
      <c r="T219" s="83"/>
      <c r="U219" s="101">
        <f t="shared" si="38"/>
        <v>2021.2824107652905</v>
      </c>
      <c r="V219" s="45"/>
      <c r="W219" s="45"/>
      <c r="X219" s="45"/>
      <c r="Y219" s="45"/>
      <c r="Z219" s="45"/>
      <c r="AA219" s="45"/>
      <c r="AY219" s="66"/>
      <c r="AZ219" s="66"/>
      <c r="BA219" s="66"/>
      <c r="BB219" s="22"/>
    </row>
    <row r="220" spans="2:54" x14ac:dyDescent="0.45">
      <c r="B220" s="45" t="s">
        <v>604</v>
      </c>
      <c r="C220" s="90"/>
      <c r="D220" s="56"/>
      <c r="E220" s="84"/>
      <c r="F220" s="58"/>
      <c r="G220" s="58"/>
      <c r="H220" s="58"/>
      <c r="I220" s="58"/>
      <c r="J220" s="58"/>
      <c r="K220" s="58"/>
      <c r="L220" s="59">
        <f t="shared" si="35"/>
        <v>0</v>
      </c>
      <c r="M220" s="68"/>
      <c r="N220" s="68"/>
      <c r="O220" s="68"/>
      <c r="P220" s="68"/>
      <c r="Q220" s="99" t="e">
        <f t="shared" si="36"/>
        <v>#DIV/0!</v>
      </c>
      <c r="R220" s="100">
        <f t="shared" si="37"/>
        <v>0.43387671059875982</v>
      </c>
      <c r="S220" s="83"/>
      <c r="T220" s="83"/>
      <c r="U220" s="101">
        <f t="shared" si="38"/>
        <v>2021.2824107652905</v>
      </c>
      <c r="V220" s="45"/>
      <c r="W220" s="45"/>
      <c r="X220" s="45"/>
      <c r="Y220" s="45"/>
      <c r="Z220" s="45"/>
      <c r="AA220" s="45"/>
      <c r="AY220" s="66"/>
      <c r="AZ220" s="66"/>
      <c r="BA220" s="66"/>
      <c r="BB220" s="22"/>
    </row>
    <row r="221" spans="2:54" x14ac:dyDescent="0.45">
      <c r="B221" s="45" t="s">
        <v>605</v>
      </c>
      <c r="C221" s="90"/>
      <c r="D221" s="56"/>
      <c r="E221" s="57"/>
      <c r="F221" s="58"/>
      <c r="G221" s="58"/>
      <c r="H221" s="58"/>
      <c r="I221" s="58"/>
      <c r="J221" s="58"/>
      <c r="K221" s="58"/>
      <c r="L221" s="59">
        <f t="shared" si="35"/>
        <v>0</v>
      </c>
      <c r="M221" s="68"/>
      <c r="N221" s="68"/>
      <c r="O221" s="68"/>
      <c r="P221" s="68"/>
      <c r="Q221" s="99" t="e">
        <f t="shared" si="36"/>
        <v>#DIV/0!</v>
      </c>
      <c r="R221" s="100">
        <f t="shared" si="37"/>
        <v>0.43387671059875982</v>
      </c>
      <c r="S221" s="83"/>
      <c r="T221" s="83"/>
      <c r="U221" s="101">
        <f t="shared" si="38"/>
        <v>2021.2824107652905</v>
      </c>
      <c r="V221" s="45"/>
      <c r="W221" s="45"/>
      <c r="X221" s="45"/>
      <c r="Y221" s="45"/>
      <c r="Z221" s="45"/>
      <c r="AA221" s="45"/>
      <c r="AY221" s="66"/>
      <c r="AZ221" s="66"/>
      <c r="BA221" s="66"/>
      <c r="BB221" s="22"/>
    </row>
    <row r="222" spans="2:54" x14ac:dyDescent="0.45">
      <c r="B222" s="45" t="s">
        <v>606</v>
      </c>
      <c r="C222" s="90"/>
      <c r="D222" s="56"/>
      <c r="E222" s="80"/>
      <c r="F222" s="58"/>
      <c r="G222" s="58"/>
      <c r="H222" s="58"/>
      <c r="I222" s="58"/>
      <c r="J222" s="58"/>
      <c r="K222" s="58"/>
      <c r="L222" s="59">
        <f t="shared" si="35"/>
        <v>0</v>
      </c>
      <c r="M222" s="68"/>
      <c r="N222" s="68"/>
      <c r="O222" s="68"/>
      <c r="P222" s="68"/>
      <c r="Q222" s="99" t="e">
        <f t="shared" si="36"/>
        <v>#DIV/0!</v>
      </c>
      <c r="R222" s="100">
        <f t="shared" si="37"/>
        <v>0.43387671059875982</v>
      </c>
      <c r="S222" s="83"/>
      <c r="T222" s="83"/>
      <c r="U222" s="101">
        <f t="shared" si="38"/>
        <v>2021.2824107652905</v>
      </c>
      <c r="V222" s="45"/>
      <c r="W222" s="45"/>
      <c r="X222" s="45"/>
      <c r="Y222" s="45"/>
      <c r="Z222" s="45"/>
      <c r="AA222" s="45"/>
      <c r="AY222" s="66"/>
      <c r="AZ222" s="66"/>
      <c r="BA222" s="66"/>
      <c r="BB222" s="22"/>
    </row>
    <row r="223" spans="2:54" x14ac:dyDescent="0.45">
      <c r="B223" s="45" t="s">
        <v>607</v>
      </c>
      <c r="C223" s="90"/>
      <c r="D223" s="56"/>
      <c r="E223" s="84"/>
      <c r="F223" s="58"/>
      <c r="G223" s="58"/>
      <c r="H223" s="58"/>
      <c r="I223" s="58"/>
      <c r="J223" s="58"/>
      <c r="K223" s="58"/>
      <c r="L223" s="59">
        <f t="shared" si="35"/>
        <v>0</v>
      </c>
      <c r="M223" s="68"/>
      <c r="N223" s="68"/>
      <c r="O223" s="68"/>
      <c r="P223" s="68"/>
      <c r="Q223" s="99" t="e">
        <f t="shared" si="36"/>
        <v>#DIV/0!</v>
      </c>
      <c r="R223" s="100">
        <f t="shared" si="37"/>
        <v>0.43387671059875982</v>
      </c>
      <c r="S223" s="83"/>
      <c r="T223" s="83"/>
      <c r="U223" s="101">
        <f t="shared" si="38"/>
        <v>2021.2824107652905</v>
      </c>
      <c r="V223" s="45"/>
      <c r="W223" s="45"/>
      <c r="X223" s="45"/>
      <c r="Y223" s="45"/>
      <c r="Z223" s="45"/>
      <c r="AA223" s="45"/>
      <c r="AY223" s="66"/>
      <c r="AZ223" s="66"/>
      <c r="BA223" s="66"/>
      <c r="BB223" s="22"/>
    </row>
    <row r="224" spans="2:54" x14ac:dyDescent="0.45">
      <c r="B224" s="45" t="s">
        <v>608</v>
      </c>
      <c r="C224" s="90"/>
      <c r="D224" s="56"/>
      <c r="E224" s="57"/>
      <c r="F224" s="58"/>
      <c r="G224" s="58"/>
      <c r="H224" s="58"/>
      <c r="I224" s="58"/>
      <c r="J224" s="58"/>
      <c r="K224" s="58"/>
      <c r="L224" s="59">
        <f t="shared" si="35"/>
        <v>0</v>
      </c>
      <c r="M224" s="68"/>
      <c r="N224" s="68"/>
      <c r="O224" s="68"/>
      <c r="P224" s="68"/>
      <c r="Q224" s="99" t="e">
        <f t="shared" si="36"/>
        <v>#DIV/0!</v>
      </c>
      <c r="R224" s="100">
        <f t="shared" si="37"/>
        <v>0.43387671059875982</v>
      </c>
      <c r="S224" s="83"/>
      <c r="T224" s="83"/>
      <c r="U224" s="101">
        <f t="shared" si="38"/>
        <v>2021.2824107652905</v>
      </c>
      <c r="V224" s="45"/>
      <c r="W224" s="45"/>
      <c r="X224" s="45"/>
      <c r="Y224" s="45"/>
      <c r="Z224" s="45"/>
      <c r="AA224" s="45"/>
      <c r="AY224" s="66"/>
      <c r="AZ224" s="66"/>
      <c r="BA224" s="66"/>
      <c r="BB224" s="22"/>
    </row>
    <row r="225" spans="2:54" x14ac:dyDescent="0.45">
      <c r="B225" s="45" t="s">
        <v>609</v>
      </c>
      <c r="C225" s="90"/>
      <c r="D225" s="56"/>
      <c r="E225" s="80"/>
      <c r="F225" s="58"/>
      <c r="G225" s="58"/>
      <c r="H225" s="58"/>
      <c r="I225" s="58"/>
      <c r="J225" s="58"/>
      <c r="K225" s="58"/>
      <c r="L225" s="59">
        <f t="shared" si="35"/>
        <v>0</v>
      </c>
      <c r="M225" s="68"/>
      <c r="N225" s="68"/>
      <c r="O225" s="68"/>
      <c r="P225" s="68"/>
      <c r="Q225" s="99" t="e">
        <f t="shared" si="36"/>
        <v>#DIV/0!</v>
      </c>
      <c r="R225" s="100">
        <f t="shared" si="37"/>
        <v>0.43387671059875982</v>
      </c>
      <c r="S225" s="83"/>
      <c r="T225" s="83"/>
      <c r="U225" s="101">
        <f t="shared" si="38"/>
        <v>2021.2824107652905</v>
      </c>
      <c r="V225" s="45"/>
      <c r="W225" s="45"/>
      <c r="X225" s="45"/>
      <c r="Y225" s="45"/>
      <c r="Z225" s="45"/>
      <c r="AA225" s="45"/>
      <c r="AY225" s="66"/>
      <c r="AZ225" s="66"/>
      <c r="BA225" s="66"/>
      <c r="BB225" s="22"/>
    </row>
    <row r="226" spans="2:54" x14ac:dyDescent="0.45">
      <c r="B226" s="45" t="s">
        <v>610</v>
      </c>
      <c r="C226" s="90"/>
      <c r="D226" s="56"/>
      <c r="E226" s="84"/>
      <c r="F226" s="58"/>
      <c r="G226" s="58"/>
      <c r="H226" s="58"/>
      <c r="I226" s="58"/>
      <c r="J226" s="58"/>
      <c r="K226" s="58"/>
      <c r="L226" s="59">
        <f t="shared" si="35"/>
        <v>0</v>
      </c>
      <c r="M226" s="68"/>
      <c r="N226" s="68"/>
      <c r="O226" s="68"/>
      <c r="P226" s="68"/>
      <c r="Q226" s="99" t="e">
        <f t="shared" si="36"/>
        <v>#DIV/0!</v>
      </c>
      <c r="R226" s="100">
        <f t="shared" si="37"/>
        <v>0.43387671059875982</v>
      </c>
      <c r="S226" s="83"/>
      <c r="T226" s="83"/>
      <c r="U226" s="101">
        <f t="shared" si="38"/>
        <v>2021.2824107652905</v>
      </c>
      <c r="V226" s="45"/>
      <c r="W226" s="45"/>
      <c r="X226" s="45"/>
      <c r="Y226" s="45"/>
      <c r="Z226" s="45"/>
      <c r="AA226" s="45"/>
      <c r="AY226" s="66"/>
      <c r="AZ226" s="66"/>
      <c r="BA226" s="66"/>
      <c r="BB226" s="22"/>
    </row>
    <row r="227" spans="2:54" x14ac:dyDescent="0.45">
      <c r="B227" s="45" t="s">
        <v>611</v>
      </c>
      <c r="C227" s="90"/>
      <c r="D227" s="56"/>
      <c r="E227" s="57"/>
      <c r="F227" s="58"/>
      <c r="G227" s="58"/>
      <c r="H227" s="58"/>
      <c r="I227" s="58"/>
      <c r="J227" s="58"/>
      <c r="K227" s="58"/>
      <c r="L227" s="59">
        <f t="shared" si="35"/>
        <v>0</v>
      </c>
      <c r="M227" s="68"/>
      <c r="N227" s="68"/>
      <c r="O227" s="68"/>
      <c r="P227" s="68"/>
      <c r="Q227" s="99" t="e">
        <f t="shared" si="36"/>
        <v>#DIV/0!</v>
      </c>
      <c r="R227" s="100">
        <f t="shared" si="37"/>
        <v>0.43387671059875982</v>
      </c>
      <c r="S227" s="83"/>
      <c r="T227" s="83"/>
      <c r="U227" s="101">
        <f t="shared" si="38"/>
        <v>2021.2824107652905</v>
      </c>
      <c r="V227" s="45"/>
      <c r="W227" s="45"/>
      <c r="X227" s="45"/>
      <c r="Y227" s="45"/>
      <c r="Z227" s="45"/>
      <c r="AA227" s="45"/>
      <c r="AY227" s="66"/>
      <c r="AZ227" s="66"/>
      <c r="BA227" s="66"/>
      <c r="BB227" s="22"/>
    </row>
    <row r="228" spans="2:54" x14ac:dyDescent="0.45">
      <c r="B228" s="45" t="s">
        <v>612</v>
      </c>
      <c r="C228" s="90"/>
      <c r="D228" s="56"/>
      <c r="E228" s="80"/>
      <c r="F228" s="58"/>
      <c r="G228" s="58"/>
      <c r="H228" s="58"/>
      <c r="I228" s="58"/>
      <c r="J228" s="58"/>
      <c r="K228" s="58"/>
      <c r="L228" s="59">
        <f t="shared" si="35"/>
        <v>0</v>
      </c>
      <c r="M228" s="68"/>
      <c r="N228" s="68"/>
      <c r="O228" s="68"/>
      <c r="P228" s="68"/>
      <c r="Q228" s="99" t="e">
        <f t="shared" si="36"/>
        <v>#DIV/0!</v>
      </c>
      <c r="R228" s="100">
        <f t="shared" si="37"/>
        <v>0.43387671059875982</v>
      </c>
      <c r="S228" s="83"/>
      <c r="T228" s="83"/>
      <c r="U228" s="101">
        <f t="shared" si="38"/>
        <v>2021.2824107652905</v>
      </c>
      <c r="V228" s="45"/>
      <c r="W228" s="45"/>
      <c r="X228" s="45"/>
      <c r="Y228" s="45"/>
      <c r="Z228" s="45"/>
      <c r="AA228" s="45"/>
      <c r="AY228" s="66"/>
      <c r="AZ228" s="66"/>
      <c r="BA228" s="66"/>
      <c r="BB228" s="22"/>
    </row>
    <row r="229" spans="2:54" x14ac:dyDescent="0.45">
      <c r="B229" s="45" t="s">
        <v>613</v>
      </c>
      <c r="C229" s="90"/>
      <c r="D229" s="56"/>
      <c r="E229" s="84"/>
      <c r="F229" s="58"/>
      <c r="G229" s="58"/>
      <c r="H229" s="58"/>
      <c r="I229" s="58"/>
      <c r="J229" s="58"/>
      <c r="K229" s="58"/>
      <c r="L229" s="59">
        <f t="shared" si="35"/>
        <v>0</v>
      </c>
      <c r="M229" s="68"/>
      <c r="N229" s="68"/>
      <c r="O229" s="68"/>
      <c r="P229" s="68"/>
      <c r="Q229" s="99" t="e">
        <f t="shared" si="36"/>
        <v>#DIV/0!</v>
      </c>
      <c r="R229" s="100">
        <f t="shared" si="37"/>
        <v>0.43387671059875982</v>
      </c>
      <c r="S229" s="83"/>
      <c r="T229" s="83"/>
      <c r="U229" s="101">
        <f t="shared" si="38"/>
        <v>2021.2824107652905</v>
      </c>
      <c r="V229" s="45"/>
      <c r="W229" s="45"/>
      <c r="X229" s="45"/>
      <c r="Y229" s="45"/>
      <c r="Z229" s="45"/>
      <c r="AA229" s="45"/>
      <c r="AY229" s="66"/>
      <c r="AZ229" s="66"/>
      <c r="BA229" s="66"/>
      <c r="BB229" s="22"/>
    </row>
    <row r="230" spans="2:54" x14ac:dyDescent="0.45">
      <c r="B230" s="45" t="s">
        <v>614</v>
      </c>
      <c r="C230" s="90"/>
      <c r="D230" s="56"/>
      <c r="E230" s="57"/>
      <c r="F230" s="58"/>
      <c r="G230" s="58"/>
      <c r="H230" s="58"/>
      <c r="I230" s="58"/>
      <c r="J230" s="58"/>
      <c r="K230" s="58"/>
      <c r="L230" s="59">
        <f t="shared" si="35"/>
        <v>0</v>
      </c>
      <c r="M230" s="68"/>
      <c r="N230" s="68"/>
      <c r="O230" s="68"/>
      <c r="P230" s="68"/>
      <c r="Q230" s="99" t="e">
        <f t="shared" si="36"/>
        <v>#DIV/0!</v>
      </c>
      <c r="R230" s="100">
        <f t="shared" si="37"/>
        <v>0.43387671059875982</v>
      </c>
      <c r="S230" s="83"/>
      <c r="T230" s="83"/>
      <c r="U230" s="101">
        <f t="shared" si="38"/>
        <v>2021.2824107652905</v>
      </c>
      <c r="V230" s="45"/>
      <c r="W230" s="45"/>
      <c r="X230" s="45"/>
      <c r="Y230" s="45"/>
      <c r="Z230" s="45"/>
      <c r="AA230" s="45"/>
      <c r="AY230" s="66"/>
      <c r="AZ230" s="66"/>
      <c r="BA230" s="66"/>
      <c r="BB230" s="22"/>
    </row>
    <row r="231" spans="2:54" x14ac:dyDescent="0.45">
      <c r="B231" s="45" t="s">
        <v>615</v>
      </c>
      <c r="C231" s="90"/>
      <c r="D231" s="56"/>
      <c r="E231" s="80"/>
      <c r="F231" s="58"/>
      <c r="G231" s="58"/>
      <c r="H231" s="58"/>
      <c r="I231" s="58"/>
      <c r="J231" s="58"/>
      <c r="K231" s="58"/>
      <c r="L231" s="59">
        <f t="shared" si="35"/>
        <v>0</v>
      </c>
      <c r="M231" s="68"/>
      <c r="N231" s="68"/>
      <c r="O231" s="68"/>
      <c r="P231" s="68"/>
      <c r="Q231" s="99" t="e">
        <f t="shared" si="36"/>
        <v>#DIV/0!</v>
      </c>
      <c r="R231" s="100">
        <f t="shared" si="37"/>
        <v>0.43387671059875982</v>
      </c>
      <c r="S231" s="83"/>
      <c r="T231" s="83"/>
      <c r="U231" s="101">
        <f t="shared" si="38"/>
        <v>2021.2824107652905</v>
      </c>
      <c r="V231" s="45"/>
      <c r="W231" s="45"/>
      <c r="X231" s="45"/>
      <c r="Y231" s="45"/>
      <c r="Z231" s="45"/>
      <c r="AA231" s="45"/>
      <c r="AY231" s="66"/>
      <c r="AZ231" s="66"/>
      <c r="BA231" s="66"/>
      <c r="BB231" s="22"/>
    </row>
    <row r="232" spans="2:54" x14ac:dyDescent="0.45">
      <c r="B232" s="45" t="s">
        <v>616</v>
      </c>
      <c r="C232" s="90"/>
      <c r="D232" s="56"/>
      <c r="E232" s="84"/>
      <c r="F232" s="58"/>
      <c r="G232" s="58"/>
      <c r="H232" s="58"/>
      <c r="I232" s="58"/>
      <c r="J232" s="58"/>
      <c r="K232" s="58"/>
      <c r="L232" s="59">
        <f t="shared" si="35"/>
        <v>0</v>
      </c>
      <c r="M232" s="68"/>
      <c r="N232" s="68"/>
      <c r="O232" s="68"/>
      <c r="P232" s="68"/>
      <c r="Q232" s="99" t="e">
        <f t="shared" si="36"/>
        <v>#DIV/0!</v>
      </c>
      <c r="R232" s="100">
        <f t="shared" si="37"/>
        <v>0.43387671059875982</v>
      </c>
      <c r="S232" s="83"/>
      <c r="T232" s="83"/>
      <c r="U232" s="101">
        <f t="shared" si="38"/>
        <v>2021.2824107652905</v>
      </c>
      <c r="V232" s="45"/>
      <c r="W232" s="45"/>
      <c r="X232" s="45"/>
      <c r="Y232" s="45"/>
      <c r="Z232" s="45"/>
      <c r="AA232" s="45"/>
      <c r="AY232" s="66"/>
      <c r="AZ232" s="66"/>
      <c r="BA232" s="66"/>
      <c r="BB232" s="22"/>
    </row>
    <row r="233" spans="2:54" x14ac:dyDescent="0.45">
      <c r="B233" s="45" t="s">
        <v>617</v>
      </c>
      <c r="C233" s="90"/>
      <c r="D233" s="56"/>
      <c r="E233" s="57"/>
      <c r="F233" s="58"/>
      <c r="G233" s="58"/>
      <c r="H233" s="58"/>
      <c r="I233" s="58"/>
      <c r="J233" s="58"/>
      <c r="K233" s="58"/>
      <c r="L233" s="59">
        <f t="shared" si="35"/>
        <v>0</v>
      </c>
      <c r="M233" s="68"/>
      <c r="N233" s="68"/>
      <c r="O233" s="68"/>
      <c r="P233" s="68"/>
      <c r="Q233" s="99" t="e">
        <f t="shared" si="36"/>
        <v>#DIV/0!</v>
      </c>
      <c r="R233" s="100">
        <f t="shared" si="37"/>
        <v>0.43387671059875982</v>
      </c>
      <c r="S233" s="83"/>
      <c r="T233" s="83"/>
      <c r="U233" s="101">
        <f t="shared" si="38"/>
        <v>2021.2824107652905</v>
      </c>
      <c r="V233" s="45"/>
      <c r="W233" s="45"/>
      <c r="X233" s="45"/>
      <c r="Y233" s="45"/>
      <c r="Z233" s="45"/>
      <c r="AA233" s="45"/>
      <c r="AY233" s="66"/>
      <c r="AZ233" s="66"/>
      <c r="BA233" s="66"/>
      <c r="BB233" s="22"/>
    </row>
    <row r="234" spans="2:54" x14ac:dyDescent="0.45">
      <c r="B234" s="45" t="s">
        <v>618</v>
      </c>
      <c r="C234" s="90"/>
      <c r="D234" s="56"/>
      <c r="E234" s="80"/>
      <c r="F234" s="58"/>
      <c r="G234" s="58"/>
      <c r="H234" s="58"/>
      <c r="I234" s="58"/>
      <c r="J234" s="58"/>
      <c r="K234" s="58"/>
      <c r="L234" s="59">
        <f t="shared" si="35"/>
        <v>0</v>
      </c>
      <c r="M234" s="68"/>
      <c r="N234" s="68"/>
      <c r="O234" s="68"/>
      <c r="P234" s="68"/>
      <c r="Q234" s="99" t="e">
        <f t="shared" si="36"/>
        <v>#DIV/0!</v>
      </c>
      <c r="R234" s="100">
        <f t="shared" si="37"/>
        <v>0.43387671059875982</v>
      </c>
      <c r="S234" s="83"/>
      <c r="T234" s="83"/>
      <c r="U234" s="101">
        <f t="shared" si="38"/>
        <v>2021.2824107652905</v>
      </c>
      <c r="V234" s="45"/>
      <c r="W234" s="45"/>
      <c r="X234" s="45"/>
      <c r="Y234" s="45"/>
      <c r="Z234" s="45"/>
      <c r="AA234" s="45"/>
      <c r="AY234" s="66"/>
      <c r="AZ234" s="66"/>
      <c r="BA234" s="66"/>
      <c r="BB234" s="22"/>
    </row>
    <row r="235" spans="2:54" x14ac:dyDescent="0.45">
      <c r="B235" s="45" t="s">
        <v>619</v>
      </c>
      <c r="C235" s="90"/>
      <c r="D235" s="56"/>
      <c r="E235" s="84"/>
      <c r="F235" s="58"/>
      <c r="G235" s="58"/>
      <c r="H235" s="58"/>
      <c r="I235" s="58"/>
      <c r="J235" s="58"/>
      <c r="K235" s="58"/>
      <c r="L235" s="59">
        <f t="shared" si="35"/>
        <v>0</v>
      </c>
      <c r="M235" s="68"/>
      <c r="N235" s="68"/>
      <c r="O235" s="68"/>
      <c r="P235" s="68"/>
      <c r="Q235" s="99" t="e">
        <f t="shared" si="36"/>
        <v>#DIV/0!</v>
      </c>
      <c r="R235" s="100">
        <f t="shared" si="37"/>
        <v>0.43387671059875982</v>
      </c>
      <c r="S235" s="83"/>
      <c r="T235" s="83"/>
      <c r="U235" s="101">
        <f t="shared" si="38"/>
        <v>2021.2824107652905</v>
      </c>
      <c r="V235" s="45"/>
      <c r="W235" s="45"/>
      <c r="X235" s="45"/>
      <c r="Y235" s="45"/>
      <c r="Z235" s="45"/>
      <c r="AA235" s="45"/>
      <c r="AY235" s="66"/>
      <c r="AZ235" s="66"/>
      <c r="BA235" s="66"/>
      <c r="BB235" s="22"/>
    </row>
    <row r="236" spans="2:54" x14ac:dyDescent="0.45">
      <c r="B236" s="45" t="s">
        <v>620</v>
      </c>
      <c r="C236" s="90"/>
      <c r="D236" s="56"/>
      <c r="E236" s="57"/>
      <c r="F236" s="58"/>
      <c r="G236" s="58"/>
      <c r="H236" s="58"/>
      <c r="I236" s="58"/>
      <c r="J236" s="58"/>
      <c r="K236" s="58"/>
      <c r="L236" s="59">
        <f t="shared" si="35"/>
        <v>0</v>
      </c>
      <c r="M236" s="68"/>
      <c r="N236" s="68"/>
      <c r="O236" s="68"/>
      <c r="P236" s="68"/>
      <c r="Q236" s="99" t="e">
        <f t="shared" si="36"/>
        <v>#DIV/0!</v>
      </c>
      <c r="R236" s="100">
        <f t="shared" si="37"/>
        <v>0.43387671059875982</v>
      </c>
      <c r="S236" s="83"/>
      <c r="T236" s="83"/>
      <c r="U236" s="101">
        <f t="shared" si="38"/>
        <v>2021.2824107652905</v>
      </c>
      <c r="V236" s="45"/>
      <c r="W236" s="45"/>
      <c r="X236" s="45"/>
      <c r="Y236" s="45"/>
      <c r="Z236" s="45"/>
      <c r="AA236" s="45"/>
      <c r="AY236" s="66"/>
      <c r="AZ236" s="66"/>
      <c r="BA236" s="66"/>
      <c r="BB236" s="22"/>
    </row>
    <row r="237" spans="2:54" x14ac:dyDescent="0.45">
      <c r="B237" s="45" t="s">
        <v>621</v>
      </c>
      <c r="C237" s="90"/>
      <c r="D237" s="56"/>
      <c r="E237" s="80"/>
      <c r="F237" s="58"/>
      <c r="G237" s="58"/>
      <c r="H237" s="58"/>
      <c r="I237" s="58"/>
      <c r="J237" s="58"/>
      <c r="K237" s="58"/>
      <c r="L237" s="59">
        <f t="shared" si="35"/>
        <v>0</v>
      </c>
      <c r="M237" s="68"/>
      <c r="N237" s="68"/>
      <c r="O237" s="68"/>
      <c r="P237" s="68"/>
      <c r="Q237" s="99" t="e">
        <f t="shared" si="36"/>
        <v>#DIV/0!</v>
      </c>
      <c r="R237" s="100">
        <f t="shared" si="37"/>
        <v>0.43387671059875982</v>
      </c>
      <c r="S237" s="83"/>
      <c r="T237" s="83"/>
      <c r="U237" s="101">
        <f t="shared" si="38"/>
        <v>2021.2824107652905</v>
      </c>
      <c r="V237" s="45"/>
      <c r="W237" s="45"/>
      <c r="X237" s="45"/>
      <c r="Y237" s="45"/>
      <c r="Z237" s="45"/>
      <c r="AA237" s="45"/>
      <c r="AY237" s="66"/>
      <c r="AZ237" s="66"/>
      <c r="BA237" s="66"/>
      <c r="BB237" s="22"/>
    </row>
    <row r="238" spans="2:54" x14ac:dyDescent="0.45">
      <c r="B238" s="45" t="s">
        <v>622</v>
      </c>
      <c r="C238" s="90"/>
      <c r="D238" s="56"/>
      <c r="E238" s="84"/>
      <c r="F238" s="58"/>
      <c r="G238" s="58"/>
      <c r="H238" s="58"/>
      <c r="I238" s="58"/>
      <c r="J238" s="58"/>
      <c r="K238" s="58"/>
      <c r="L238" s="59">
        <f t="shared" si="35"/>
        <v>0</v>
      </c>
      <c r="M238" s="68"/>
      <c r="N238" s="68"/>
      <c r="O238" s="68"/>
      <c r="P238" s="68"/>
      <c r="Q238" s="99" t="e">
        <f t="shared" si="36"/>
        <v>#DIV/0!</v>
      </c>
      <c r="R238" s="100">
        <f t="shared" si="37"/>
        <v>0.43387671059875982</v>
      </c>
      <c r="S238" s="83"/>
      <c r="T238" s="83"/>
      <c r="U238" s="101">
        <f t="shared" si="38"/>
        <v>2021.2824107652905</v>
      </c>
      <c r="V238" s="45"/>
      <c r="W238" s="45"/>
      <c r="X238" s="45"/>
      <c r="Y238" s="45"/>
      <c r="Z238" s="45"/>
      <c r="AA238" s="45"/>
      <c r="AY238" s="66"/>
      <c r="AZ238" s="66"/>
      <c r="BA238" s="66"/>
      <c r="BB238" s="22"/>
    </row>
    <row r="239" spans="2:54" x14ac:dyDescent="0.45">
      <c r="B239" s="45" t="s">
        <v>623</v>
      </c>
      <c r="C239" s="90"/>
      <c r="D239" s="56"/>
      <c r="E239" s="57"/>
      <c r="F239" s="58"/>
      <c r="G239" s="58"/>
      <c r="H239" s="58"/>
      <c r="I239" s="58"/>
      <c r="J239" s="58"/>
      <c r="K239" s="58"/>
      <c r="L239" s="59">
        <f t="shared" si="35"/>
        <v>0</v>
      </c>
      <c r="M239" s="68"/>
      <c r="N239" s="68"/>
      <c r="O239" s="68"/>
      <c r="P239" s="68"/>
      <c r="Q239" s="99" t="e">
        <f t="shared" si="36"/>
        <v>#DIV/0!</v>
      </c>
      <c r="R239" s="100">
        <f t="shared" si="37"/>
        <v>0.43387671059875982</v>
      </c>
      <c r="S239" s="83"/>
      <c r="T239" s="83"/>
      <c r="U239" s="101">
        <f t="shared" si="38"/>
        <v>2021.2824107652905</v>
      </c>
      <c r="V239" s="45"/>
      <c r="W239" s="45"/>
      <c r="X239" s="45"/>
      <c r="Y239" s="45"/>
      <c r="Z239" s="45"/>
      <c r="AA239" s="45"/>
      <c r="AY239" s="66"/>
      <c r="AZ239" s="66"/>
      <c r="BA239" s="66"/>
      <c r="BB239" s="22"/>
    </row>
    <row r="240" spans="2:54" x14ac:dyDescent="0.45">
      <c r="B240" s="45" t="s">
        <v>624</v>
      </c>
      <c r="C240" s="90"/>
      <c r="D240" s="56"/>
      <c r="E240" s="80"/>
      <c r="F240" s="58"/>
      <c r="G240" s="58"/>
      <c r="H240" s="58"/>
      <c r="I240" s="58"/>
      <c r="J240" s="58"/>
      <c r="K240" s="58"/>
      <c r="L240" s="59">
        <f t="shared" si="35"/>
        <v>0</v>
      </c>
      <c r="M240" s="68"/>
      <c r="N240" s="68"/>
      <c r="O240" s="68"/>
      <c r="P240" s="68"/>
      <c r="Q240" s="99" t="e">
        <f t="shared" si="36"/>
        <v>#DIV/0!</v>
      </c>
      <c r="R240" s="100">
        <f t="shared" si="37"/>
        <v>0.43387671059875982</v>
      </c>
      <c r="S240" s="83"/>
      <c r="T240" s="83"/>
      <c r="U240" s="101">
        <f t="shared" si="38"/>
        <v>2021.2824107652905</v>
      </c>
      <c r="V240" s="45"/>
      <c r="W240" s="45"/>
      <c r="X240" s="45"/>
      <c r="Y240" s="45"/>
      <c r="Z240" s="45"/>
      <c r="AA240" s="45"/>
      <c r="AY240" s="66"/>
      <c r="AZ240" s="66"/>
      <c r="BA240" s="66"/>
      <c r="BB240" s="22"/>
    </row>
    <row r="241" spans="2:54" x14ac:dyDescent="0.45">
      <c r="B241" s="45" t="s">
        <v>625</v>
      </c>
      <c r="C241" s="90"/>
      <c r="D241" s="56"/>
      <c r="E241" s="84"/>
      <c r="F241" s="58"/>
      <c r="G241" s="58"/>
      <c r="H241" s="58"/>
      <c r="I241" s="58"/>
      <c r="J241" s="58"/>
      <c r="K241" s="58"/>
      <c r="L241" s="59">
        <f t="shared" si="35"/>
        <v>0</v>
      </c>
      <c r="M241" s="68"/>
      <c r="N241" s="68"/>
      <c r="O241" s="68"/>
      <c r="P241" s="68"/>
      <c r="Q241" s="99" t="e">
        <f t="shared" si="36"/>
        <v>#DIV/0!</v>
      </c>
      <c r="R241" s="100">
        <f t="shared" si="37"/>
        <v>0.43387671059875982</v>
      </c>
      <c r="S241" s="83"/>
      <c r="T241" s="83"/>
      <c r="U241" s="101">
        <f t="shared" si="38"/>
        <v>2021.2824107652905</v>
      </c>
      <c r="V241" s="45"/>
      <c r="W241" s="45"/>
      <c r="X241" s="45"/>
      <c r="Y241" s="45"/>
      <c r="Z241" s="45"/>
      <c r="AA241" s="45"/>
      <c r="AY241" s="66"/>
      <c r="AZ241" s="66"/>
      <c r="BA241" s="66"/>
      <c r="BB241" s="22"/>
    </row>
    <row r="242" spans="2:54" x14ac:dyDescent="0.45">
      <c r="B242" s="45" t="s">
        <v>626</v>
      </c>
      <c r="C242" s="90"/>
      <c r="D242" s="56"/>
      <c r="E242" s="57"/>
      <c r="F242" s="58"/>
      <c r="G242" s="58"/>
      <c r="H242" s="58"/>
      <c r="I242" s="58"/>
      <c r="J242" s="58"/>
      <c r="K242" s="58"/>
      <c r="L242" s="59">
        <f t="shared" si="35"/>
        <v>0</v>
      </c>
      <c r="M242" s="68"/>
      <c r="N242" s="68"/>
      <c r="O242" s="68"/>
      <c r="P242" s="68"/>
      <c r="Q242" s="99" t="e">
        <f t="shared" si="36"/>
        <v>#DIV/0!</v>
      </c>
      <c r="R242" s="100">
        <f t="shared" si="37"/>
        <v>0.43387671059875982</v>
      </c>
      <c r="S242" s="83"/>
      <c r="T242" s="83"/>
      <c r="U242" s="101">
        <f t="shared" si="38"/>
        <v>2021.2824107652905</v>
      </c>
      <c r="V242" s="45"/>
      <c r="W242" s="45"/>
      <c r="X242" s="45"/>
      <c r="Y242" s="45"/>
      <c r="Z242" s="45"/>
      <c r="AA242" s="45"/>
      <c r="AY242" s="66"/>
      <c r="AZ242" s="66"/>
      <c r="BA242" s="66"/>
      <c r="BB242" s="22"/>
    </row>
    <row r="243" spans="2:54" x14ac:dyDescent="0.45">
      <c r="B243" s="45" t="s">
        <v>627</v>
      </c>
      <c r="C243" s="90"/>
      <c r="D243" s="56"/>
      <c r="E243" s="80"/>
      <c r="F243" s="58"/>
      <c r="G243" s="58"/>
      <c r="H243" s="58"/>
      <c r="I243" s="58"/>
      <c r="J243" s="58"/>
      <c r="K243" s="58"/>
      <c r="L243" s="59">
        <f t="shared" si="35"/>
        <v>0</v>
      </c>
      <c r="M243" s="68"/>
      <c r="N243" s="68"/>
      <c r="O243" s="68"/>
      <c r="P243" s="68"/>
      <c r="Q243" s="99" t="e">
        <f t="shared" si="36"/>
        <v>#DIV/0!</v>
      </c>
      <c r="R243" s="100">
        <f t="shared" si="37"/>
        <v>0.43387671059875982</v>
      </c>
      <c r="S243" s="83"/>
      <c r="T243" s="83"/>
      <c r="U243" s="101">
        <f t="shared" si="38"/>
        <v>2021.2824107652905</v>
      </c>
      <c r="V243" s="45"/>
      <c r="W243" s="45"/>
      <c r="X243" s="45"/>
      <c r="Y243" s="45"/>
      <c r="Z243" s="45"/>
      <c r="AA243" s="45"/>
      <c r="AY243" s="66"/>
      <c r="AZ243" s="66"/>
      <c r="BA243" s="66"/>
      <c r="BB243" s="22"/>
    </row>
    <row r="244" spans="2:54" x14ac:dyDescent="0.45">
      <c r="B244" s="45" t="s">
        <v>628</v>
      </c>
      <c r="C244" s="90"/>
      <c r="D244" s="56"/>
      <c r="E244" s="84"/>
      <c r="F244" s="58"/>
      <c r="G244" s="58"/>
      <c r="H244" s="58"/>
      <c r="I244" s="58"/>
      <c r="J244" s="58"/>
      <c r="K244" s="58"/>
      <c r="L244" s="59">
        <f t="shared" si="35"/>
        <v>0</v>
      </c>
      <c r="M244" s="68"/>
      <c r="N244" s="68"/>
      <c r="O244" s="68"/>
      <c r="P244" s="68"/>
      <c r="Q244" s="99" t="e">
        <f t="shared" si="36"/>
        <v>#DIV/0!</v>
      </c>
      <c r="R244" s="100">
        <f t="shared" si="37"/>
        <v>0.43387671059875982</v>
      </c>
      <c r="S244" s="83"/>
      <c r="T244" s="83"/>
      <c r="U244" s="101">
        <f t="shared" si="38"/>
        <v>2021.2824107652905</v>
      </c>
      <c r="V244" s="45"/>
      <c r="W244" s="45"/>
      <c r="X244" s="45"/>
      <c r="Y244" s="45"/>
      <c r="Z244" s="45"/>
      <c r="AA244" s="45"/>
      <c r="AY244" s="66"/>
      <c r="AZ244" s="66"/>
      <c r="BA244" s="66"/>
      <c r="BB244" s="22"/>
    </row>
    <row r="245" spans="2:54" x14ac:dyDescent="0.45">
      <c r="B245" s="45" t="s">
        <v>629</v>
      </c>
      <c r="C245" s="90"/>
      <c r="D245" s="56"/>
      <c r="E245" s="57"/>
      <c r="F245" s="58"/>
      <c r="G245" s="58"/>
      <c r="H245" s="58"/>
      <c r="I245" s="58"/>
      <c r="J245" s="58"/>
      <c r="K245" s="58"/>
      <c r="L245" s="59">
        <f t="shared" si="35"/>
        <v>0</v>
      </c>
      <c r="M245" s="68"/>
      <c r="N245" s="68"/>
      <c r="O245" s="68"/>
      <c r="P245" s="68"/>
      <c r="Q245" s="99" t="e">
        <f t="shared" si="36"/>
        <v>#DIV/0!</v>
      </c>
      <c r="R245" s="100">
        <f t="shared" si="37"/>
        <v>0.43387671059875982</v>
      </c>
      <c r="S245" s="83"/>
      <c r="T245" s="83"/>
      <c r="U245" s="101">
        <f t="shared" si="38"/>
        <v>2021.2824107652905</v>
      </c>
      <c r="V245" s="45"/>
      <c r="W245" s="45"/>
      <c r="X245" s="45"/>
      <c r="Y245" s="45"/>
      <c r="Z245" s="45"/>
      <c r="AA245" s="45"/>
      <c r="AY245" s="66"/>
      <c r="AZ245" s="66"/>
      <c r="BA245" s="66"/>
      <c r="BB245" s="22"/>
    </row>
    <row r="246" spans="2:54" x14ac:dyDescent="0.45">
      <c r="B246" s="45" t="s">
        <v>630</v>
      </c>
      <c r="C246" s="90"/>
      <c r="D246" s="56"/>
      <c r="E246" s="80"/>
      <c r="F246" s="58"/>
      <c r="G246" s="58"/>
      <c r="H246" s="58"/>
      <c r="I246" s="58"/>
      <c r="J246" s="58"/>
      <c r="K246" s="58"/>
      <c r="L246" s="59">
        <f t="shared" si="35"/>
        <v>0</v>
      </c>
      <c r="M246" s="68"/>
      <c r="N246" s="68"/>
      <c r="O246" s="68"/>
      <c r="P246" s="68"/>
      <c r="Q246" s="99" t="e">
        <f t="shared" si="36"/>
        <v>#DIV/0!</v>
      </c>
      <c r="R246" s="100">
        <f t="shared" si="37"/>
        <v>0.43387671059875982</v>
      </c>
      <c r="S246" s="83"/>
      <c r="T246" s="83"/>
      <c r="U246" s="101">
        <f t="shared" si="38"/>
        <v>2021.2824107652905</v>
      </c>
      <c r="V246" s="45"/>
      <c r="W246" s="45"/>
      <c r="X246" s="45"/>
      <c r="Y246" s="45"/>
      <c r="Z246" s="45"/>
      <c r="AA246" s="45"/>
      <c r="AY246" s="66"/>
      <c r="AZ246" s="66"/>
      <c r="BA246" s="66"/>
      <c r="BB246" s="22"/>
    </row>
    <row r="247" spans="2:54" x14ac:dyDescent="0.45">
      <c r="B247" s="45" t="s">
        <v>631</v>
      </c>
      <c r="C247" s="90"/>
      <c r="D247" s="56"/>
      <c r="E247" s="84"/>
      <c r="F247" s="58"/>
      <c r="G247" s="58"/>
      <c r="H247" s="58"/>
      <c r="I247" s="58"/>
      <c r="J247" s="58"/>
      <c r="K247" s="58"/>
      <c r="L247" s="59">
        <f t="shared" si="35"/>
        <v>0</v>
      </c>
      <c r="M247" s="68"/>
      <c r="N247" s="68"/>
      <c r="O247" s="68"/>
      <c r="P247" s="68"/>
      <c r="Q247" s="99" t="e">
        <f t="shared" si="36"/>
        <v>#DIV/0!</v>
      </c>
      <c r="R247" s="100">
        <f t="shared" si="37"/>
        <v>0.43387671059875982</v>
      </c>
      <c r="S247" s="83"/>
      <c r="T247" s="83"/>
      <c r="U247" s="101">
        <f t="shared" si="38"/>
        <v>2021.2824107652905</v>
      </c>
      <c r="V247" s="45"/>
      <c r="W247" s="45"/>
      <c r="X247" s="45"/>
      <c r="Y247" s="45"/>
      <c r="Z247" s="45"/>
      <c r="AA247" s="45"/>
      <c r="AY247" s="66"/>
      <c r="AZ247" s="66"/>
      <c r="BA247" s="66"/>
      <c r="BB247" s="22"/>
    </row>
    <row r="248" spans="2:54" x14ac:dyDescent="0.45">
      <c r="B248" s="45" t="s">
        <v>632</v>
      </c>
      <c r="C248" s="90"/>
      <c r="D248" s="56"/>
      <c r="E248" s="57"/>
      <c r="F248" s="58"/>
      <c r="G248" s="58"/>
      <c r="H248" s="58"/>
      <c r="I248" s="58"/>
      <c r="J248" s="58"/>
      <c r="K248" s="58"/>
      <c r="L248" s="59">
        <f t="shared" si="35"/>
        <v>0</v>
      </c>
      <c r="M248" s="68"/>
      <c r="N248" s="68"/>
      <c r="O248" s="68"/>
      <c r="P248" s="68"/>
      <c r="Q248" s="99" t="e">
        <f t="shared" si="36"/>
        <v>#DIV/0!</v>
      </c>
      <c r="R248" s="100">
        <f t="shared" si="37"/>
        <v>0.43387671059875982</v>
      </c>
      <c r="S248" s="83"/>
      <c r="T248" s="83"/>
      <c r="U248" s="101">
        <f t="shared" si="38"/>
        <v>2021.2824107652905</v>
      </c>
      <c r="V248" s="45"/>
      <c r="W248" s="45"/>
      <c r="X248" s="45"/>
      <c r="Y248" s="45"/>
      <c r="Z248" s="45"/>
      <c r="AA248" s="45"/>
      <c r="AY248" s="66"/>
      <c r="AZ248" s="66"/>
      <c r="BA248" s="66"/>
      <c r="BB248" s="22"/>
    </row>
    <row r="249" spans="2:54" x14ac:dyDescent="0.45">
      <c r="B249" s="45" t="s">
        <v>633</v>
      </c>
      <c r="C249" s="90"/>
      <c r="D249" s="56"/>
      <c r="E249" s="80"/>
      <c r="F249" s="58"/>
      <c r="G249" s="58"/>
      <c r="H249" s="58"/>
      <c r="I249" s="58"/>
      <c r="J249" s="58"/>
      <c r="K249" s="58"/>
      <c r="L249" s="59">
        <f t="shared" si="35"/>
        <v>0</v>
      </c>
      <c r="M249" s="68"/>
      <c r="N249" s="68"/>
      <c r="O249" s="68"/>
      <c r="P249" s="68"/>
      <c r="Q249" s="99" t="e">
        <f t="shared" si="36"/>
        <v>#DIV/0!</v>
      </c>
      <c r="R249" s="100">
        <f t="shared" si="37"/>
        <v>0.43387671059875982</v>
      </c>
      <c r="S249" s="83"/>
      <c r="T249" s="83"/>
      <c r="U249" s="101">
        <f t="shared" si="38"/>
        <v>2021.2824107652905</v>
      </c>
      <c r="V249" s="45"/>
      <c r="W249" s="45"/>
      <c r="X249" s="45"/>
      <c r="Y249" s="45"/>
      <c r="Z249" s="45"/>
      <c r="AA249" s="45"/>
      <c r="AY249" s="66"/>
      <c r="AZ249" s="66"/>
      <c r="BA249" s="66"/>
      <c r="BB249" s="22"/>
    </row>
    <row r="250" spans="2:54" x14ac:dyDescent="0.45">
      <c r="B250" s="45" t="s">
        <v>634</v>
      </c>
      <c r="C250" s="90"/>
      <c r="D250" s="56"/>
      <c r="E250" s="84"/>
      <c r="F250" s="58"/>
      <c r="G250" s="58"/>
      <c r="H250" s="58"/>
      <c r="I250" s="58"/>
      <c r="J250" s="58"/>
      <c r="K250" s="58"/>
      <c r="L250" s="59">
        <f t="shared" si="35"/>
        <v>0</v>
      </c>
      <c r="M250" s="68"/>
      <c r="N250" s="68"/>
      <c r="O250" s="68"/>
      <c r="P250" s="68"/>
      <c r="Q250" s="99" t="e">
        <f t="shared" si="36"/>
        <v>#DIV/0!</v>
      </c>
      <c r="R250" s="100">
        <f t="shared" si="37"/>
        <v>0.43387671059875982</v>
      </c>
      <c r="S250" s="83"/>
      <c r="T250" s="83"/>
      <c r="U250" s="101">
        <f t="shared" si="38"/>
        <v>2021.2824107652905</v>
      </c>
      <c r="V250" s="45"/>
      <c r="W250" s="45"/>
      <c r="X250" s="45"/>
      <c r="Y250" s="45"/>
      <c r="Z250" s="45"/>
      <c r="AA250" s="45"/>
      <c r="AY250" s="66"/>
      <c r="AZ250" s="66"/>
      <c r="BA250" s="66"/>
      <c r="BB250" s="22"/>
    </row>
    <row r="251" spans="2:54" x14ac:dyDescent="0.45">
      <c r="B251" s="45" t="s">
        <v>635</v>
      </c>
      <c r="C251" s="90"/>
      <c r="D251" s="56"/>
      <c r="E251" s="57"/>
      <c r="F251" s="58"/>
      <c r="G251" s="58"/>
      <c r="H251" s="58"/>
      <c r="I251" s="58"/>
      <c r="J251" s="58"/>
      <c r="K251" s="58"/>
      <c r="L251" s="59">
        <f t="shared" si="35"/>
        <v>0</v>
      </c>
      <c r="M251" s="68"/>
      <c r="N251" s="68"/>
      <c r="O251" s="68"/>
      <c r="P251" s="68"/>
      <c r="Q251" s="99" t="e">
        <f t="shared" si="36"/>
        <v>#DIV/0!</v>
      </c>
      <c r="R251" s="100">
        <f t="shared" si="37"/>
        <v>0.43387671059875982</v>
      </c>
      <c r="S251" s="83"/>
      <c r="T251" s="83"/>
      <c r="U251" s="101">
        <f t="shared" si="38"/>
        <v>2021.2824107652905</v>
      </c>
      <c r="V251" s="45"/>
      <c r="W251" s="45"/>
      <c r="X251" s="45"/>
      <c r="Y251" s="45"/>
      <c r="Z251" s="45"/>
      <c r="AA251" s="45"/>
      <c r="AY251" s="66"/>
      <c r="AZ251" s="66"/>
      <c r="BA251" s="66"/>
      <c r="BB251" s="22"/>
    </row>
    <row r="252" spans="2:54" x14ac:dyDescent="0.45">
      <c r="B252" s="45" t="s">
        <v>636</v>
      </c>
      <c r="C252" s="90"/>
      <c r="D252" s="56"/>
      <c r="E252" s="80"/>
      <c r="F252" s="58"/>
      <c r="G252" s="58"/>
      <c r="H252" s="58"/>
      <c r="I252" s="58"/>
      <c r="J252" s="58"/>
      <c r="K252" s="58"/>
      <c r="L252" s="59">
        <f t="shared" si="35"/>
        <v>0</v>
      </c>
      <c r="M252" s="68"/>
      <c r="N252" s="68"/>
      <c r="O252" s="68"/>
      <c r="P252" s="68"/>
      <c r="Q252" s="99" t="e">
        <f t="shared" si="36"/>
        <v>#DIV/0!</v>
      </c>
      <c r="R252" s="100">
        <f t="shared" si="37"/>
        <v>0.43387671059875982</v>
      </c>
      <c r="S252" s="83"/>
      <c r="T252" s="83"/>
      <c r="U252" s="101">
        <f t="shared" si="38"/>
        <v>2021.2824107652905</v>
      </c>
      <c r="V252" s="45"/>
      <c r="W252" s="45"/>
      <c r="X252" s="45"/>
      <c r="Y252" s="45"/>
      <c r="Z252" s="45"/>
      <c r="AA252" s="45"/>
      <c r="AY252" s="66"/>
      <c r="AZ252" s="66"/>
      <c r="BA252" s="66"/>
      <c r="BB252" s="22"/>
    </row>
    <row r="253" spans="2:54" x14ac:dyDescent="0.45">
      <c r="B253" s="45" t="s">
        <v>637</v>
      </c>
      <c r="C253" s="90"/>
      <c r="D253" s="56"/>
      <c r="E253" s="84"/>
      <c r="F253" s="58"/>
      <c r="G253" s="58"/>
      <c r="H253" s="58"/>
      <c r="I253" s="58"/>
      <c r="J253" s="58"/>
      <c r="K253" s="58"/>
      <c r="L253" s="59">
        <f t="shared" si="35"/>
        <v>0</v>
      </c>
      <c r="M253" s="68"/>
      <c r="N253" s="68"/>
      <c r="O253" s="68"/>
      <c r="P253" s="68"/>
      <c r="Q253" s="99" t="e">
        <f t="shared" si="36"/>
        <v>#DIV/0!</v>
      </c>
      <c r="R253" s="100">
        <f t="shared" si="37"/>
        <v>0.43387671059875982</v>
      </c>
      <c r="S253" s="83"/>
      <c r="T253" s="83"/>
      <c r="U253" s="101">
        <f t="shared" si="38"/>
        <v>2021.2824107652905</v>
      </c>
      <c r="V253" s="45"/>
      <c r="W253" s="45"/>
      <c r="X253" s="45"/>
      <c r="Y253" s="45"/>
      <c r="Z253" s="45"/>
      <c r="AA253" s="45"/>
      <c r="AY253" s="66"/>
      <c r="AZ253" s="66"/>
      <c r="BA253" s="66"/>
      <c r="BB253" s="22"/>
    </row>
    <row r="254" spans="2:54" x14ac:dyDescent="0.45">
      <c r="B254" s="45" t="s">
        <v>638</v>
      </c>
      <c r="C254" s="90"/>
      <c r="D254" s="56"/>
      <c r="E254" s="57"/>
      <c r="F254" s="58"/>
      <c r="G254" s="58"/>
      <c r="H254" s="58"/>
      <c r="I254" s="58"/>
      <c r="J254" s="58"/>
      <c r="K254" s="58"/>
      <c r="L254" s="59">
        <f t="shared" si="35"/>
        <v>0</v>
      </c>
      <c r="M254" s="68"/>
      <c r="N254" s="68"/>
      <c r="O254" s="68"/>
      <c r="P254" s="68"/>
      <c r="Q254" s="99" t="e">
        <f t="shared" si="36"/>
        <v>#DIV/0!</v>
      </c>
      <c r="R254" s="100">
        <f t="shared" si="37"/>
        <v>0.43387671059875982</v>
      </c>
      <c r="S254" s="83"/>
      <c r="T254" s="83"/>
      <c r="U254" s="101">
        <f t="shared" si="38"/>
        <v>2021.2824107652905</v>
      </c>
      <c r="V254" s="45"/>
      <c r="W254" s="45"/>
      <c r="X254" s="45"/>
      <c r="Y254" s="45"/>
      <c r="Z254" s="45"/>
      <c r="AA254" s="45"/>
      <c r="AY254" s="66"/>
      <c r="AZ254" s="66"/>
      <c r="BA254" s="66"/>
      <c r="BB254" s="22"/>
    </row>
    <row r="255" spans="2:54" x14ac:dyDescent="0.45">
      <c r="B255" s="45" t="s">
        <v>639</v>
      </c>
      <c r="C255" s="90"/>
      <c r="D255" s="56"/>
      <c r="E255" s="80"/>
      <c r="F255" s="58"/>
      <c r="G255" s="58"/>
      <c r="H255" s="58"/>
      <c r="I255" s="58"/>
      <c r="J255" s="58"/>
      <c r="K255" s="58"/>
      <c r="L255" s="59">
        <f t="shared" si="35"/>
        <v>0</v>
      </c>
      <c r="M255" s="68"/>
      <c r="N255" s="68"/>
      <c r="O255" s="68"/>
      <c r="P255" s="68"/>
      <c r="Q255" s="99" t="e">
        <f t="shared" si="36"/>
        <v>#DIV/0!</v>
      </c>
      <c r="R255" s="100">
        <f t="shared" si="37"/>
        <v>0.43387671059875982</v>
      </c>
      <c r="S255" s="83"/>
      <c r="T255" s="83"/>
      <c r="U255" s="101">
        <f t="shared" si="38"/>
        <v>2021.2824107652905</v>
      </c>
      <c r="V255" s="45"/>
      <c r="W255" s="45"/>
      <c r="X255" s="45"/>
      <c r="Y255" s="45"/>
      <c r="Z255" s="45"/>
      <c r="AA255" s="45"/>
      <c r="AY255" s="66"/>
      <c r="AZ255" s="66"/>
      <c r="BA255" s="66"/>
      <c r="BB255" s="22"/>
    </row>
    <row r="256" spans="2:54" x14ac:dyDescent="0.45">
      <c r="B256" s="45" t="s">
        <v>640</v>
      </c>
      <c r="C256" s="90"/>
      <c r="D256" s="56"/>
      <c r="E256" s="84"/>
      <c r="F256" s="58"/>
      <c r="G256" s="58"/>
      <c r="H256" s="58"/>
      <c r="I256" s="58"/>
      <c r="J256" s="58"/>
      <c r="K256" s="58"/>
      <c r="L256" s="59">
        <f t="shared" si="35"/>
        <v>0</v>
      </c>
      <c r="M256" s="68"/>
      <c r="N256" s="68"/>
      <c r="O256" s="68"/>
      <c r="P256" s="68"/>
      <c r="Q256" s="99" t="e">
        <f t="shared" si="36"/>
        <v>#DIV/0!</v>
      </c>
      <c r="R256" s="100">
        <f t="shared" si="37"/>
        <v>0.43387671059875982</v>
      </c>
      <c r="S256" s="83"/>
      <c r="T256" s="83"/>
      <c r="U256" s="101">
        <f t="shared" si="38"/>
        <v>2021.2824107652905</v>
      </c>
      <c r="V256" s="45"/>
      <c r="W256" s="45"/>
      <c r="X256" s="45"/>
      <c r="Y256" s="45"/>
      <c r="Z256" s="45"/>
      <c r="AA256" s="45"/>
      <c r="AY256" s="66"/>
      <c r="AZ256" s="66"/>
      <c r="BA256" s="66"/>
      <c r="BB256" s="22"/>
    </row>
    <row r="257" spans="2:54" x14ac:dyDescent="0.45">
      <c r="B257" s="45" t="s">
        <v>641</v>
      </c>
      <c r="C257" s="90"/>
      <c r="D257" s="56"/>
      <c r="E257" s="57"/>
      <c r="F257" s="58"/>
      <c r="G257" s="58"/>
      <c r="H257" s="58"/>
      <c r="I257" s="58"/>
      <c r="J257" s="58"/>
      <c r="K257" s="58"/>
      <c r="L257" s="59">
        <f t="shared" si="35"/>
        <v>0</v>
      </c>
      <c r="M257" s="68"/>
      <c r="N257" s="68"/>
      <c r="O257" s="68"/>
      <c r="P257" s="68"/>
      <c r="Q257" s="99" t="e">
        <f t="shared" si="36"/>
        <v>#DIV/0!</v>
      </c>
      <c r="R257" s="100">
        <f t="shared" si="37"/>
        <v>0.43387671059875982</v>
      </c>
      <c r="S257" s="83"/>
      <c r="T257" s="83"/>
      <c r="U257" s="101">
        <f t="shared" si="38"/>
        <v>2021.2824107652905</v>
      </c>
      <c r="V257" s="45"/>
      <c r="W257" s="45"/>
      <c r="X257" s="45"/>
      <c r="Y257" s="45"/>
      <c r="Z257" s="45"/>
      <c r="AA257" s="45"/>
      <c r="AY257" s="66"/>
      <c r="AZ257" s="66"/>
      <c r="BA257" s="66"/>
      <c r="BB257" s="22"/>
    </row>
    <row r="258" spans="2:54" x14ac:dyDescent="0.45">
      <c r="B258" s="45" t="s">
        <v>642</v>
      </c>
      <c r="C258" s="90"/>
      <c r="D258" s="56"/>
      <c r="E258" s="80"/>
      <c r="F258" s="58"/>
      <c r="G258" s="58"/>
      <c r="H258" s="58"/>
      <c r="I258" s="58"/>
      <c r="J258" s="58"/>
      <c r="K258" s="58"/>
      <c r="L258" s="59">
        <f t="shared" si="35"/>
        <v>0</v>
      </c>
      <c r="M258" s="68"/>
      <c r="N258" s="68"/>
      <c r="O258" s="68"/>
      <c r="P258" s="68"/>
      <c r="Q258" s="99" t="e">
        <f t="shared" si="36"/>
        <v>#DIV/0!</v>
      </c>
      <c r="R258" s="100">
        <f t="shared" si="37"/>
        <v>0.43387671059875982</v>
      </c>
      <c r="S258" s="83"/>
      <c r="T258" s="83"/>
      <c r="U258" s="101">
        <f t="shared" si="38"/>
        <v>2021.2824107652905</v>
      </c>
      <c r="V258" s="45"/>
      <c r="W258" s="45"/>
      <c r="X258" s="45"/>
      <c r="Y258" s="45"/>
      <c r="Z258" s="45"/>
      <c r="AA258" s="45"/>
      <c r="AY258" s="66"/>
      <c r="AZ258" s="66"/>
      <c r="BA258" s="66"/>
      <c r="BB258" s="22"/>
    </row>
    <row r="259" spans="2:54" x14ac:dyDescent="0.45">
      <c r="B259" s="45" t="s">
        <v>643</v>
      </c>
      <c r="C259" s="90"/>
      <c r="D259" s="56"/>
      <c r="E259" s="84"/>
      <c r="F259" s="58"/>
      <c r="G259" s="58"/>
      <c r="H259" s="58"/>
      <c r="I259" s="58"/>
      <c r="J259" s="58"/>
      <c r="K259" s="58"/>
      <c r="L259" s="59">
        <f t="shared" si="35"/>
        <v>0</v>
      </c>
      <c r="M259" s="68"/>
      <c r="N259" s="68"/>
      <c r="O259" s="68"/>
      <c r="P259" s="68"/>
      <c r="Q259" s="99" t="e">
        <f t="shared" si="36"/>
        <v>#DIV/0!</v>
      </c>
      <c r="R259" s="100">
        <f t="shared" si="37"/>
        <v>0.43387671059875982</v>
      </c>
      <c r="S259" s="83"/>
      <c r="T259" s="83"/>
      <c r="U259" s="101">
        <f t="shared" si="38"/>
        <v>2021.2824107652905</v>
      </c>
      <c r="V259" s="45"/>
      <c r="W259" s="45"/>
      <c r="X259" s="45"/>
      <c r="Y259" s="45"/>
      <c r="Z259" s="45"/>
      <c r="AA259" s="45"/>
      <c r="AY259" s="66"/>
      <c r="AZ259" s="66"/>
      <c r="BA259" s="66"/>
      <c r="BB259" s="22"/>
    </row>
    <row r="260" spans="2:54" x14ac:dyDescent="0.45">
      <c r="B260" s="45" t="s">
        <v>644</v>
      </c>
      <c r="C260" s="90"/>
      <c r="D260" s="56"/>
      <c r="E260" s="57"/>
      <c r="F260" s="58"/>
      <c r="G260" s="58"/>
      <c r="H260" s="58"/>
      <c r="I260" s="58"/>
      <c r="J260" s="58"/>
      <c r="K260" s="58"/>
      <c r="L260" s="59">
        <f t="shared" si="35"/>
        <v>0</v>
      </c>
      <c r="M260" s="68"/>
      <c r="N260" s="68"/>
      <c r="O260" s="68"/>
      <c r="P260" s="68"/>
      <c r="Q260" s="99" t="e">
        <f t="shared" si="36"/>
        <v>#DIV/0!</v>
      </c>
      <c r="R260" s="100">
        <f t="shared" si="37"/>
        <v>0.43387671059875982</v>
      </c>
      <c r="S260" s="83"/>
      <c r="T260" s="83"/>
      <c r="U260" s="101">
        <f t="shared" si="38"/>
        <v>2021.2824107652905</v>
      </c>
      <c r="V260" s="45"/>
      <c r="W260" s="45"/>
      <c r="X260" s="45"/>
      <c r="Y260" s="45"/>
      <c r="Z260" s="45"/>
      <c r="AA260" s="45"/>
      <c r="AY260" s="66"/>
      <c r="AZ260" s="66"/>
      <c r="BA260" s="66"/>
      <c r="BB260" s="22"/>
    </row>
    <row r="261" spans="2:54" x14ac:dyDescent="0.45">
      <c r="B261" s="45" t="s">
        <v>645</v>
      </c>
      <c r="C261" s="90"/>
      <c r="D261" s="56"/>
      <c r="E261" s="80"/>
      <c r="F261" s="58"/>
      <c r="G261" s="58"/>
      <c r="H261" s="58"/>
      <c r="I261" s="58"/>
      <c r="J261" s="58"/>
      <c r="K261" s="58"/>
      <c r="L261" s="59">
        <f t="shared" si="35"/>
        <v>0</v>
      </c>
      <c r="M261" s="68"/>
      <c r="N261" s="68"/>
      <c r="O261" s="68"/>
      <c r="P261" s="68"/>
      <c r="Q261" s="99" t="e">
        <f t="shared" si="36"/>
        <v>#DIV/0!</v>
      </c>
      <c r="R261" s="100">
        <f t="shared" si="37"/>
        <v>0.43387671059875982</v>
      </c>
      <c r="S261" s="83"/>
      <c r="T261" s="83"/>
      <c r="U261" s="101">
        <f t="shared" si="38"/>
        <v>2021.2824107652905</v>
      </c>
      <c r="V261" s="45"/>
      <c r="W261" s="45"/>
      <c r="X261" s="45"/>
      <c r="Y261" s="45"/>
      <c r="Z261" s="45"/>
      <c r="AA261" s="45"/>
      <c r="AY261" s="66"/>
      <c r="AZ261" s="66"/>
      <c r="BA261" s="66"/>
      <c r="BB261" s="22"/>
    </row>
    <row r="262" spans="2:54" x14ac:dyDescent="0.45">
      <c r="B262" s="45" t="s">
        <v>646</v>
      </c>
      <c r="C262" s="90"/>
      <c r="D262" s="56"/>
      <c r="E262" s="84"/>
      <c r="F262" s="58"/>
      <c r="G262" s="58"/>
      <c r="H262" s="58"/>
      <c r="I262" s="58"/>
      <c r="J262" s="58"/>
      <c r="K262" s="58"/>
      <c r="L262" s="59">
        <f t="shared" si="35"/>
        <v>0</v>
      </c>
      <c r="M262" s="68"/>
      <c r="N262" s="68"/>
      <c r="O262" s="68"/>
      <c r="P262" s="68"/>
      <c r="Q262" s="99" t="e">
        <f t="shared" si="36"/>
        <v>#DIV/0!</v>
      </c>
      <c r="R262" s="100">
        <f t="shared" si="37"/>
        <v>0.43387671059875982</v>
      </c>
      <c r="S262" s="83"/>
      <c r="T262" s="83"/>
      <c r="U262" s="101">
        <f t="shared" si="38"/>
        <v>2021.2824107652905</v>
      </c>
      <c r="V262" s="45"/>
      <c r="W262" s="45"/>
      <c r="X262" s="45"/>
      <c r="Y262" s="45"/>
      <c r="Z262" s="45"/>
      <c r="AA262" s="45"/>
      <c r="AY262" s="66"/>
      <c r="AZ262" s="66"/>
      <c r="BA262" s="66"/>
      <c r="BB262" s="22"/>
    </row>
    <row r="263" spans="2:54" x14ac:dyDescent="0.45">
      <c r="B263" s="45" t="s">
        <v>647</v>
      </c>
      <c r="C263" s="90"/>
      <c r="D263" s="56"/>
      <c r="E263" s="57"/>
      <c r="F263" s="58"/>
      <c r="G263" s="58"/>
      <c r="H263" s="58"/>
      <c r="I263" s="58"/>
      <c r="J263" s="58"/>
      <c r="K263" s="58"/>
      <c r="L263" s="59">
        <f t="shared" si="35"/>
        <v>0</v>
      </c>
      <c r="M263" s="68"/>
      <c r="N263" s="68"/>
      <c r="O263" s="68"/>
      <c r="P263" s="68"/>
      <c r="Q263" s="99" t="e">
        <f t="shared" si="36"/>
        <v>#DIV/0!</v>
      </c>
      <c r="R263" s="100">
        <f t="shared" si="37"/>
        <v>0.43387671059875982</v>
      </c>
      <c r="S263" s="83"/>
      <c r="T263" s="83"/>
      <c r="U263" s="101">
        <f t="shared" si="38"/>
        <v>2021.2824107652905</v>
      </c>
      <c r="V263" s="45"/>
      <c r="W263" s="45"/>
      <c r="X263" s="45"/>
      <c r="Y263" s="45"/>
      <c r="Z263" s="45"/>
      <c r="AA263" s="45"/>
      <c r="AY263" s="66"/>
      <c r="AZ263" s="66"/>
      <c r="BA263" s="66"/>
      <c r="BB263" s="22"/>
    </row>
    <row r="264" spans="2:54" x14ac:dyDescent="0.45">
      <c r="B264" s="45" t="s">
        <v>648</v>
      </c>
      <c r="C264" s="90"/>
      <c r="D264" s="56"/>
      <c r="E264" s="80"/>
      <c r="F264" s="58"/>
      <c r="G264" s="58"/>
      <c r="H264" s="58"/>
      <c r="I264" s="58"/>
      <c r="J264" s="58"/>
      <c r="K264" s="58"/>
      <c r="L264" s="59">
        <f t="shared" si="35"/>
        <v>0</v>
      </c>
      <c r="M264" s="68"/>
      <c r="N264" s="68"/>
      <c r="O264" s="68"/>
      <c r="P264" s="68"/>
      <c r="Q264" s="99" t="e">
        <f t="shared" si="36"/>
        <v>#DIV/0!</v>
      </c>
      <c r="R264" s="100">
        <f t="shared" si="37"/>
        <v>0.43387671059875982</v>
      </c>
      <c r="S264" s="83"/>
      <c r="T264" s="83"/>
      <c r="U264" s="101">
        <f t="shared" si="38"/>
        <v>2021.2824107652905</v>
      </c>
      <c r="V264" s="45"/>
      <c r="W264" s="45"/>
      <c r="X264" s="45"/>
      <c r="Y264" s="45"/>
      <c r="Z264" s="45"/>
      <c r="AA264" s="45"/>
      <c r="AY264" s="66"/>
      <c r="AZ264" s="66"/>
      <c r="BA264" s="66"/>
      <c r="BB264" s="22"/>
    </row>
    <row r="265" spans="2:54" x14ac:dyDescent="0.45">
      <c r="B265" s="45" t="s">
        <v>649</v>
      </c>
      <c r="C265" s="90"/>
      <c r="D265" s="56"/>
      <c r="E265" s="84"/>
      <c r="F265" s="58"/>
      <c r="G265" s="58"/>
      <c r="H265" s="58"/>
      <c r="I265" s="58"/>
      <c r="J265" s="58"/>
      <c r="K265" s="58"/>
      <c r="L265" s="59">
        <f t="shared" si="35"/>
        <v>0</v>
      </c>
      <c r="M265" s="68"/>
      <c r="N265" s="68"/>
      <c r="O265" s="68"/>
      <c r="P265" s="68"/>
      <c r="Q265" s="99" t="e">
        <f t="shared" si="36"/>
        <v>#DIV/0!</v>
      </c>
      <c r="R265" s="100">
        <f t="shared" si="37"/>
        <v>0.43387671059875982</v>
      </c>
      <c r="S265" s="83"/>
      <c r="T265" s="83"/>
      <c r="U265" s="101">
        <f t="shared" si="38"/>
        <v>2021.2824107652905</v>
      </c>
      <c r="V265" s="45"/>
      <c r="W265" s="45"/>
      <c r="X265" s="45"/>
      <c r="Y265" s="45"/>
      <c r="Z265" s="45"/>
      <c r="AA265" s="45"/>
      <c r="AY265" s="66"/>
      <c r="AZ265" s="66"/>
      <c r="BA265" s="66"/>
      <c r="BB265" s="22"/>
    </row>
    <row r="266" spans="2:54" x14ac:dyDescent="0.45">
      <c r="B266" s="45" t="s">
        <v>650</v>
      </c>
      <c r="C266" s="90"/>
      <c r="D266" s="56"/>
      <c r="E266" s="57"/>
      <c r="F266" s="58"/>
      <c r="G266" s="58"/>
      <c r="H266" s="58"/>
      <c r="I266" s="58"/>
      <c r="J266" s="58"/>
      <c r="K266" s="58"/>
      <c r="L266" s="59">
        <f t="shared" si="35"/>
        <v>0</v>
      </c>
      <c r="M266" s="68"/>
      <c r="N266" s="68"/>
      <c r="O266" s="68"/>
      <c r="P266" s="68"/>
      <c r="Q266" s="99" t="e">
        <f t="shared" si="36"/>
        <v>#DIV/0!</v>
      </c>
      <c r="R266" s="100">
        <f t="shared" si="37"/>
        <v>0.43387671059875982</v>
      </c>
      <c r="S266" s="83"/>
      <c r="T266" s="83"/>
      <c r="U266" s="101">
        <f t="shared" si="38"/>
        <v>2021.2824107652905</v>
      </c>
      <c r="V266" s="45"/>
      <c r="W266" s="45"/>
      <c r="X266" s="45"/>
      <c r="Y266" s="45"/>
      <c r="Z266" s="45"/>
      <c r="AA266" s="45"/>
      <c r="AY266" s="66"/>
      <c r="AZ266" s="66"/>
      <c r="BA266" s="66"/>
      <c r="BB266" s="22"/>
    </row>
    <row r="267" spans="2:54" x14ac:dyDescent="0.45">
      <c r="B267" s="45" t="s">
        <v>651</v>
      </c>
      <c r="C267" s="90"/>
      <c r="D267" s="56"/>
      <c r="E267" s="80"/>
      <c r="F267" s="58"/>
      <c r="G267" s="58"/>
      <c r="H267" s="58"/>
      <c r="I267" s="58"/>
      <c r="J267" s="58"/>
      <c r="K267" s="58"/>
      <c r="L267" s="59">
        <f t="shared" si="35"/>
        <v>0</v>
      </c>
      <c r="M267" s="68"/>
      <c r="N267" s="68"/>
      <c r="O267" s="68"/>
      <c r="P267" s="68"/>
      <c r="Q267" s="99" t="e">
        <f t="shared" si="36"/>
        <v>#DIV/0!</v>
      </c>
      <c r="R267" s="100">
        <f t="shared" si="37"/>
        <v>0.43387671059875982</v>
      </c>
      <c r="S267" s="83"/>
      <c r="T267" s="83"/>
      <c r="U267" s="101">
        <f t="shared" si="38"/>
        <v>2021.2824107652905</v>
      </c>
      <c r="V267" s="45"/>
      <c r="W267" s="45"/>
      <c r="X267" s="45"/>
      <c r="Y267" s="45"/>
      <c r="Z267" s="45"/>
      <c r="AA267" s="45"/>
      <c r="AY267" s="66"/>
      <c r="AZ267" s="66"/>
      <c r="BA267" s="66"/>
      <c r="BB267" s="22"/>
    </row>
    <row r="268" spans="2:54" x14ac:dyDescent="0.45">
      <c r="B268" s="45" t="s">
        <v>652</v>
      </c>
      <c r="C268" s="90"/>
      <c r="D268" s="56"/>
      <c r="E268" s="84"/>
      <c r="F268" s="58"/>
      <c r="G268" s="58"/>
      <c r="H268" s="58"/>
      <c r="I268" s="58"/>
      <c r="J268" s="58"/>
      <c r="K268" s="58"/>
      <c r="L268" s="59">
        <f t="shared" si="35"/>
        <v>0</v>
      </c>
      <c r="M268" s="68"/>
      <c r="N268" s="68"/>
      <c r="O268" s="68"/>
      <c r="P268" s="68"/>
      <c r="Q268" s="99" t="e">
        <f t="shared" si="36"/>
        <v>#DIV/0!</v>
      </c>
      <c r="R268" s="100">
        <f t="shared" si="37"/>
        <v>0.43387671059875982</v>
      </c>
      <c r="S268" s="83"/>
      <c r="T268" s="83"/>
      <c r="U268" s="101">
        <f t="shared" si="38"/>
        <v>2021.2824107652905</v>
      </c>
      <c r="V268" s="45"/>
      <c r="W268" s="45"/>
      <c r="X268" s="45"/>
      <c r="Y268" s="45"/>
      <c r="Z268" s="45"/>
      <c r="AA268" s="45"/>
      <c r="AY268" s="66"/>
      <c r="AZ268" s="66"/>
      <c r="BA268" s="66"/>
      <c r="BB268" s="22"/>
    </row>
    <row r="269" spans="2:54" x14ac:dyDescent="0.45">
      <c r="B269" s="45" t="s">
        <v>653</v>
      </c>
      <c r="C269" s="90"/>
      <c r="D269" s="56"/>
      <c r="E269" s="57"/>
      <c r="F269" s="58"/>
      <c r="G269" s="58"/>
      <c r="H269" s="58"/>
      <c r="I269" s="58"/>
      <c r="J269" s="58"/>
      <c r="K269" s="58"/>
      <c r="L269" s="59">
        <f t="shared" si="35"/>
        <v>0</v>
      </c>
      <c r="M269" s="68"/>
      <c r="N269" s="68"/>
      <c r="O269" s="68"/>
      <c r="P269" s="68"/>
      <c r="Q269" s="99" t="e">
        <f t="shared" si="36"/>
        <v>#DIV/0!</v>
      </c>
      <c r="R269" s="100">
        <f t="shared" si="37"/>
        <v>0.43387671059875982</v>
      </c>
      <c r="S269" s="83"/>
      <c r="T269" s="83"/>
      <c r="U269" s="101">
        <f t="shared" si="38"/>
        <v>2021.2824107652905</v>
      </c>
      <c r="V269" s="45"/>
      <c r="W269" s="45"/>
      <c r="X269" s="45"/>
      <c r="Y269" s="45"/>
      <c r="Z269" s="45"/>
      <c r="AA269" s="45"/>
      <c r="AY269" s="66"/>
      <c r="AZ269" s="66"/>
      <c r="BA269" s="66"/>
      <c r="BB269" s="22"/>
    </row>
    <row r="270" spans="2:54" x14ac:dyDescent="0.45">
      <c r="B270" s="45" t="s">
        <v>654</v>
      </c>
      <c r="C270" s="90"/>
      <c r="D270" s="56"/>
      <c r="E270" s="80"/>
      <c r="F270" s="58"/>
      <c r="G270" s="58"/>
      <c r="H270" s="58"/>
      <c r="I270" s="58"/>
      <c r="J270" s="58"/>
      <c r="K270" s="58"/>
      <c r="L270" s="59">
        <f t="shared" si="35"/>
        <v>0</v>
      </c>
      <c r="M270" s="68"/>
      <c r="N270" s="68"/>
      <c r="O270" s="68"/>
      <c r="P270" s="68"/>
      <c r="Q270" s="99" t="e">
        <f t="shared" si="36"/>
        <v>#DIV/0!</v>
      </c>
      <c r="R270" s="100">
        <f t="shared" si="37"/>
        <v>0.43387671059875982</v>
      </c>
      <c r="S270" s="83"/>
      <c r="T270" s="83"/>
      <c r="U270" s="101">
        <f t="shared" si="38"/>
        <v>2021.2824107652905</v>
      </c>
      <c r="V270" s="45"/>
      <c r="W270" s="45"/>
      <c r="X270" s="45"/>
      <c r="Y270" s="45"/>
      <c r="Z270" s="45"/>
      <c r="AA270" s="45"/>
      <c r="AY270" s="66"/>
      <c r="AZ270" s="66"/>
      <c r="BA270" s="66"/>
      <c r="BB270" s="22"/>
    </row>
    <row r="271" spans="2:54" x14ac:dyDescent="0.45">
      <c r="B271" s="45" t="s">
        <v>655</v>
      </c>
      <c r="C271" s="90"/>
      <c r="D271" s="56"/>
      <c r="E271" s="84"/>
      <c r="F271" s="58"/>
      <c r="G271" s="58"/>
      <c r="H271" s="58"/>
      <c r="I271" s="58"/>
      <c r="J271" s="58"/>
      <c r="K271" s="58"/>
      <c r="L271" s="59">
        <f t="shared" si="35"/>
        <v>0</v>
      </c>
      <c r="M271" s="68"/>
      <c r="N271" s="68"/>
      <c r="O271" s="68"/>
      <c r="P271" s="68"/>
      <c r="Q271" s="99" t="e">
        <f t="shared" si="36"/>
        <v>#DIV/0!</v>
      </c>
      <c r="R271" s="100">
        <f t="shared" si="37"/>
        <v>0.43387671059875982</v>
      </c>
      <c r="S271" s="83"/>
      <c r="T271" s="83"/>
      <c r="U271" s="101">
        <f t="shared" si="38"/>
        <v>2021.2824107652905</v>
      </c>
      <c r="V271" s="45"/>
      <c r="W271" s="45"/>
      <c r="X271" s="45"/>
      <c r="Y271" s="45"/>
      <c r="Z271" s="45"/>
      <c r="AA271" s="45"/>
      <c r="AY271" s="66"/>
      <c r="AZ271" s="66"/>
      <c r="BA271" s="66"/>
      <c r="BB271" s="22"/>
    </row>
    <row r="272" spans="2:54" x14ac:dyDescent="0.45">
      <c r="B272" s="45" t="s">
        <v>656</v>
      </c>
      <c r="C272" s="90"/>
      <c r="D272" s="56"/>
      <c r="E272" s="57"/>
      <c r="F272" s="58"/>
      <c r="G272" s="58"/>
      <c r="H272" s="58"/>
      <c r="I272" s="58"/>
      <c r="J272" s="58"/>
      <c r="K272" s="58"/>
      <c r="L272" s="59">
        <f t="shared" si="35"/>
        <v>0</v>
      </c>
      <c r="M272" s="68"/>
      <c r="N272" s="68"/>
      <c r="O272" s="68"/>
      <c r="P272" s="68"/>
      <c r="Q272" s="99" t="e">
        <f t="shared" si="36"/>
        <v>#DIV/0!</v>
      </c>
      <c r="R272" s="100">
        <f t="shared" si="37"/>
        <v>0.43387671059875982</v>
      </c>
      <c r="S272" s="83"/>
      <c r="T272" s="83"/>
      <c r="U272" s="101">
        <f t="shared" si="38"/>
        <v>2021.2824107652905</v>
      </c>
      <c r="V272" s="45"/>
      <c r="W272" s="45"/>
      <c r="X272" s="45"/>
      <c r="Y272" s="45"/>
      <c r="Z272" s="45"/>
      <c r="AA272" s="45"/>
      <c r="AY272" s="66"/>
      <c r="AZ272" s="66"/>
      <c r="BA272" s="66"/>
      <c r="BB272" s="22"/>
    </row>
    <row r="273" spans="2:54" x14ac:dyDescent="0.45">
      <c r="B273" s="45" t="s">
        <v>657</v>
      </c>
      <c r="C273" s="90"/>
      <c r="D273" s="56"/>
      <c r="E273" s="80"/>
      <c r="F273" s="58"/>
      <c r="G273" s="58"/>
      <c r="H273" s="58"/>
      <c r="I273" s="58"/>
      <c r="J273" s="58"/>
      <c r="K273" s="58"/>
      <c r="L273" s="59">
        <f t="shared" si="35"/>
        <v>0</v>
      </c>
      <c r="M273" s="68"/>
      <c r="N273" s="68"/>
      <c r="O273" s="68"/>
      <c r="P273" s="68"/>
      <c r="Q273" s="99" t="e">
        <f t="shared" si="36"/>
        <v>#DIV/0!</v>
      </c>
      <c r="R273" s="100">
        <f t="shared" si="37"/>
        <v>0.43387671059875982</v>
      </c>
      <c r="S273" s="83"/>
      <c r="T273" s="83"/>
      <c r="U273" s="101">
        <f t="shared" si="38"/>
        <v>2021.2824107652905</v>
      </c>
      <c r="V273" s="45"/>
      <c r="W273" s="45"/>
      <c r="X273" s="45"/>
      <c r="Y273" s="45"/>
      <c r="Z273" s="45"/>
      <c r="AA273" s="45"/>
      <c r="AY273" s="66"/>
      <c r="AZ273" s="66"/>
      <c r="BA273" s="66"/>
      <c r="BB273" s="22"/>
    </row>
    <row r="274" spans="2:54" x14ac:dyDescent="0.45">
      <c r="B274" s="45" t="s">
        <v>658</v>
      </c>
      <c r="C274" s="90"/>
      <c r="D274" s="56"/>
      <c r="E274" s="84"/>
      <c r="F274" s="58"/>
      <c r="G274" s="58"/>
      <c r="H274" s="58"/>
      <c r="I274" s="58"/>
      <c r="J274" s="58"/>
      <c r="K274" s="58"/>
      <c r="L274" s="59">
        <f t="shared" ref="L274:L337" si="39">1/2*((F274*I274+H274*K274+J274*G274)-(G274*H274+I274*J274+K274*F274))/0.1582*100</f>
        <v>0</v>
      </c>
      <c r="M274" s="68"/>
      <c r="N274" s="68"/>
      <c r="O274" s="68"/>
      <c r="P274" s="68"/>
      <c r="Q274" s="99" t="e">
        <f t="shared" ref="Q274:Q337" si="40">O274/P274</f>
        <v>#DIV/0!</v>
      </c>
      <c r="R274" s="100">
        <f t="shared" ref="R274:R337" si="41">SQRT(POWER(M274-$M$12,2)+POWER(N274-$N$12,2))</f>
        <v>0.43387671059875982</v>
      </c>
      <c r="S274" s="83"/>
      <c r="T274" s="83"/>
      <c r="U274" s="101">
        <f t="shared" ref="U274:U337" si="42">(-449*((M274-0.332)/(N274-0.1858))^3)+(3525*((M274-0.332)/(N274-0.1858))^2)+(-6823.3*(M274-0.332)/(N274-0.1858))+5520.33</f>
        <v>2021.2824107652905</v>
      </c>
      <c r="V274" s="45"/>
      <c r="W274" s="45"/>
      <c r="X274" s="45"/>
      <c r="Y274" s="45"/>
      <c r="Z274" s="45"/>
      <c r="AA274" s="45"/>
      <c r="AY274" s="66"/>
      <c r="AZ274" s="66"/>
      <c r="BA274" s="66"/>
      <c r="BB274" s="22"/>
    </row>
    <row r="275" spans="2:54" x14ac:dyDescent="0.45">
      <c r="B275" s="45" t="s">
        <v>659</v>
      </c>
      <c r="C275" s="90"/>
      <c r="D275" s="56"/>
      <c r="E275" s="57"/>
      <c r="F275" s="58"/>
      <c r="G275" s="58"/>
      <c r="H275" s="58"/>
      <c r="I275" s="58"/>
      <c r="J275" s="58"/>
      <c r="K275" s="58"/>
      <c r="L275" s="59">
        <f t="shared" si="39"/>
        <v>0</v>
      </c>
      <c r="M275" s="68"/>
      <c r="N275" s="68"/>
      <c r="O275" s="68"/>
      <c r="P275" s="68"/>
      <c r="Q275" s="99" t="e">
        <f t="shared" si="40"/>
        <v>#DIV/0!</v>
      </c>
      <c r="R275" s="100">
        <f t="shared" si="41"/>
        <v>0.43387671059875982</v>
      </c>
      <c r="S275" s="83"/>
      <c r="T275" s="83"/>
      <c r="U275" s="101">
        <f t="shared" si="42"/>
        <v>2021.2824107652905</v>
      </c>
      <c r="V275" s="45"/>
      <c r="W275" s="45"/>
      <c r="X275" s="45"/>
      <c r="Y275" s="45"/>
      <c r="Z275" s="45"/>
      <c r="AA275" s="45"/>
      <c r="AY275" s="66"/>
      <c r="AZ275" s="66"/>
      <c r="BA275" s="66"/>
      <c r="BB275" s="22"/>
    </row>
    <row r="276" spans="2:54" x14ac:dyDescent="0.45">
      <c r="B276" s="45" t="s">
        <v>660</v>
      </c>
      <c r="C276" s="90"/>
      <c r="D276" s="56"/>
      <c r="E276" s="80"/>
      <c r="F276" s="58"/>
      <c r="G276" s="58"/>
      <c r="H276" s="58"/>
      <c r="I276" s="58"/>
      <c r="J276" s="58"/>
      <c r="K276" s="58"/>
      <c r="L276" s="59">
        <f t="shared" si="39"/>
        <v>0</v>
      </c>
      <c r="M276" s="68"/>
      <c r="N276" s="68"/>
      <c r="O276" s="68"/>
      <c r="P276" s="68"/>
      <c r="Q276" s="99" t="e">
        <f t="shared" si="40"/>
        <v>#DIV/0!</v>
      </c>
      <c r="R276" s="100">
        <f t="shared" si="41"/>
        <v>0.43387671059875982</v>
      </c>
      <c r="S276" s="83"/>
      <c r="T276" s="83"/>
      <c r="U276" s="101">
        <f t="shared" si="42"/>
        <v>2021.2824107652905</v>
      </c>
      <c r="V276" s="45"/>
      <c r="W276" s="45"/>
      <c r="X276" s="45"/>
      <c r="Y276" s="45"/>
      <c r="Z276" s="45"/>
      <c r="AA276" s="45"/>
      <c r="AY276" s="66"/>
      <c r="AZ276" s="66"/>
      <c r="BA276" s="66"/>
      <c r="BB276" s="22"/>
    </row>
    <row r="277" spans="2:54" x14ac:dyDescent="0.45">
      <c r="B277" s="45" t="s">
        <v>661</v>
      </c>
      <c r="C277" s="90"/>
      <c r="D277" s="56"/>
      <c r="E277" s="84"/>
      <c r="F277" s="58"/>
      <c r="G277" s="58"/>
      <c r="H277" s="58"/>
      <c r="I277" s="58"/>
      <c r="J277" s="58"/>
      <c r="K277" s="58"/>
      <c r="L277" s="59">
        <f t="shared" si="39"/>
        <v>0</v>
      </c>
      <c r="M277" s="68"/>
      <c r="N277" s="68"/>
      <c r="O277" s="68"/>
      <c r="P277" s="68"/>
      <c r="Q277" s="99" t="e">
        <f t="shared" si="40"/>
        <v>#DIV/0!</v>
      </c>
      <c r="R277" s="100">
        <f t="shared" si="41"/>
        <v>0.43387671059875982</v>
      </c>
      <c r="S277" s="83"/>
      <c r="T277" s="83"/>
      <c r="U277" s="101">
        <f t="shared" si="42"/>
        <v>2021.2824107652905</v>
      </c>
      <c r="V277" s="45"/>
      <c r="W277" s="45"/>
      <c r="X277" s="45"/>
      <c r="Y277" s="45"/>
      <c r="Z277" s="45"/>
      <c r="AA277" s="45"/>
      <c r="AY277" s="66"/>
      <c r="AZ277" s="66"/>
      <c r="BA277" s="66"/>
      <c r="BB277" s="22"/>
    </row>
    <row r="278" spans="2:54" x14ac:dyDescent="0.45">
      <c r="B278" s="45" t="s">
        <v>662</v>
      </c>
      <c r="C278" s="90"/>
      <c r="D278" s="56"/>
      <c r="E278" s="57"/>
      <c r="F278" s="58"/>
      <c r="G278" s="58"/>
      <c r="H278" s="58"/>
      <c r="I278" s="58"/>
      <c r="J278" s="58"/>
      <c r="K278" s="58"/>
      <c r="L278" s="59">
        <f t="shared" si="39"/>
        <v>0</v>
      </c>
      <c r="M278" s="68"/>
      <c r="N278" s="68"/>
      <c r="O278" s="68"/>
      <c r="P278" s="68"/>
      <c r="Q278" s="99" t="e">
        <f t="shared" si="40"/>
        <v>#DIV/0!</v>
      </c>
      <c r="R278" s="100">
        <f t="shared" si="41"/>
        <v>0.43387671059875982</v>
      </c>
      <c r="S278" s="83"/>
      <c r="T278" s="83"/>
      <c r="U278" s="101">
        <f t="shared" si="42"/>
        <v>2021.2824107652905</v>
      </c>
      <c r="V278" s="45"/>
      <c r="W278" s="45"/>
      <c r="X278" s="45"/>
      <c r="Y278" s="45"/>
      <c r="Z278" s="45"/>
      <c r="AA278" s="45"/>
      <c r="AY278" s="66"/>
      <c r="AZ278" s="66"/>
      <c r="BA278" s="66"/>
      <c r="BB278" s="22"/>
    </row>
    <row r="279" spans="2:54" x14ac:dyDescent="0.45">
      <c r="B279" s="45" t="s">
        <v>663</v>
      </c>
      <c r="C279" s="90"/>
      <c r="D279" s="56"/>
      <c r="E279" s="80"/>
      <c r="F279" s="58"/>
      <c r="G279" s="58"/>
      <c r="H279" s="58"/>
      <c r="I279" s="58"/>
      <c r="J279" s="58"/>
      <c r="K279" s="58"/>
      <c r="L279" s="59">
        <f t="shared" si="39"/>
        <v>0</v>
      </c>
      <c r="M279" s="68"/>
      <c r="N279" s="68"/>
      <c r="O279" s="68"/>
      <c r="P279" s="68"/>
      <c r="Q279" s="99" t="e">
        <f t="shared" si="40"/>
        <v>#DIV/0!</v>
      </c>
      <c r="R279" s="100">
        <f t="shared" si="41"/>
        <v>0.43387671059875982</v>
      </c>
      <c r="S279" s="83"/>
      <c r="T279" s="83"/>
      <c r="U279" s="101">
        <f t="shared" si="42"/>
        <v>2021.2824107652905</v>
      </c>
      <c r="V279" s="45"/>
      <c r="W279" s="45"/>
      <c r="X279" s="45"/>
      <c r="Y279" s="45"/>
      <c r="Z279" s="45"/>
      <c r="AA279" s="45"/>
      <c r="AY279" s="66"/>
      <c r="AZ279" s="66"/>
      <c r="BA279" s="66"/>
      <c r="BB279" s="22"/>
    </row>
    <row r="280" spans="2:54" x14ac:dyDescent="0.45">
      <c r="B280" s="45" t="s">
        <v>664</v>
      </c>
      <c r="C280" s="90"/>
      <c r="D280" s="56"/>
      <c r="E280" s="84"/>
      <c r="F280" s="58"/>
      <c r="G280" s="58"/>
      <c r="H280" s="58"/>
      <c r="I280" s="58"/>
      <c r="J280" s="58"/>
      <c r="K280" s="58"/>
      <c r="L280" s="59">
        <f t="shared" si="39"/>
        <v>0</v>
      </c>
      <c r="M280" s="68"/>
      <c r="N280" s="68"/>
      <c r="O280" s="68"/>
      <c r="P280" s="68"/>
      <c r="Q280" s="99" t="e">
        <f t="shared" si="40"/>
        <v>#DIV/0!</v>
      </c>
      <c r="R280" s="100">
        <f t="shared" si="41"/>
        <v>0.43387671059875982</v>
      </c>
      <c r="S280" s="83"/>
      <c r="T280" s="83"/>
      <c r="U280" s="101">
        <f t="shared" si="42"/>
        <v>2021.2824107652905</v>
      </c>
      <c r="V280" s="45"/>
      <c r="W280" s="45"/>
      <c r="X280" s="45"/>
      <c r="Y280" s="45"/>
      <c r="Z280" s="45"/>
      <c r="AA280" s="45"/>
      <c r="AY280" s="66"/>
      <c r="AZ280" s="66"/>
      <c r="BA280" s="66"/>
      <c r="BB280" s="22"/>
    </row>
    <row r="281" spans="2:54" x14ac:dyDescent="0.45">
      <c r="B281" s="45" t="s">
        <v>665</v>
      </c>
      <c r="C281" s="90"/>
      <c r="D281" s="56"/>
      <c r="E281" s="57"/>
      <c r="F281" s="58"/>
      <c r="G281" s="58"/>
      <c r="H281" s="58"/>
      <c r="I281" s="58"/>
      <c r="J281" s="58"/>
      <c r="K281" s="58"/>
      <c r="L281" s="59">
        <f t="shared" si="39"/>
        <v>0</v>
      </c>
      <c r="M281" s="68"/>
      <c r="N281" s="68"/>
      <c r="O281" s="68"/>
      <c r="P281" s="68"/>
      <c r="Q281" s="99" t="e">
        <f t="shared" si="40"/>
        <v>#DIV/0!</v>
      </c>
      <c r="R281" s="100">
        <f t="shared" si="41"/>
        <v>0.43387671059875982</v>
      </c>
      <c r="S281" s="83"/>
      <c r="T281" s="83"/>
      <c r="U281" s="101">
        <f t="shared" si="42"/>
        <v>2021.2824107652905</v>
      </c>
      <c r="V281" s="45"/>
      <c r="W281" s="45"/>
      <c r="X281" s="45"/>
      <c r="Y281" s="45"/>
      <c r="Z281" s="45"/>
      <c r="AA281" s="45"/>
      <c r="AY281" s="66"/>
      <c r="AZ281" s="66"/>
      <c r="BA281" s="66"/>
      <c r="BB281" s="22"/>
    </row>
    <row r="282" spans="2:54" x14ac:dyDescent="0.45">
      <c r="B282" s="45" t="s">
        <v>666</v>
      </c>
      <c r="C282" s="90"/>
      <c r="D282" s="56"/>
      <c r="E282" s="80"/>
      <c r="F282" s="58"/>
      <c r="G282" s="58"/>
      <c r="H282" s="58"/>
      <c r="I282" s="58"/>
      <c r="J282" s="58"/>
      <c r="K282" s="58"/>
      <c r="L282" s="59">
        <f t="shared" si="39"/>
        <v>0</v>
      </c>
      <c r="M282" s="68"/>
      <c r="N282" s="68"/>
      <c r="O282" s="68"/>
      <c r="P282" s="68"/>
      <c r="Q282" s="99" t="e">
        <f t="shared" si="40"/>
        <v>#DIV/0!</v>
      </c>
      <c r="R282" s="100">
        <f t="shared" si="41"/>
        <v>0.43387671059875982</v>
      </c>
      <c r="S282" s="83"/>
      <c r="T282" s="83"/>
      <c r="U282" s="101">
        <f t="shared" si="42"/>
        <v>2021.2824107652905</v>
      </c>
      <c r="V282" s="45"/>
      <c r="W282" s="45"/>
      <c r="X282" s="45"/>
      <c r="Y282" s="45"/>
      <c r="Z282" s="45"/>
      <c r="AA282" s="45"/>
      <c r="AY282" s="66"/>
      <c r="AZ282" s="66"/>
      <c r="BA282" s="66"/>
      <c r="BB282" s="22"/>
    </row>
    <row r="283" spans="2:54" x14ac:dyDescent="0.45">
      <c r="B283" s="45" t="s">
        <v>667</v>
      </c>
      <c r="C283" s="90"/>
      <c r="D283" s="56"/>
      <c r="E283" s="84"/>
      <c r="F283" s="58"/>
      <c r="G283" s="58"/>
      <c r="H283" s="58"/>
      <c r="I283" s="58"/>
      <c r="J283" s="58"/>
      <c r="K283" s="58"/>
      <c r="L283" s="59">
        <f t="shared" si="39"/>
        <v>0</v>
      </c>
      <c r="M283" s="68"/>
      <c r="N283" s="68"/>
      <c r="O283" s="68"/>
      <c r="P283" s="68"/>
      <c r="Q283" s="99" t="e">
        <f t="shared" si="40"/>
        <v>#DIV/0!</v>
      </c>
      <c r="R283" s="100">
        <f t="shared" si="41"/>
        <v>0.43387671059875982</v>
      </c>
      <c r="S283" s="83"/>
      <c r="T283" s="83"/>
      <c r="U283" s="101">
        <f t="shared" si="42"/>
        <v>2021.2824107652905</v>
      </c>
      <c r="V283" s="45"/>
      <c r="W283" s="45"/>
      <c r="X283" s="45"/>
      <c r="Y283" s="45"/>
      <c r="Z283" s="45"/>
      <c r="AA283" s="45"/>
      <c r="AY283" s="66"/>
      <c r="AZ283" s="66"/>
      <c r="BA283" s="66"/>
      <c r="BB283" s="22"/>
    </row>
    <row r="284" spans="2:54" x14ac:dyDescent="0.45">
      <c r="B284" s="45" t="s">
        <v>668</v>
      </c>
      <c r="C284" s="90"/>
      <c r="D284" s="56"/>
      <c r="E284" s="57"/>
      <c r="F284" s="58"/>
      <c r="G284" s="58"/>
      <c r="H284" s="58"/>
      <c r="I284" s="58"/>
      <c r="J284" s="58"/>
      <c r="K284" s="58"/>
      <c r="L284" s="59">
        <f t="shared" si="39"/>
        <v>0</v>
      </c>
      <c r="M284" s="68"/>
      <c r="N284" s="68"/>
      <c r="O284" s="68"/>
      <c r="P284" s="68"/>
      <c r="Q284" s="99" t="e">
        <f t="shared" si="40"/>
        <v>#DIV/0!</v>
      </c>
      <c r="R284" s="100">
        <f t="shared" si="41"/>
        <v>0.43387671059875982</v>
      </c>
      <c r="S284" s="83"/>
      <c r="T284" s="83"/>
      <c r="U284" s="101">
        <f t="shared" si="42"/>
        <v>2021.2824107652905</v>
      </c>
      <c r="V284" s="45"/>
      <c r="W284" s="45"/>
      <c r="X284" s="45"/>
      <c r="Y284" s="45"/>
      <c r="Z284" s="45"/>
      <c r="AA284" s="45"/>
      <c r="AY284" s="66"/>
      <c r="AZ284" s="66"/>
      <c r="BA284" s="66"/>
      <c r="BB284" s="22"/>
    </row>
    <row r="285" spans="2:54" x14ac:dyDescent="0.45">
      <c r="B285" s="45" t="s">
        <v>669</v>
      </c>
      <c r="C285" s="90"/>
      <c r="D285" s="56"/>
      <c r="E285" s="80"/>
      <c r="F285" s="58"/>
      <c r="G285" s="58"/>
      <c r="H285" s="58"/>
      <c r="I285" s="58"/>
      <c r="J285" s="58"/>
      <c r="K285" s="58"/>
      <c r="L285" s="59">
        <f t="shared" si="39"/>
        <v>0</v>
      </c>
      <c r="M285" s="68"/>
      <c r="N285" s="68"/>
      <c r="O285" s="68"/>
      <c r="P285" s="68"/>
      <c r="Q285" s="99" t="e">
        <f t="shared" si="40"/>
        <v>#DIV/0!</v>
      </c>
      <c r="R285" s="100">
        <f t="shared" si="41"/>
        <v>0.43387671059875982</v>
      </c>
      <c r="S285" s="83"/>
      <c r="T285" s="83"/>
      <c r="U285" s="101">
        <f t="shared" si="42"/>
        <v>2021.2824107652905</v>
      </c>
      <c r="V285" s="45"/>
      <c r="W285" s="45"/>
      <c r="X285" s="45"/>
      <c r="Y285" s="45"/>
      <c r="Z285" s="45"/>
      <c r="AA285" s="45"/>
      <c r="AY285" s="66"/>
      <c r="AZ285" s="66"/>
      <c r="BA285" s="66"/>
      <c r="BB285" s="22"/>
    </row>
    <row r="286" spans="2:54" x14ac:dyDescent="0.45">
      <c r="B286" s="45" t="s">
        <v>670</v>
      </c>
      <c r="C286" s="90"/>
      <c r="D286" s="56"/>
      <c r="E286" s="84"/>
      <c r="F286" s="58"/>
      <c r="G286" s="58"/>
      <c r="H286" s="58"/>
      <c r="I286" s="58"/>
      <c r="J286" s="58"/>
      <c r="K286" s="58"/>
      <c r="L286" s="59">
        <f t="shared" si="39"/>
        <v>0</v>
      </c>
      <c r="M286" s="68"/>
      <c r="N286" s="68"/>
      <c r="O286" s="68"/>
      <c r="P286" s="68"/>
      <c r="Q286" s="99" t="e">
        <f t="shared" si="40"/>
        <v>#DIV/0!</v>
      </c>
      <c r="R286" s="100">
        <f t="shared" si="41"/>
        <v>0.43387671059875982</v>
      </c>
      <c r="S286" s="83"/>
      <c r="T286" s="83"/>
      <c r="U286" s="101">
        <f t="shared" si="42"/>
        <v>2021.2824107652905</v>
      </c>
      <c r="V286" s="45"/>
      <c r="W286" s="45"/>
      <c r="X286" s="45"/>
      <c r="Y286" s="45"/>
      <c r="Z286" s="45"/>
      <c r="AA286" s="45"/>
      <c r="AY286" s="66"/>
      <c r="AZ286" s="66"/>
      <c r="BA286" s="66"/>
      <c r="BB286" s="22"/>
    </row>
    <row r="287" spans="2:54" x14ac:dyDescent="0.45">
      <c r="B287" s="45" t="s">
        <v>671</v>
      </c>
      <c r="C287" s="90"/>
      <c r="D287" s="56"/>
      <c r="E287" s="57"/>
      <c r="F287" s="58"/>
      <c r="G287" s="58"/>
      <c r="H287" s="58"/>
      <c r="I287" s="58"/>
      <c r="J287" s="58"/>
      <c r="K287" s="58"/>
      <c r="L287" s="59">
        <f t="shared" si="39"/>
        <v>0</v>
      </c>
      <c r="M287" s="68"/>
      <c r="N287" s="68"/>
      <c r="O287" s="68"/>
      <c r="P287" s="68"/>
      <c r="Q287" s="99" t="e">
        <f t="shared" si="40"/>
        <v>#DIV/0!</v>
      </c>
      <c r="R287" s="100">
        <f t="shared" si="41"/>
        <v>0.43387671059875982</v>
      </c>
      <c r="S287" s="83"/>
      <c r="T287" s="83"/>
      <c r="U287" s="101">
        <f t="shared" si="42"/>
        <v>2021.2824107652905</v>
      </c>
      <c r="V287" s="45"/>
      <c r="W287" s="45"/>
      <c r="X287" s="45"/>
      <c r="Y287" s="45"/>
      <c r="Z287" s="45"/>
      <c r="AA287" s="45"/>
      <c r="AY287" s="66"/>
      <c r="AZ287" s="66"/>
      <c r="BA287" s="66"/>
      <c r="BB287" s="22"/>
    </row>
    <row r="288" spans="2:54" x14ac:dyDescent="0.45">
      <c r="B288" s="45" t="s">
        <v>672</v>
      </c>
      <c r="C288" s="90"/>
      <c r="D288" s="56"/>
      <c r="E288" s="80"/>
      <c r="F288" s="58"/>
      <c r="G288" s="58"/>
      <c r="H288" s="58"/>
      <c r="I288" s="58"/>
      <c r="J288" s="58"/>
      <c r="K288" s="58"/>
      <c r="L288" s="59">
        <f t="shared" si="39"/>
        <v>0</v>
      </c>
      <c r="M288" s="68"/>
      <c r="N288" s="68"/>
      <c r="O288" s="68"/>
      <c r="P288" s="68"/>
      <c r="Q288" s="99" t="e">
        <f t="shared" si="40"/>
        <v>#DIV/0!</v>
      </c>
      <c r="R288" s="100">
        <f t="shared" si="41"/>
        <v>0.43387671059875982</v>
      </c>
      <c r="S288" s="83"/>
      <c r="T288" s="83"/>
      <c r="U288" s="101">
        <f t="shared" si="42"/>
        <v>2021.2824107652905</v>
      </c>
      <c r="V288" s="45"/>
      <c r="W288" s="45"/>
      <c r="X288" s="45"/>
      <c r="Y288" s="45"/>
      <c r="Z288" s="45"/>
      <c r="AA288" s="45"/>
      <c r="AY288" s="66"/>
      <c r="AZ288" s="66"/>
      <c r="BA288" s="66"/>
      <c r="BB288" s="22"/>
    </row>
    <row r="289" spans="2:54" x14ac:dyDescent="0.45">
      <c r="B289" s="45" t="s">
        <v>673</v>
      </c>
      <c r="C289" s="90"/>
      <c r="D289" s="56"/>
      <c r="E289" s="84"/>
      <c r="F289" s="58"/>
      <c r="G289" s="58"/>
      <c r="H289" s="58"/>
      <c r="I289" s="58"/>
      <c r="J289" s="58"/>
      <c r="K289" s="58"/>
      <c r="L289" s="59">
        <f t="shared" si="39"/>
        <v>0</v>
      </c>
      <c r="M289" s="68"/>
      <c r="N289" s="68"/>
      <c r="O289" s="68"/>
      <c r="P289" s="68"/>
      <c r="Q289" s="99" t="e">
        <f t="shared" si="40"/>
        <v>#DIV/0!</v>
      </c>
      <c r="R289" s="100">
        <f t="shared" si="41"/>
        <v>0.43387671059875982</v>
      </c>
      <c r="S289" s="83"/>
      <c r="T289" s="83"/>
      <c r="U289" s="101">
        <f t="shared" si="42"/>
        <v>2021.2824107652905</v>
      </c>
      <c r="V289" s="45"/>
      <c r="W289" s="45"/>
      <c r="X289" s="45"/>
      <c r="Y289" s="45"/>
      <c r="Z289" s="45"/>
      <c r="AA289" s="45"/>
      <c r="AY289" s="66"/>
      <c r="AZ289" s="66"/>
      <c r="BA289" s="66"/>
      <c r="BB289" s="22"/>
    </row>
    <row r="290" spans="2:54" x14ac:dyDescent="0.45">
      <c r="B290" s="45" t="s">
        <v>674</v>
      </c>
      <c r="C290" s="90"/>
      <c r="D290" s="56"/>
      <c r="E290" s="57"/>
      <c r="F290" s="58"/>
      <c r="G290" s="58"/>
      <c r="H290" s="58"/>
      <c r="I290" s="58"/>
      <c r="J290" s="58"/>
      <c r="K290" s="58"/>
      <c r="L290" s="59">
        <f t="shared" si="39"/>
        <v>0</v>
      </c>
      <c r="M290" s="68"/>
      <c r="N290" s="68"/>
      <c r="O290" s="68"/>
      <c r="P290" s="68"/>
      <c r="Q290" s="99" t="e">
        <f t="shared" si="40"/>
        <v>#DIV/0!</v>
      </c>
      <c r="R290" s="100">
        <f t="shared" si="41"/>
        <v>0.43387671059875982</v>
      </c>
      <c r="S290" s="83"/>
      <c r="T290" s="83"/>
      <c r="U290" s="101">
        <f t="shared" si="42"/>
        <v>2021.2824107652905</v>
      </c>
      <c r="V290" s="45"/>
      <c r="W290" s="45"/>
      <c r="X290" s="45"/>
      <c r="Y290" s="45"/>
      <c r="Z290" s="45"/>
      <c r="AA290" s="45"/>
      <c r="AY290" s="66"/>
      <c r="AZ290" s="66"/>
      <c r="BA290" s="66"/>
      <c r="BB290" s="22"/>
    </row>
    <row r="291" spans="2:54" x14ac:dyDescent="0.45">
      <c r="B291" s="45" t="s">
        <v>675</v>
      </c>
      <c r="C291" s="90"/>
      <c r="D291" s="56"/>
      <c r="E291" s="80"/>
      <c r="F291" s="58"/>
      <c r="G291" s="58"/>
      <c r="H291" s="58"/>
      <c r="I291" s="58"/>
      <c r="J291" s="58"/>
      <c r="K291" s="58"/>
      <c r="L291" s="59">
        <f t="shared" si="39"/>
        <v>0</v>
      </c>
      <c r="M291" s="68"/>
      <c r="N291" s="68"/>
      <c r="O291" s="68"/>
      <c r="P291" s="68"/>
      <c r="Q291" s="99" t="e">
        <f t="shared" si="40"/>
        <v>#DIV/0!</v>
      </c>
      <c r="R291" s="100">
        <f t="shared" si="41"/>
        <v>0.43387671059875982</v>
      </c>
      <c r="S291" s="83"/>
      <c r="T291" s="83"/>
      <c r="U291" s="101">
        <f t="shared" si="42"/>
        <v>2021.2824107652905</v>
      </c>
      <c r="V291" s="45"/>
      <c r="W291" s="45"/>
      <c r="X291" s="45"/>
      <c r="Y291" s="45"/>
      <c r="Z291" s="45"/>
      <c r="AA291" s="45"/>
      <c r="AY291" s="66"/>
      <c r="AZ291" s="66"/>
      <c r="BA291" s="66"/>
      <c r="BB291" s="22"/>
    </row>
    <row r="292" spans="2:54" x14ac:dyDescent="0.45">
      <c r="B292" s="45" t="s">
        <v>676</v>
      </c>
      <c r="C292" s="90"/>
      <c r="D292" s="56"/>
      <c r="E292" s="84"/>
      <c r="F292" s="58"/>
      <c r="G292" s="58"/>
      <c r="H292" s="58"/>
      <c r="I292" s="58"/>
      <c r="J292" s="58"/>
      <c r="K292" s="58"/>
      <c r="L292" s="59">
        <f t="shared" si="39"/>
        <v>0</v>
      </c>
      <c r="M292" s="68"/>
      <c r="N292" s="68"/>
      <c r="O292" s="68"/>
      <c r="P292" s="68"/>
      <c r="Q292" s="99" t="e">
        <f t="shared" si="40"/>
        <v>#DIV/0!</v>
      </c>
      <c r="R292" s="100">
        <f t="shared" si="41"/>
        <v>0.43387671059875982</v>
      </c>
      <c r="S292" s="83"/>
      <c r="T292" s="83"/>
      <c r="U292" s="101">
        <f t="shared" si="42"/>
        <v>2021.2824107652905</v>
      </c>
      <c r="V292" s="45"/>
      <c r="W292" s="45"/>
      <c r="X292" s="45"/>
      <c r="Y292" s="45"/>
      <c r="Z292" s="45"/>
      <c r="AA292" s="45"/>
      <c r="AY292" s="66"/>
      <c r="AZ292" s="66"/>
      <c r="BA292" s="66"/>
      <c r="BB292" s="22"/>
    </row>
    <row r="293" spans="2:54" x14ac:dyDescent="0.45">
      <c r="B293" s="45" t="s">
        <v>677</v>
      </c>
      <c r="C293" s="90"/>
      <c r="D293" s="56"/>
      <c r="E293" s="57"/>
      <c r="F293" s="58"/>
      <c r="G293" s="58"/>
      <c r="H293" s="58"/>
      <c r="I293" s="58"/>
      <c r="J293" s="58"/>
      <c r="K293" s="58"/>
      <c r="L293" s="59">
        <f t="shared" si="39"/>
        <v>0</v>
      </c>
      <c r="M293" s="68"/>
      <c r="N293" s="68"/>
      <c r="O293" s="68"/>
      <c r="P293" s="68"/>
      <c r="Q293" s="99" t="e">
        <f t="shared" si="40"/>
        <v>#DIV/0!</v>
      </c>
      <c r="R293" s="100">
        <f t="shared" si="41"/>
        <v>0.43387671059875982</v>
      </c>
      <c r="S293" s="83"/>
      <c r="T293" s="83"/>
      <c r="U293" s="101">
        <f t="shared" si="42"/>
        <v>2021.2824107652905</v>
      </c>
      <c r="V293" s="45"/>
      <c r="W293" s="45"/>
      <c r="X293" s="45"/>
      <c r="Y293" s="45"/>
      <c r="Z293" s="45"/>
      <c r="AA293" s="45"/>
      <c r="AY293" s="66"/>
      <c r="AZ293" s="66"/>
      <c r="BA293" s="66"/>
      <c r="BB293" s="22"/>
    </row>
    <row r="294" spans="2:54" x14ac:dyDescent="0.45">
      <c r="B294" s="45" t="s">
        <v>678</v>
      </c>
      <c r="C294" s="90"/>
      <c r="D294" s="56"/>
      <c r="E294" s="80"/>
      <c r="F294" s="58"/>
      <c r="G294" s="58"/>
      <c r="H294" s="58"/>
      <c r="I294" s="58"/>
      <c r="J294" s="58"/>
      <c r="K294" s="58"/>
      <c r="L294" s="59">
        <f t="shared" si="39"/>
        <v>0</v>
      </c>
      <c r="M294" s="68"/>
      <c r="N294" s="68"/>
      <c r="O294" s="68"/>
      <c r="P294" s="68"/>
      <c r="Q294" s="99" t="e">
        <f t="shared" si="40"/>
        <v>#DIV/0!</v>
      </c>
      <c r="R294" s="100">
        <f t="shared" si="41"/>
        <v>0.43387671059875982</v>
      </c>
      <c r="S294" s="83"/>
      <c r="T294" s="83"/>
      <c r="U294" s="101">
        <f t="shared" si="42"/>
        <v>2021.2824107652905</v>
      </c>
      <c r="V294" s="45"/>
      <c r="W294" s="45"/>
      <c r="X294" s="45"/>
      <c r="Y294" s="45"/>
      <c r="Z294" s="45"/>
      <c r="AA294" s="45"/>
      <c r="AY294" s="66"/>
      <c r="AZ294" s="66"/>
      <c r="BA294" s="66"/>
      <c r="BB294" s="22"/>
    </row>
    <row r="295" spans="2:54" x14ac:dyDescent="0.45">
      <c r="B295" s="45" t="s">
        <v>679</v>
      </c>
      <c r="C295" s="90"/>
      <c r="D295" s="56"/>
      <c r="E295" s="84"/>
      <c r="F295" s="58"/>
      <c r="G295" s="58"/>
      <c r="H295" s="58"/>
      <c r="I295" s="58"/>
      <c r="J295" s="58"/>
      <c r="K295" s="58"/>
      <c r="L295" s="59">
        <f t="shared" si="39"/>
        <v>0</v>
      </c>
      <c r="M295" s="68"/>
      <c r="N295" s="68"/>
      <c r="O295" s="68"/>
      <c r="P295" s="68"/>
      <c r="Q295" s="99" t="e">
        <f t="shared" si="40"/>
        <v>#DIV/0!</v>
      </c>
      <c r="R295" s="100">
        <f t="shared" si="41"/>
        <v>0.43387671059875982</v>
      </c>
      <c r="S295" s="83"/>
      <c r="T295" s="83"/>
      <c r="U295" s="101">
        <f t="shared" si="42"/>
        <v>2021.2824107652905</v>
      </c>
      <c r="V295" s="45"/>
      <c r="W295" s="45"/>
      <c r="X295" s="45"/>
      <c r="Y295" s="45"/>
      <c r="Z295" s="45"/>
      <c r="AA295" s="45"/>
      <c r="AY295" s="66"/>
      <c r="AZ295" s="66"/>
      <c r="BA295" s="66"/>
      <c r="BB295" s="22"/>
    </row>
    <row r="296" spans="2:54" x14ac:dyDescent="0.45">
      <c r="B296" s="45" t="s">
        <v>680</v>
      </c>
      <c r="C296" s="90"/>
      <c r="D296" s="56"/>
      <c r="E296" s="57"/>
      <c r="F296" s="58"/>
      <c r="G296" s="58"/>
      <c r="H296" s="58"/>
      <c r="I296" s="58"/>
      <c r="J296" s="58"/>
      <c r="K296" s="58"/>
      <c r="L296" s="59">
        <f t="shared" si="39"/>
        <v>0</v>
      </c>
      <c r="M296" s="68"/>
      <c r="N296" s="68"/>
      <c r="O296" s="68"/>
      <c r="P296" s="68"/>
      <c r="Q296" s="99" t="e">
        <f t="shared" si="40"/>
        <v>#DIV/0!</v>
      </c>
      <c r="R296" s="100">
        <f t="shared" si="41"/>
        <v>0.43387671059875982</v>
      </c>
      <c r="S296" s="83"/>
      <c r="T296" s="83"/>
      <c r="U296" s="101">
        <f t="shared" si="42"/>
        <v>2021.2824107652905</v>
      </c>
      <c r="V296" s="45"/>
      <c r="W296" s="45"/>
      <c r="X296" s="45"/>
      <c r="Y296" s="45"/>
      <c r="Z296" s="45"/>
      <c r="AA296" s="45"/>
      <c r="AY296" s="66"/>
      <c r="AZ296" s="66"/>
      <c r="BA296" s="66"/>
      <c r="BB296" s="22"/>
    </row>
    <row r="297" spans="2:54" x14ac:dyDescent="0.45">
      <c r="B297" s="45" t="s">
        <v>681</v>
      </c>
      <c r="C297" s="90"/>
      <c r="D297" s="56"/>
      <c r="E297" s="80"/>
      <c r="F297" s="58"/>
      <c r="G297" s="58"/>
      <c r="H297" s="58"/>
      <c r="I297" s="58"/>
      <c r="J297" s="58"/>
      <c r="K297" s="58"/>
      <c r="L297" s="59">
        <f t="shared" si="39"/>
        <v>0</v>
      </c>
      <c r="M297" s="68"/>
      <c r="N297" s="68"/>
      <c r="O297" s="68"/>
      <c r="P297" s="68"/>
      <c r="Q297" s="99" t="e">
        <f t="shared" si="40"/>
        <v>#DIV/0!</v>
      </c>
      <c r="R297" s="100">
        <f t="shared" si="41"/>
        <v>0.43387671059875982</v>
      </c>
      <c r="S297" s="83"/>
      <c r="T297" s="83"/>
      <c r="U297" s="101">
        <f t="shared" si="42"/>
        <v>2021.2824107652905</v>
      </c>
      <c r="V297" s="45"/>
      <c r="W297" s="45"/>
      <c r="X297" s="45"/>
      <c r="Y297" s="45"/>
      <c r="Z297" s="45"/>
      <c r="AA297" s="45"/>
      <c r="AY297" s="66"/>
      <c r="AZ297" s="66"/>
      <c r="BA297" s="66"/>
      <c r="BB297" s="22"/>
    </row>
    <row r="298" spans="2:54" x14ac:dyDescent="0.45">
      <c r="B298" s="45" t="s">
        <v>682</v>
      </c>
      <c r="C298" s="90"/>
      <c r="D298" s="56"/>
      <c r="E298" s="84"/>
      <c r="F298" s="58"/>
      <c r="G298" s="58"/>
      <c r="H298" s="58"/>
      <c r="I298" s="58"/>
      <c r="J298" s="58"/>
      <c r="K298" s="58"/>
      <c r="L298" s="59">
        <f t="shared" si="39"/>
        <v>0</v>
      </c>
      <c r="M298" s="68"/>
      <c r="N298" s="68"/>
      <c r="O298" s="68"/>
      <c r="P298" s="68"/>
      <c r="Q298" s="99" t="e">
        <f t="shared" si="40"/>
        <v>#DIV/0!</v>
      </c>
      <c r="R298" s="100">
        <f t="shared" si="41"/>
        <v>0.43387671059875982</v>
      </c>
      <c r="S298" s="83"/>
      <c r="T298" s="83"/>
      <c r="U298" s="101">
        <f t="shared" si="42"/>
        <v>2021.2824107652905</v>
      </c>
      <c r="V298" s="45"/>
      <c r="W298" s="45"/>
      <c r="X298" s="45"/>
      <c r="Y298" s="45"/>
      <c r="Z298" s="45"/>
      <c r="AA298" s="45"/>
      <c r="AY298" s="66"/>
      <c r="AZ298" s="66"/>
      <c r="BA298" s="66"/>
      <c r="BB298" s="22"/>
    </row>
    <row r="299" spans="2:54" x14ac:dyDescent="0.45">
      <c r="B299" s="45" t="s">
        <v>683</v>
      </c>
      <c r="C299" s="90"/>
      <c r="D299" s="56"/>
      <c r="E299" s="57"/>
      <c r="F299" s="58"/>
      <c r="G299" s="58"/>
      <c r="H299" s="58"/>
      <c r="I299" s="58"/>
      <c r="J299" s="58"/>
      <c r="K299" s="58"/>
      <c r="L299" s="59">
        <f t="shared" si="39"/>
        <v>0</v>
      </c>
      <c r="M299" s="68"/>
      <c r="N299" s="68"/>
      <c r="O299" s="68"/>
      <c r="P299" s="68"/>
      <c r="Q299" s="99" t="e">
        <f t="shared" si="40"/>
        <v>#DIV/0!</v>
      </c>
      <c r="R299" s="100">
        <f t="shared" si="41"/>
        <v>0.43387671059875982</v>
      </c>
      <c r="S299" s="83"/>
      <c r="T299" s="83"/>
      <c r="U299" s="101">
        <f t="shared" si="42"/>
        <v>2021.2824107652905</v>
      </c>
      <c r="V299" s="45"/>
      <c r="W299" s="45"/>
      <c r="X299" s="45"/>
      <c r="Y299" s="45"/>
      <c r="Z299" s="45"/>
      <c r="AA299" s="45"/>
      <c r="AY299" s="66"/>
      <c r="AZ299" s="66"/>
      <c r="BA299" s="66"/>
      <c r="BB299" s="22"/>
    </row>
    <row r="300" spans="2:54" x14ac:dyDescent="0.45">
      <c r="B300" s="45" t="s">
        <v>684</v>
      </c>
      <c r="C300" s="90"/>
      <c r="D300" s="56"/>
      <c r="E300" s="80"/>
      <c r="F300" s="58"/>
      <c r="G300" s="58"/>
      <c r="H300" s="58"/>
      <c r="I300" s="58"/>
      <c r="J300" s="58"/>
      <c r="K300" s="58"/>
      <c r="L300" s="59">
        <f t="shared" si="39"/>
        <v>0</v>
      </c>
      <c r="M300" s="68"/>
      <c r="N300" s="68"/>
      <c r="O300" s="68"/>
      <c r="P300" s="68"/>
      <c r="Q300" s="99" t="e">
        <f t="shared" si="40"/>
        <v>#DIV/0!</v>
      </c>
      <c r="R300" s="100">
        <f t="shared" si="41"/>
        <v>0.43387671059875982</v>
      </c>
      <c r="S300" s="83"/>
      <c r="T300" s="83"/>
      <c r="U300" s="101">
        <f t="shared" si="42"/>
        <v>2021.2824107652905</v>
      </c>
      <c r="V300" s="45"/>
      <c r="W300" s="45"/>
      <c r="X300" s="45"/>
      <c r="Y300" s="45"/>
      <c r="Z300" s="45"/>
      <c r="AA300" s="45"/>
      <c r="AY300" s="66"/>
      <c r="AZ300" s="66"/>
      <c r="BA300" s="66"/>
      <c r="BB300" s="22"/>
    </row>
    <row r="301" spans="2:54" x14ac:dyDescent="0.45">
      <c r="B301" s="45" t="s">
        <v>685</v>
      </c>
      <c r="C301" s="90"/>
      <c r="D301" s="56"/>
      <c r="E301" s="84"/>
      <c r="F301" s="58"/>
      <c r="G301" s="58"/>
      <c r="H301" s="58"/>
      <c r="I301" s="58"/>
      <c r="J301" s="58"/>
      <c r="K301" s="58"/>
      <c r="L301" s="59">
        <f t="shared" si="39"/>
        <v>0</v>
      </c>
      <c r="M301" s="68"/>
      <c r="N301" s="68"/>
      <c r="O301" s="68"/>
      <c r="P301" s="68"/>
      <c r="Q301" s="99" t="e">
        <f t="shared" si="40"/>
        <v>#DIV/0!</v>
      </c>
      <c r="R301" s="100">
        <f t="shared" si="41"/>
        <v>0.43387671059875982</v>
      </c>
      <c r="S301" s="83"/>
      <c r="T301" s="83"/>
      <c r="U301" s="101">
        <f t="shared" si="42"/>
        <v>2021.2824107652905</v>
      </c>
      <c r="V301" s="45"/>
      <c r="W301" s="45"/>
      <c r="X301" s="45"/>
      <c r="Y301" s="45"/>
      <c r="Z301" s="45"/>
      <c r="AA301" s="45"/>
      <c r="AY301" s="66"/>
      <c r="AZ301" s="66"/>
      <c r="BA301" s="66"/>
      <c r="BB301" s="22"/>
    </row>
    <row r="302" spans="2:54" x14ac:dyDescent="0.45">
      <c r="B302" s="45" t="s">
        <v>686</v>
      </c>
      <c r="C302" s="90"/>
      <c r="D302" s="56"/>
      <c r="E302" s="57"/>
      <c r="F302" s="58"/>
      <c r="G302" s="58"/>
      <c r="H302" s="58"/>
      <c r="I302" s="58"/>
      <c r="J302" s="58"/>
      <c r="K302" s="58"/>
      <c r="L302" s="59">
        <f t="shared" si="39"/>
        <v>0</v>
      </c>
      <c r="M302" s="68"/>
      <c r="N302" s="68"/>
      <c r="O302" s="68"/>
      <c r="P302" s="68"/>
      <c r="Q302" s="99" t="e">
        <f t="shared" si="40"/>
        <v>#DIV/0!</v>
      </c>
      <c r="R302" s="100">
        <f t="shared" si="41"/>
        <v>0.43387671059875982</v>
      </c>
      <c r="S302" s="83"/>
      <c r="T302" s="83"/>
      <c r="U302" s="101">
        <f t="shared" si="42"/>
        <v>2021.2824107652905</v>
      </c>
      <c r="V302" s="45"/>
      <c r="W302" s="45"/>
      <c r="X302" s="45"/>
      <c r="Y302" s="45"/>
      <c r="Z302" s="45"/>
      <c r="AA302" s="45"/>
      <c r="AY302" s="66"/>
      <c r="AZ302" s="66"/>
      <c r="BA302" s="66"/>
      <c r="BB302" s="22"/>
    </row>
    <row r="303" spans="2:54" x14ac:dyDescent="0.45">
      <c r="B303" s="45" t="s">
        <v>687</v>
      </c>
      <c r="C303" s="90"/>
      <c r="D303" s="56"/>
      <c r="E303" s="80"/>
      <c r="F303" s="58"/>
      <c r="G303" s="58"/>
      <c r="H303" s="58"/>
      <c r="I303" s="58"/>
      <c r="J303" s="58"/>
      <c r="K303" s="58"/>
      <c r="L303" s="59">
        <f t="shared" si="39"/>
        <v>0</v>
      </c>
      <c r="M303" s="68"/>
      <c r="N303" s="68"/>
      <c r="O303" s="68"/>
      <c r="P303" s="68"/>
      <c r="Q303" s="99" t="e">
        <f t="shared" si="40"/>
        <v>#DIV/0!</v>
      </c>
      <c r="R303" s="100">
        <f t="shared" si="41"/>
        <v>0.43387671059875982</v>
      </c>
      <c r="S303" s="83"/>
      <c r="T303" s="83"/>
      <c r="U303" s="101">
        <f t="shared" si="42"/>
        <v>2021.2824107652905</v>
      </c>
      <c r="V303" s="45"/>
      <c r="W303" s="45"/>
      <c r="X303" s="45"/>
      <c r="Y303" s="45"/>
      <c r="Z303" s="45"/>
      <c r="AA303" s="45"/>
      <c r="AY303" s="66"/>
      <c r="AZ303" s="66"/>
      <c r="BA303" s="66"/>
      <c r="BB303" s="22"/>
    </row>
    <row r="304" spans="2:54" x14ac:dyDescent="0.45">
      <c r="B304" s="45" t="s">
        <v>688</v>
      </c>
      <c r="C304" s="90"/>
      <c r="D304" s="56"/>
      <c r="E304" s="84"/>
      <c r="F304" s="58"/>
      <c r="G304" s="58"/>
      <c r="H304" s="58"/>
      <c r="I304" s="58"/>
      <c r="J304" s="58"/>
      <c r="K304" s="58"/>
      <c r="L304" s="59">
        <f t="shared" si="39"/>
        <v>0</v>
      </c>
      <c r="M304" s="68"/>
      <c r="N304" s="68"/>
      <c r="O304" s="68"/>
      <c r="P304" s="68"/>
      <c r="Q304" s="99" t="e">
        <f t="shared" si="40"/>
        <v>#DIV/0!</v>
      </c>
      <c r="R304" s="100">
        <f t="shared" si="41"/>
        <v>0.43387671059875982</v>
      </c>
      <c r="S304" s="83"/>
      <c r="T304" s="83"/>
      <c r="U304" s="101">
        <f t="shared" si="42"/>
        <v>2021.2824107652905</v>
      </c>
      <c r="V304" s="45"/>
      <c r="W304" s="45"/>
      <c r="X304" s="45"/>
      <c r="Y304" s="45"/>
      <c r="Z304" s="45"/>
      <c r="AA304" s="45"/>
      <c r="AY304" s="66"/>
      <c r="AZ304" s="66"/>
      <c r="BA304" s="66"/>
      <c r="BB304" s="22"/>
    </row>
    <row r="305" spans="2:54" x14ac:dyDescent="0.45">
      <c r="B305" s="45" t="s">
        <v>689</v>
      </c>
      <c r="C305" s="90"/>
      <c r="D305" s="56"/>
      <c r="E305" s="57"/>
      <c r="F305" s="58"/>
      <c r="G305" s="58"/>
      <c r="H305" s="58"/>
      <c r="I305" s="58"/>
      <c r="J305" s="58"/>
      <c r="K305" s="58"/>
      <c r="L305" s="59">
        <f t="shared" si="39"/>
        <v>0</v>
      </c>
      <c r="M305" s="68"/>
      <c r="N305" s="68"/>
      <c r="O305" s="68"/>
      <c r="P305" s="68"/>
      <c r="Q305" s="99" t="e">
        <f t="shared" si="40"/>
        <v>#DIV/0!</v>
      </c>
      <c r="R305" s="100">
        <f t="shared" si="41"/>
        <v>0.43387671059875982</v>
      </c>
      <c r="S305" s="83"/>
      <c r="T305" s="83"/>
      <c r="U305" s="101">
        <f t="shared" si="42"/>
        <v>2021.2824107652905</v>
      </c>
      <c r="V305" s="45"/>
      <c r="W305" s="45"/>
      <c r="X305" s="45"/>
      <c r="Y305" s="45"/>
      <c r="Z305" s="45"/>
      <c r="AA305" s="45"/>
      <c r="AY305" s="66"/>
      <c r="AZ305" s="66"/>
      <c r="BA305" s="66"/>
      <c r="BB305" s="22"/>
    </row>
    <row r="306" spans="2:54" x14ac:dyDescent="0.45">
      <c r="B306" s="45" t="s">
        <v>690</v>
      </c>
      <c r="C306" s="90"/>
      <c r="D306" s="56"/>
      <c r="E306" s="80"/>
      <c r="F306" s="58"/>
      <c r="G306" s="58"/>
      <c r="H306" s="58"/>
      <c r="I306" s="58"/>
      <c r="J306" s="58"/>
      <c r="K306" s="58"/>
      <c r="L306" s="59">
        <f t="shared" si="39"/>
        <v>0</v>
      </c>
      <c r="M306" s="68"/>
      <c r="N306" s="68"/>
      <c r="O306" s="68"/>
      <c r="P306" s="68"/>
      <c r="Q306" s="99" t="e">
        <f t="shared" si="40"/>
        <v>#DIV/0!</v>
      </c>
      <c r="R306" s="100">
        <f t="shared" si="41"/>
        <v>0.43387671059875982</v>
      </c>
      <c r="S306" s="83"/>
      <c r="T306" s="83"/>
      <c r="U306" s="101">
        <f t="shared" si="42"/>
        <v>2021.2824107652905</v>
      </c>
      <c r="V306" s="45"/>
      <c r="W306" s="45"/>
      <c r="X306" s="45"/>
      <c r="Y306" s="45"/>
      <c r="Z306" s="45"/>
      <c r="AA306" s="45"/>
      <c r="AY306" s="66"/>
      <c r="AZ306" s="66"/>
      <c r="BA306" s="66"/>
      <c r="BB306" s="22"/>
    </row>
    <row r="307" spans="2:54" x14ac:dyDescent="0.45">
      <c r="B307" s="45" t="s">
        <v>691</v>
      </c>
      <c r="C307" s="90"/>
      <c r="D307" s="56"/>
      <c r="E307" s="84"/>
      <c r="F307" s="58"/>
      <c r="G307" s="58"/>
      <c r="H307" s="58"/>
      <c r="I307" s="58"/>
      <c r="J307" s="58"/>
      <c r="K307" s="58"/>
      <c r="L307" s="59">
        <f t="shared" si="39"/>
        <v>0</v>
      </c>
      <c r="M307" s="68"/>
      <c r="N307" s="68"/>
      <c r="O307" s="68"/>
      <c r="P307" s="68"/>
      <c r="Q307" s="99" t="e">
        <f t="shared" si="40"/>
        <v>#DIV/0!</v>
      </c>
      <c r="R307" s="100">
        <f t="shared" si="41"/>
        <v>0.43387671059875982</v>
      </c>
      <c r="S307" s="83"/>
      <c r="T307" s="83"/>
      <c r="U307" s="101">
        <f t="shared" si="42"/>
        <v>2021.2824107652905</v>
      </c>
      <c r="V307" s="45"/>
      <c r="W307" s="45"/>
      <c r="X307" s="45"/>
      <c r="Y307" s="45"/>
      <c r="Z307" s="45"/>
      <c r="AA307" s="45"/>
      <c r="AY307" s="66"/>
      <c r="AZ307" s="66"/>
      <c r="BA307" s="66"/>
      <c r="BB307" s="22"/>
    </row>
    <row r="308" spans="2:54" x14ac:dyDescent="0.45">
      <c r="B308" s="45" t="s">
        <v>692</v>
      </c>
      <c r="C308" s="90"/>
      <c r="D308" s="56"/>
      <c r="E308" s="57"/>
      <c r="F308" s="58"/>
      <c r="G308" s="58"/>
      <c r="H308" s="58"/>
      <c r="I308" s="58"/>
      <c r="J308" s="58"/>
      <c r="K308" s="58"/>
      <c r="L308" s="59">
        <f t="shared" si="39"/>
        <v>0</v>
      </c>
      <c r="M308" s="68"/>
      <c r="N308" s="68"/>
      <c r="O308" s="68"/>
      <c r="P308" s="68"/>
      <c r="Q308" s="99" t="e">
        <f t="shared" si="40"/>
        <v>#DIV/0!</v>
      </c>
      <c r="R308" s="100">
        <f t="shared" si="41"/>
        <v>0.43387671059875982</v>
      </c>
      <c r="S308" s="83"/>
      <c r="T308" s="83"/>
      <c r="U308" s="101">
        <f t="shared" si="42"/>
        <v>2021.2824107652905</v>
      </c>
      <c r="V308" s="45"/>
      <c r="W308" s="45"/>
      <c r="X308" s="45"/>
      <c r="Y308" s="45"/>
      <c r="Z308" s="45"/>
      <c r="AA308" s="45"/>
      <c r="AY308" s="66"/>
      <c r="AZ308" s="66"/>
      <c r="BA308" s="66"/>
      <c r="BB308" s="22"/>
    </row>
    <row r="309" spans="2:54" x14ac:dyDescent="0.45">
      <c r="B309" s="45" t="s">
        <v>693</v>
      </c>
      <c r="C309" s="90"/>
      <c r="D309" s="56"/>
      <c r="E309" s="80"/>
      <c r="F309" s="58"/>
      <c r="G309" s="58"/>
      <c r="H309" s="58"/>
      <c r="I309" s="58"/>
      <c r="J309" s="58"/>
      <c r="K309" s="58"/>
      <c r="L309" s="59">
        <f t="shared" si="39"/>
        <v>0</v>
      </c>
      <c r="M309" s="68"/>
      <c r="N309" s="68"/>
      <c r="O309" s="68"/>
      <c r="P309" s="68"/>
      <c r="Q309" s="99" t="e">
        <f t="shared" si="40"/>
        <v>#DIV/0!</v>
      </c>
      <c r="R309" s="100">
        <f t="shared" si="41"/>
        <v>0.43387671059875982</v>
      </c>
      <c r="S309" s="83"/>
      <c r="T309" s="83"/>
      <c r="U309" s="101">
        <f t="shared" si="42"/>
        <v>2021.2824107652905</v>
      </c>
      <c r="V309" s="45"/>
      <c r="W309" s="45"/>
      <c r="X309" s="45"/>
      <c r="Y309" s="45"/>
      <c r="Z309" s="45"/>
      <c r="AA309" s="45"/>
      <c r="AY309" s="66"/>
      <c r="AZ309" s="66"/>
      <c r="BA309" s="66"/>
      <c r="BB309" s="22"/>
    </row>
    <row r="310" spans="2:54" x14ac:dyDescent="0.45">
      <c r="B310" s="45" t="s">
        <v>694</v>
      </c>
      <c r="C310" s="90"/>
      <c r="D310" s="56"/>
      <c r="E310" s="84"/>
      <c r="F310" s="58"/>
      <c r="G310" s="58"/>
      <c r="H310" s="58"/>
      <c r="I310" s="58"/>
      <c r="J310" s="58"/>
      <c r="K310" s="58"/>
      <c r="L310" s="59">
        <f t="shared" si="39"/>
        <v>0</v>
      </c>
      <c r="M310" s="68"/>
      <c r="N310" s="68"/>
      <c r="O310" s="68"/>
      <c r="P310" s="68"/>
      <c r="Q310" s="99" t="e">
        <f t="shared" si="40"/>
        <v>#DIV/0!</v>
      </c>
      <c r="R310" s="100">
        <f t="shared" si="41"/>
        <v>0.43387671059875982</v>
      </c>
      <c r="S310" s="83"/>
      <c r="T310" s="83"/>
      <c r="U310" s="101">
        <f t="shared" si="42"/>
        <v>2021.2824107652905</v>
      </c>
      <c r="V310" s="45"/>
      <c r="W310" s="45"/>
      <c r="X310" s="45"/>
      <c r="Y310" s="45"/>
      <c r="Z310" s="45"/>
      <c r="AA310" s="45"/>
      <c r="AY310" s="66"/>
      <c r="AZ310" s="66"/>
      <c r="BA310" s="66"/>
      <c r="BB310" s="22"/>
    </row>
    <row r="311" spans="2:54" x14ac:dyDescent="0.45">
      <c r="B311" s="45" t="s">
        <v>695</v>
      </c>
      <c r="C311" s="90"/>
      <c r="D311" s="56"/>
      <c r="E311" s="57"/>
      <c r="F311" s="58"/>
      <c r="G311" s="58"/>
      <c r="H311" s="58"/>
      <c r="I311" s="58"/>
      <c r="J311" s="58"/>
      <c r="K311" s="58"/>
      <c r="L311" s="59">
        <f t="shared" si="39"/>
        <v>0</v>
      </c>
      <c r="M311" s="68"/>
      <c r="N311" s="68"/>
      <c r="O311" s="68"/>
      <c r="P311" s="68"/>
      <c r="Q311" s="99" t="e">
        <f t="shared" si="40"/>
        <v>#DIV/0!</v>
      </c>
      <c r="R311" s="100">
        <f t="shared" si="41"/>
        <v>0.43387671059875982</v>
      </c>
      <c r="S311" s="83"/>
      <c r="T311" s="83"/>
      <c r="U311" s="101">
        <f t="shared" si="42"/>
        <v>2021.2824107652905</v>
      </c>
      <c r="V311" s="45"/>
      <c r="W311" s="45"/>
      <c r="X311" s="45"/>
      <c r="Y311" s="45"/>
      <c r="Z311" s="45"/>
      <c r="AA311" s="45"/>
      <c r="AY311" s="66"/>
      <c r="AZ311" s="66"/>
      <c r="BA311" s="66"/>
      <c r="BB311" s="22"/>
    </row>
    <row r="312" spans="2:54" x14ac:dyDescent="0.45">
      <c r="B312" s="45" t="s">
        <v>696</v>
      </c>
      <c r="C312" s="90"/>
      <c r="D312" s="56"/>
      <c r="E312" s="80"/>
      <c r="F312" s="58"/>
      <c r="G312" s="58"/>
      <c r="H312" s="58"/>
      <c r="I312" s="58"/>
      <c r="J312" s="58"/>
      <c r="K312" s="58"/>
      <c r="L312" s="59">
        <f t="shared" si="39"/>
        <v>0</v>
      </c>
      <c r="M312" s="68"/>
      <c r="N312" s="68"/>
      <c r="O312" s="68"/>
      <c r="P312" s="68"/>
      <c r="Q312" s="99" t="e">
        <f t="shared" si="40"/>
        <v>#DIV/0!</v>
      </c>
      <c r="R312" s="100">
        <f t="shared" si="41"/>
        <v>0.43387671059875982</v>
      </c>
      <c r="S312" s="83"/>
      <c r="T312" s="83"/>
      <c r="U312" s="101">
        <f t="shared" si="42"/>
        <v>2021.2824107652905</v>
      </c>
      <c r="V312" s="45"/>
      <c r="W312" s="45"/>
      <c r="X312" s="45"/>
      <c r="Y312" s="45"/>
      <c r="Z312" s="45"/>
      <c r="AA312" s="45"/>
      <c r="AY312" s="66"/>
      <c r="AZ312" s="66"/>
      <c r="BA312" s="66"/>
      <c r="BB312" s="22"/>
    </row>
    <row r="313" spans="2:54" x14ac:dyDescent="0.45">
      <c r="B313" s="45" t="s">
        <v>697</v>
      </c>
      <c r="C313" s="90"/>
      <c r="D313" s="56"/>
      <c r="E313" s="84"/>
      <c r="F313" s="58"/>
      <c r="G313" s="58"/>
      <c r="H313" s="58"/>
      <c r="I313" s="58"/>
      <c r="J313" s="58"/>
      <c r="K313" s="58"/>
      <c r="L313" s="59">
        <f t="shared" si="39"/>
        <v>0</v>
      </c>
      <c r="M313" s="68"/>
      <c r="N313" s="68"/>
      <c r="O313" s="68"/>
      <c r="P313" s="68"/>
      <c r="Q313" s="99" t="e">
        <f t="shared" si="40"/>
        <v>#DIV/0!</v>
      </c>
      <c r="R313" s="100">
        <f t="shared" si="41"/>
        <v>0.43387671059875982</v>
      </c>
      <c r="S313" s="83"/>
      <c r="T313" s="83"/>
      <c r="U313" s="101">
        <f t="shared" si="42"/>
        <v>2021.2824107652905</v>
      </c>
      <c r="V313" s="45"/>
      <c r="W313" s="45"/>
      <c r="X313" s="45"/>
      <c r="Y313" s="45"/>
      <c r="Z313" s="45"/>
      <c r="AA313" s="45"/>
      <c r="AY313" s="66"/>
      <c r="AZ313" s="66"/>
      <c r="BA313" s="66"/>
      <c r="BB313" s="22"/>
    </row>
    <row r="314" spans="2:54" x14ac:dyDescent="0.45">
      <c r="B314" s="45" t="s">
        <v>698</v>
      </c>
      <c r="C314" s="90"/>
      <c r="D314" s="56"/>
      <c r="E314" s="57"/>
      <c r="F314" s="58"/>
      <c r="G314" s="58"/>
      <c r="H314" s="58"/>
      <c r="I314" s="58"/>
      <c r="J314" s="58"/>
      <c r="K314" s="58"/>
      <c r="L314" s="59">
        <f t="shared" si="39"/>
        <v>0</v>
      </c>
      <c r="M314" s="68"/>
      <c r="N314" s="68"/>
      <c r="O314" s="68"/>
      <c r="P314" s="68"/>
      <c r="Q314" s="99" t="e">
        <f t="shared" si="40"/>
        <v>#DIV/0!</v>
      </c>
      <c r="R314" s="100">
        <f t="shared" si="41"/>
        <v>0.43387671059875982</v>
      </c>
      <c r="S314" s="83"/>
      <c r="T314" s="83"/>
      <c r="U314" s="101">
        <f t="shared" si="42"/>
        <v>2021.2824107652905</v>
      </c>
      <c r="V314" s="45"/>
      <c r="W314" s="45"/>
      <c r="X314" s="45"/>
      <c r="Y314" s="45"/>
      <c r="Z314" s="45"/>
      <c r="AA314" s="45"/>
      <c r="AY314" s="66"/>
      <c r="AZ314" s="66"/>
      <c r="BA314" s="66"/>
      <c r="BB314" s="22"/>
    </row>
    <row r="315" spans="2:54" x14ac:dyDescent="0.45">
      <c r="B315" s="45" t="s">
        <v>699</v>
      </c>
      <c r="C315" s="90"/>
      <c r="D315" s="56"/>
      <c r="E315" s="80"/>
      <c r="F315" s="58"/>
      <c r="G315" s="58"/>
      <c r="H315" s="58"/>
      <c r="I315" s="58"/>
      <c r="J315" s="58"/>
      <c r="K315" s="58"/>
      <c r="L315" s="59">
        <f t="shared" si="39"/>
        <v>0</v>
      </c>
      <c r="M315" s="68"/>
      <c r="N315" s="68"/>
      <c r="O315" s="68"/>
      <c r="P315" s="68"/>
      <c r="Q315" s="99" t="e">
        <f t="shared" si="40"/>
        <v>#DIV/0!</v>
      </c>
      <c r="R315" s="100">
        <f t="shared" si="41"/>
        <v>0.43387671059875982</v>
      </c>
      <c r="S315" s="83"/>
      <c r="T315" s="83"/>
      <c r="U315" s="101">
        <f t="shared" si="42"/>
        <v>2021.2824107652905</v>
      </c>
      <c r="V315" s="45"/>
      <c r="W315" s="45"/>
      <c r="X315" s="45"/>
      <c r="Y315" s="45"/>
      <c r="Z315" s="45"/>
      <c r="AA315" s="45"/>
      <c r="AY315" s="66"/>
      <c r="AZ315" s="66"/>
      <c r="BA315" s="66"/>
      <c r="BB315" s="22"/>
    </row>
    <row r="316" spans="2:54" x14ac:dyDescent="0.45">
      <c r="B316" s="45" t="s">
        <v>700</v>
      </c>
      <c r="C316" s="90"/>
      <c r="D316" s="56"/>
      <c r="E316" s="84"/>
      <c r="F316" s="58"/>
      <c r="G316" s="58"/>
      <c r="H316" s="58"/>
      <c r="I316" s="58"/>
      <c r="J316" s="58"/>
      <c r="K316" s="58"/>
      <c r="L316" s="59">
        <f t="shared" si="39"/>
        <v>0</v>
      </c>
      <c r="M316" s="68"/>
      <c r="N316" s="68"/>
      <c r="O316" s="68"/>
      <c r="P316" s="68"/>
      <c r="Q316" s="99" t="e">
        <f t="shared" si="40"/>
        <v>#DIV/0!</v>
      </c>
      <c r="R316" s="100">
        <f t="shared" si="41"/>
        <v>0.43387671059875982</v>
      </c>
      <c r="S316" s="83"/>
      <c r="T316" s="83"/>
      <c r="U316" s="101">
        <f t="shared" si="42"/>
        <v>2021.2824107652905</v>
      </c>
      <c r="V316" s="45"/>
      <c r="W316" s="45"/>
      <c r="X316" s="45"/>
      <c r="Y316" s="45"/>
      <c r="Z316" s="45"/>
      <c r="AA316" s="45"/>
      <c r="AY316" s="66"/>
      <c r="AZ316" s="66"/>
      <c r="BA316" s="66"/>
      <c r="BB316" s="22"/>
    </row>
    <row r="317" spans="2:54" x14ac:dyDescent="0.45">
      <c r="B317" s="45" t="s">
        <v>701</v>
      </c>
      <c r="C317" s="90"/>
      <c r="D317" s="56"/>
      <c r="E317" s="57"/>
      <c r="F317" s="58"/>
      <c r="G317" s="58"/>
      <c r="H317" s="58"/>
      <c r="I317" s="58"/>
      <c r="J317" s="58"/>
      <c r="K317" s="58"/>
      <c r="L317" s="59">
        <f t="shared" si="39"/>
        <v>0</v>
      </c>
      <c r="M317" s="68"/>
      <c r="N317" s="68"/>
      <c r="O317" s="68"/>
      <c r="P317" s="68"/>
      <c r="Q317" s="99" t="e">
        <f t="shared" si="40"/>
        <v>#DIV/0!</v>
      </c>
      <c r="R317" s="100">
        <f t="shared" si="41"/>
        <v>0.43387671059875982</v>
      </c>
      <c r="S317" s="83"/>
      <c r="T317" s="83"/>
      <c r="U317" s="101">
        <f t="shared" si="42"/>
        <v>2021.2824107652905</v>
      </c>
      <c r="V317" s="45"/>
      <c r="W317" s="45"/>
      <c r="X317" s="45"/>
      <c r="Y317" s="45"/>
      <c r="Z317" s="45"/>
      <c r="AA317" s="45"/>
      <c r="AY317" s="66"/>
      <c r="AZ317" s="66"/>
      <c r="BA317" s="66"/>
      <c r="BB317" s="22"/>
    </row>
    <row r="318" spans="2:54" x14ac:dyDescent="0.45">
      <c r="B318" s="45" t="s">
        <v>702</v>
      </c>
      <c r="C318" s="90"/>
      <c r="D318" s="56"/>
      <c r="E318" s="80"/>
      <c r="F318" s="58"/>
      <c r="G318" s="58"/>
      <c r="H318" s="58"/>
      <c r="I318" s="58"/>
      <c r="J318" s="58"/>
      <c r="K318" s="58"/>
      <c r="L318" s="59">
        <f t="shared" si="39"/>
        <v>0</v>
      </c>
      <c r="M318" s="68"/>
      <c r="N318" s="68"/>
      <c r="O318" s="68"/>
      <c r="P318" s="68"/>
      <c r="Q318" s="99" t="e">
        <f t="shared" si="40"/>
        <v>#DIV/0!</v>
      </c>
      <c r="R318" s="100">
        <f t="shared" si="41"/>
        <v>0.43387671059875982</v>
      </c>
      <c r="S318" s="83"/>
      <c r="T318" s="83"/>
      <c r="U318" s="101">
        <f t="shared" si="42"/>
        <v>2021.2824107652905</v>
      </c>
      <c r="V318" s="45"/>
      <c r="W318" s="45"/>
      <c r="X318" s="45"/>
      <c r="Y318" s="45"/>
      <c r="Z318" s="45"/>
      <c r="AA318" s="45"/>
      <c r="AY318" s="66"/>
      <c r="AZ318" s="66"/>
      <c r="BA318" s="66"/>
      <c r="BB318" s="22"/>
    </row>
    <row r="319" spans="2:54" x14ac:dyDescent="0.45">
      <c r="B319" s="45" t="s">
        <v>703</v>
      </c>
      <c r="C319" s="90"/>
      <c r="D319" s="56"/>
      <c r="E319" s="84"/>
      <c r="F319" s="58"/>
      <c r="G319" s="58"/>
      <c r="H319" s="58"/>
      <c r="I319" s="58"/>
      <c r="J319" s="58"/>
      <c r="K319" s="58"/>
      <c r="L319" s="59">
        <f t="shared" si="39"/>
        <v>0</v>
      </c>
      <c r="M319" s="68"/>
      <c r="N319" s="68"/>
      <c r="O319" s="68"/>
      <c r="P319" s="68"/>
      <c r="Q319" s="99" t="e">
        <f t="shared" si="40"/>
        <v>#DIV/0!</v>
      </c>
      <c r="R319" s="100">
        <f t="shared" si="41"/>
        <v>0.43387671059875982</v>
      </c>
      <c r="S319" s="83"/>
      <c r="T319" s="83"/>
      <c r="U319" s="101">
        <f t="shared" si="42"/>
        <v>2021.2824107652905</v>
      </c>
      <c r="V319" s="45"/>
      <c r="W319" s="45"/>
      <c r="X319" s="45"/>
      <c r="Y319" s="45"/>
      <c r="Z319" s="45"/>
      <c r="AA319" s="45"/>
      <c r="AY319" s="66"/>
      <c r="AZ319" s="66"/>
      <c r="BA319" s="66"/>
      <c r="BB319" s="22"/>
    </row>
    <row r="320" spans="2:54" x14ac:dyDescent="0.45">
      <c r="B320" s="45" t="s">
        <v>704</v>
      </c>
      <c r="C320" s="90"/>
      <c r="D320" s="56"/>
      <c r="E320" s="57"/>
      <c r="F320" s="58"/>
      <c r="G320" s="58"/>
      <c r="H320" s="58"/>
      <c r="I320" s="58"/>
      <c r="J320" s="58"/>
      <c r="K320" s="58"/>
      <c r="L320" s="59">
        <f t="shared" si="39"/>
        <v>0</v>
      </c>
      <c r="M320" s="68"/>
      <c r="N320" s="68"/>
      <c r="O320" s="68"/>
      <c r="P320" s="68"/>
      <c r="Q320" s="99" t="e">
        <f t="shared" si="40"/>
        <v>#DIV/0!</v>
      </c>
      <c r="R320" s="100">
        <f t="shared" si="41"/>
        <v>0.43387671059875982</v>
      </c>
      <c r="S320" s="83"/>
      <c r="T320" s="83"/>
      <c r="U320" s="101">
        <f t="shared" si="42"/>
        <v>2021.2824107652905</v>
      </c>
      <c r="V320" s="45"/>
      <c r="W320" s="45"/>
      <c r="X320" s="45"/>
      <c r="Y320" s="45"/>
      <c r="Z320" s="45"/>
      <c r="AA320" s="45"/>
      <c r="AY320" s="66"/>
      <c r="AZ320" s="66"/>
      <c r="BA320" s="66"/>
      <c r="BB320" s="22"/>
    </row>
    <row r="321" spans="2:54" x14ac:dyDescent="0.45">
      <c r="B321" s="45" t="s">
        <v>705</v>
      </c>
      <c r="C321" s="90"/>
      <c r="D321" s="56"/>
      <c r="E321" s="80"/>
      <c r="F321" s="58"/>
      <c r="G321" s="58"/>
      <c r="H321" s="58"/>
      <c r="I321" s="58"/>
      <c r="J321" s="58"/>
      <c r="K321" s="58"/>
      <c r="L321" s="59">
        <f t="shared" si="39"/>
        <v>0</v>
      </c>
      <c r="M321" s="68"/>
      <c r="N321" s="68"/>
      <c r="O321" s="68"/>
      <c r="P321" s="68"/>
      <c r="Q321" s="99" t="e">
        <f t="shared" si="40"/>
        <v>#DIV/0!</v>
      </c>
      <c r="R321" s="100">
        <f t="shared" si="41"/>
        <v>0.43387671059875982</v>
      </c>
      <c r="S321" s="83"/>
      <c r="T321" s="83"/>
      <c r="U321" s="101">
        <f t="shared" si="42"/>
        <v>2021.2824107652905</v>
      </c>
      <c r="V321" s="45"/>
      <c r="W321" s="45"/>
      <c r="X321" s="45"/>
      <c r="Y321" s="45"/>
      <c r="Z321" s="45"/>
      <c r="AA321" s="45"/>
      <c r="AY321" s="66"/>
      <c r="AZ321" s="66"/>
      <c r="BA321" s="66"/>
      <c r="BB321" s="22"/>
    </row>
    <row r="322" spans="2:54" x14ac:dyDescent="0.45">
      <c r="B322" s="45" t="s">
        <v>706</v>
      </c>
      <c r="C322" s="90"/>
      <c r="D322" s="56"/>
      <c r="E322" s="84"/>
      <c r="F322" s="58"/>
      <c r="G322" s="58"/>
      <c r="H322" s="58"/>
      <c r="I322" s="58"/>
      <c r="J322" s="58"/>
      <c r="K322" s="58"/>
      <c r="L322" s="59">
        <f t="shared" si="39"/>
        <v>0</v>
      </c>
      <c r="M322" s="68"/>
      <c r="N322" s="68"/>
      <c r="O322" s="68"/>
      <c r="P322" s="68"/>
      <c r="Q322" s="99" t="e">
        <f t="shared" si="40"/>
        <v>#DIV/0!</v>
      </c>
      <c r="R322" s="100">
        <f t="shared" si="41"/>
        <v>0.43387671059875982</v>
      </c>
      <c r="S322" s="83"/>
      <c r="T322" s="83"/>
      <c r="U322" s="101">
        <f t="shared" si="42"/>
        <v>2021.2824107652905</v>
      </c>
      <c r="V322" s="45"/>
      <c r="W322" s="45"/>
      <c r="X322" s="45"/>
      <c r="Y322" s="45"/>
      <c r="Z322" s="45"/>
      <c r="AA322" s="45"/>
      <c r="AY322" s="66"/>
      <c r="AZ322" s="66"/>
      <c r="BA322" s="66"/>
      <c r="BB322" s="22"/>
    </row>
    <row r="323" spans="2:54" x14ac:dyDescent="0.45">
      <c r="B323" s="45" t="s">
        <v>707</v>
      </c>
      <c r="C323" s="90"/>
      <c r="D323" s="56"/>
      <c r="E323" s="57"/>
      <c r="F323" s="58"/>
      <c r="G323" s="58"/>
      <c r="H323" s="58"/>
      <c r="I323" s="58"/>
      <c r="J323" s="58"/>
      <c r="K323" s="58"/>
      <c r="L323" s="59">
        <f t="shared" si="39"/>
        <v>0</v>
      </c>
      <c r="M323" s="68"/>
      <c r="N323" s="68"/>
      <c r="O323" s="68"/>
      <c r="P323" s="68"/>
      <c r="Q323" s="99" t="e">
        <f t="shared" si="40"/>
        <v>#DIV/0!</v>
      </c>
      <c r="R323" s="100">
        <f t="shared" si="41"/>
        <v>0.43387671059875982</v>
      </c>
      <c r="S323" s="83"/>
      <c r="T323" s="83"/>
      <c r="U323" s="101">
        <f t="shared" si="42"/>
        <v>2021.2824107652905</v>
      </c>
      <c r="V323" s="45"/>
      <c r="W323" s="45"/>
      <c r="X323" s="45"/>
      <c r="Y323" s="45"/>
      <c r="Z323" s="45"/>
      <c r="AA323" s="45"/>
      <c r="AY323" s="66"/>
      <c r="AZ323" s="66"/>
      <c r="BA323" s="66"/>
      <c r="BB323" s="22"/>
    </row>
    <row r="324" spans="2:54" x14ac:dyDescent="0.45">
      <c r="B324" s="45" t="s">
        <v>708</v>
      </c>
      <c r="C324" s="90"/>
      <c r="D324" s="56"/>
      <c r="E324" s="80"/>
      <c r="F324" s="58"/>
      <c r="G324" s="58"/>
      <c r="H324" s="58"/>
      <c r="I324" s="58"/>
      <c r="J324" s="58"/>
      <c r="K324" s="58"/>
      <c r="L324" s="59">
        <f t="shared" si="39"/>
        <v>0</v>
      </c>
      <c r="M324" s="68"/>
      <c r="N324" s="68"/>
      <c r="O324" s="68"/>
      <c r="P324" s="68"/>
      <c r="Q324" s="99" t="e">
        <f t="shared" si="40"/>
        <v>#DIV/0!</v>
      </c>
      <c r="R324" s="100">
        <f t="shared" si="41"/>
        <v>0.43387671059875982</v>
      </c>
      <c r="S324" s="83"/>
      <c r="T324" s="83"/>
      <c r="U324" s="101">
        <f t="shared" si="42"/>
        <v>2021.2824107652905</v>
      </c>
      <c r="V324" s="45"/>
      <c r="W324" s="45"/>
      <c r="X324" s="45"/>
      <c r="Y324" s="45"/>
      <c r="Z324" s="45"/>
      <c r="AA324" s="45"/>
      <c r="AY324" s="66"/>
      <c r="AZ324" s="66"/>
      <c r="BA324" s="66"/>
      <c r="BB324" s="22"/>
    </row>
    <row r="325" spans="2:54" x14ac:dyDescent="0.45">
      <c r="B325" s="45" t="s">
        <v>709</v>
      </c>
      <c r="C325" s="90"/>
      <c r="D325" s="56"/>
      <c r="E325" s="84"/>
      <c r="F325" s="58"/>
      <c r="G325" s="58"/>
      <c r="H325" s="58"/>
      <c r="I325" s="58"/>
      <c r="J325" s="58"/>
      <c r="K325" s="58"/>
      <c r="L325" s="59">
        <f t="shared" si="39"/>
        <v>0</v>
      </c>
      <c r="M325" s="68"/>
      <c r="N325" s="68"/>
      <c r="O325" s="68"/>
      <c r="P325" s="68"/>
      <c r="Q325" s="99" t="e">
        <f t="shared" si="40"/>
        <v>#DIV/0!</v>
      </c>
      <c r="R325" s="100">
        <f t="shared" si="41"/>
        <v>0.43387671059875982</v>
      </c>
      <c r="S325" s="83"/>
      <c r="T325" s="83"/>
      <c r="U325" s="101">
        <f t="shared" si="42"/>
        <v>2021.2824107652905</v>
      </c>
      <c r="V325" s="45"/>
      <c r="W325" s="45"/>
      <c r="X325" s="45"/>
      <c r="Y325" s="45"/>
      <c r="Z325" s="45"/>
      <c r="AA325" s="45"/>
      <c r="AY325" s="66"/>
      <c r="AZ325" s="66"/>
      <c r="BA325" s="66"/>
      <c r="BB325" s="22"/>
    </row>
    <row r="326" spans="2:54" x14ac:dyDescent="0.45">
      <c r="B326" s="45" t="s">
        <v>710</v>
      </c>
      <c r="C326" s="90"/>
      <c r="D326" s="56"/>
      <c r="E326" s="57"/>
      <c r="F326" s="58"/>
      <c r="G326" s="58"/>
      <c r="H326" s="58"/>
      <c r="I326" s="58"/>
      <c r="J326" s="58"/>
      <c r="K326" s="58"/>
      <c r="L326" s="59">
        <f t="shared" si="39"/>
        <v>0</v>
      </c>
      <c r="M326" s="68"/>
      <c r="N326" s="68"/>
      <c r="O326" s="68"/>
      <c r="P326" s="68"/>
      <c r="Q326" s="99" t="e">
        <f t="shared" si="40"/>
        <v>#DIV/0!</v>
      </c>
      <c r="R326" s="100">
        <f t="shared" si="41"/>
        <v>0.43387671059875982</v>
      </c>
      <c r="S326" s="83"/>
      <c r="T326" s="83"/>
      <c r="U326" s="101">
        <f t="shared" si="42"/>
        <v>2021.2824107652905</v>
      </c>
      <c r="V326" s="45"/>
      <c r="W326" s="45"/>
      <c r="X326" s="45"/>
      <c r="Y326" s="45"/>
      <c r="Z326" s="45"/>
      <c r="AA326" s="45"/>
      <c r="AY326" s="66"/>
      <c r="AZ326" s="66"/>
      <c r="BA326" s="66"/>
      <c r="BB326" s="22"/>
    </row>
    <row r="327" spans="2:54" x14ac:dyDescent="0.45">
      <c r="B327" s="45" t="s">
        <v>711</v>
      </c>
      <c r="C327" s="90"/>
      <c r="D327" s="56"/>
      <c r="E327" s="80"/>
      <c r="F327" s="58"/>
      <c r="G327" s="58"/>
      <c r="H327" s="58"/>
      <c r="I327" s="58"/>
      <c r="J327" s="58"/>
      <c r="K327" s="58"/>
      <c r="L327" s="59">
        <f t="shared" si="39"/>
        <v>0</v>
      </c>
      <c r="M327" s="68"/>
      <c r="N327" s="68"/>
      <c r="O327" s="68"/>
      <c r="P327" s="68"/>
      <c r="Q327" s="99" t="e">
        <f t="shared" si="40"/>
        <v>#DIV/0!</v>
      </c>
      <c r="R327" s="100">
        <f t="shared" si="41"/>
        <v>0.43387671059875982</v>
      </c>
      <c r="S327" s="83"/>
      <c r="T327" s="83"/>
      <c r="U327" s="101">
        <f t="shared" si="42"/>
        <v>2021.2824107652905</v>
      </c>
      <c r="V327" s="45"/>
      <c r="W327" s="45"/>
      <c r="X327" s="45"/>
      <c r="Y327" s="45"/>
      <c r="Z327" s="45"/>
      <c r="AA327" s="45"/>
      <c r="AY327" s="66"/>
      <c r="AZ327" s="66"/>
      <c r="BA327" s="66"/>
      <c r="BB327" s="22"/>
    </row>
    <row r="328" spans="2:54" x14ac:dyDescent="0.45">
      <c r="B328" s="45" t="s">
        <v>712</v>
      </c>
      <c r="C328" s="90"/>
      <c r="D328" s="56"/>
      <c r="E328" s="84"/>
      <c r="F328" s="58"/>
      <c r="G328" s="58"/>
      <c r="H328" s="58"/>
      <c r="I328" s="58"/>
      <c r="J328" s="58"/>
      <c r="K328" s="58"/>
      <c r="L328" s="59">
        <f t="shared" si="39"/>
        <v>0</v>
      </c>
      <c r="M328" s="68"/>
      <c r="N328" s="68"/>
      <c r="O328" s="68"/>
      <c r="P328" s="68"/>
      <c r="Q328" s="99" t="e">
        <f t="shared" si="40"/>
        <v>#DIV/0!</v>
      </c>
      <c r="R328" s="100">
        <f t="shared" si="41"/>
        <v>0.43387671059875982</v>
      </c>
      <c r="S328" s="83"/>
      <c r="T328" s="83"/>
      <c r="U328" s="101">
        <f t="shared" si="42"/>
        <v>2021.2824107652905</v>
      </c>
      <c r="V328" s="45"/>
      <c r="W328" s="45"/>
      <c r="X328" s="45"/>
      <c r="Y328" s="45"/>
      <c r="Z328" s="45"/>
      <c r="AA328" s="45"/>
      <c r="AY328" s="66"/>
      <c r="AZ328" s="66"/>
      <c r="BA328" s="66"/>
      <c r="BB328" s="22"/>
    </row>
    <row r="329" spans="2:54" x14ac:dyDescent="0.45">
      <c r="B329" s="45" t="s">
        <v>713</v>
      </c>
      <c r="C329" s="90"/>
      <c r="D329" s="56"/>
      <c r="E329" s="57"/>
      <c r="F329" s="58"/>
      <c r="G329" s="58"/>
      <c r="H329" s="58"/>
      <c r="I329" s="58"/>
      <c r="J329" s="58"/>
      <c r="K329" s="58"/>
      <c r="L329" s="59">
        <f t="shared" si="39"/>
        <v>0</v>
      </c>
      <c r="M329" s="68"/>
      <c r="N329" s="68"/>
      <c r="O329" s="68"/>
      <c r="P329" s="68"/>
      <c r="Q329" s="99" t="e">
        <f t="shared" si="40"/>
        <v>#DIV/0!</v>
      </c>
      <c r="R329" s="100">
        <f t="shared" si="41"/>
        <v>0.43387671059875982</v>
      </c>
      <c r="S329" s="83"/>
      <c r="T329" s="83"/>
      <c r="U329" s="101">
        <f t="shared" si="42"/>
        <v>2021.2824107652905</v>
      </c>
      <c r="V329" s="45"/>
      <c r="W329" s="45"/>
      <c r="X329" s="45"/>
      <c r="Y329" s="45"/>
      <c r="Z329" s="45"/>
      <c r="AA329" s="45"/>
      <c r="AY329" s="66"/>
      <c r="AZ329" s="66"/>
      <c r="BA329" s="66"/>
      <c r="BB329" s="22"/>
    </row>
    <row r="330" spans="2:54" x14ac:dyDescent="0.45">
      <c r="B330" s="45" t="s">
        <v>714</v>
      </c>
      <c r="C330" s="90"/>
      <c r="D330" s="56"/>
      <c r="E330" s="80"/>
      <c r="F330" s="58"/>
      <c r="G330" s="58"/>
      <c r="H330" s="58"/>
      <c r="I330" s="58"/>
      <c r="J330" s="58"/>
      <c r="K330" s="58"/>
      <c r="L330" s="59">
        <f t="shared" si="39"/>
        <v>0</v>
      </c>
      <c r="M330" s="68"/>
      <c r="N330" s="68"/>
      <c r="O330" s="68"/>
      <c r="P330" s="68"/>
      <c r="Q330" s="99" t="e">
        <f t="shared" si="40"/>
        <v>#DIV/0!</v>
      </c>
      <c r="R330" s="100">
        <f t="shared" si="41"/>
        <v>0.43387671059875982</v>
      </c>
      <c r="S330" s="83"/>
      <c r="T330" s="83"/>
      <c r="U330" s="101">
        <f t="shared" si="42"/>
        <v>2021.2824107652905</v>
      </c>
      <c r="V330" s="45"/>
      <c r="W330" s="45"/>
      <c r="X330" s="45"/>
      <c r="Y330" s="45"/>
      <c r="Z330" s="45"/>
      <c r="AA330" s="45"/>
      <c r="AY330" s="66"/>
      <c r="AZ330" s="66"/>
      <c r="BA330" s="66"/>
      <c r="BB330" s="22"/>
    </row>
    <row r="331" spans="2:54" x14ac:dyDescent="0.45">
      <c r="B331" s="45" t="s">
        <v>715</v>
      </c>
      <c r="C331" s="90"/>
      <c r="D331" s="56"/>
      <c r="E331" s="84"/>
      <c r="F331" s="58"/>
      <c r="G331" s="58"/>
      <c r="H331" s="58"/>
      <c r="I331" s="58"/>
      <c r="J331" s="58"/>
      <c r="K331" s="58"/>
      <c r="L331" s="59">
        <f t="shared" si="39"/>
        <v>0</v>
      </c>
      <c r="M331" s="68"/>
      <c r="N331" s="68"/>
      <c r="O331" s="68"/>
      <c r="P331" s="68"/>
      <c r="Q331" s="99" t="e">
        <f t="shared" si="40"/>
        <v>#DIV/0!</v>
      </c>
      <c r="R331" s="100">
        <f t="shared" si="41"/>
        <v>0.43387671059875982</v>
      </c>
      <c r="S331" s="83"/>
      <c r="T331" s="83"/>
      <c r="U331" s="101">
        <f t="shared" si="42"/>
        <v>2021.2824107652905</v>
      </c>
      <c r="V331" s="45"/>
      <c r="W331" s="45"/>
      <c r="X331" s="45"/>
      <c r="Y331" s="45"/>
      <c r="Z331" s="45"/>
      <c r="AA331" s="45"/>
    </row>
    <row r="332" spans="2:54" x14ac:dyDescent="0.45">
      <c r="B332" s="45" t="s">
        <v>716</v>
      </c>
      <c r="C332" s="90"/>
      <c r="D332" s="56"/>
      <c r="E332" s="57"/>
      <c r="F332" s="58"/>
      <c r="G332" s="58"/>
      <c r="H332" s="58"/>
      <c r="I332" s="58"/>
      <c r="J332" s="58"/>
      <c r="K332" s="58"/>
      <c r="L332" s="59">
        <f t="shared" si="39"/>
        <v>0</v>
      </c>
      <c r="M332" s="68"/>
      <c r="N332" s="68"/>
      <c r="O332" s="68"/>
      <c r="P332" s="68"/>
      <c r="Q332" s="99" t="e">
        <f t="shared" si="40"/>
        <v>#DIV/0!</v>
      </c>
      <c r="R332" s="100">
        <f t="shared" si="41"/>
        <v>0.43387671059875982</v>
      </c>
      <c r="S332" s="83"/>
      <c r="T332" s="83"/>
      <c r="U332" s="101">
        <f t="shared" si="42"/>
        <v>2021.2824107652905</v>
      </c>
      <c r="V332" s="45"/>
      <c r="W332" s="45"/>
      <c r="X332" s="45"/>
      <c r="Y332" s="45"/>
      <c r="Z332" s="45"/>
      <c r="AA332" s="45"/>
    </row>
    <row r="333" spans="2:54" x14ac:dyDescent="0.45">
      <c r="B333" s="45" t="s">
        <v>717</v>
      </c>
      <c r="C333" s="90"/>
      <c r="D333" s="56"/>
      <c r="E333" s="80"/>
      <c r="F333" s="58"/>
      <c r="G333" s="58"/>
      <c r="H333" s="58"/>
      <c r="I333" s="58"/>
      <c r="J333" s="58"/>
      <c r="K333" s="58"/>
      <c r="L333" s="59">
        <f t="shared" si="39"/>
        <v>0</v>
      </c>
      <c r="M333" s="68"/>
      <c r="N333" s="68"/>
      <c r="O333" s="68"/>
      <c r="P333" s="68"/>
      <c r="Q333" s="99" t="e">
        <f t="shared" si="40"/>
        <v>#DIV/0!</v>
      </c>
      <c r="R333" s="100">
        <f t="shared" si="41"/>
        <v>0.43387671059875982</v>
      </c>
      <c r="S333" s="83"/>
      <c r="T333" s="83"/>
      <c r="U333" s="101">
        <f t="shared" si="42"/>
        <v>2021.2824107652905</v>
      </c>
      <c r="V333" s="45"/>
      <c r="W333" s="45"/>
      <c r="X333" s="45"/>
      <c r="Y333" s="45"/>
      <c r="Z333" s="45"/>
      <c r="AA333" s="45"/>
    </row>
    <row r="334" spans="2:54" x14ac:dyDescent="0.45">
      <c r="B334" s="45" t="s">
        <v>718</v>
      </c>
      <c r="C334" s="90"/>
      <c r="D334" s="56"/>
      <c r="E334" s="84"/>
      <c r="F334" s="58"/>
      <c r="G334" s="58"/>
      <c r="H334" s="58"/>
      <c r="I334" s="58"/>
      <c r="J334" s="58"/>
      <c r="K334" s="58"/>
      <c r="L334" s="59">
        <f t="shared" si="39"/>
        <v>0</v>
      </c>
      <c r="M334" s="68"/>
      <c r="N334" s="68"/>
      <c r="O334" s="68"/>
      <c r="P334" s="68"/>
      <c r="Q334" s="99" t="e">
        <f t="shared" si="40"/>
        <v>#DIV/0!</v>
      </c>
      <c r="R334" s="100">
        <f t="shared" si="41"/>
        <v>0.43387671059875982</v>
      </c>
      <c r="S334" s="83"/>
      <c r="T334" s="83"/>
      <c r="U334" s="101">
        <f t="shared" si="42"/>
        <v>2021.2824107652905</v>
      </c>
      <c r="V334" s="45"/>
      <c r="W334" s="45"/>
      <c r="X334" s="45"/>
      <c r="Y334" s="45"/>
      <c r="Z334" s="45"/>
      <c r="AA334" s="45"/>
    </row>
    <row r="335" spans="2:54" x14ac:dyDescent="0.45">
      <c r="B335" s="45" t="s">
        <v>719</v>
      </c>
      <c r="C335" s="90"/>
      <c r="D335" s="56"/>
      <c r="E335" s="57"/>
      <c r="F335" s="58"/>
      <c r="G335" s="58"/>
      <c r="H335" s="58"/>
      <c r="I335" s="58"/>
      <c r="J335" s="58"/>
      <c r="K335" s="58"/>
      <c r="L335" s="59">
        <f t="shared" si="39"/>
        <v>0</v>
      </c>
      <c r="M335" s="68"/>
      <c r="N335" s="68"/>
      <c r="O335" s="68"/>
      <c r="P335" s="68"/>
      <c r="Q335" s="99" t="e">
        <f t="shared" si="40"/>
        <v>#DIV/0!</v>
      </c>
      <c r="R335" s="100">
        <f t="shared" si="41"/>
        <v>0.43387671059875982</v>
      </c>
      <c r="S335" s="83"/>
      <c r="T335" s="83"/>
      <c r="U335" s="101">
        <f t="shared" si="42"/>
        <v>2021.2824107652905</v>
      </c>
      <c r="V335" s="45"/>
      <c r="W335" s="45"/>
      <c r="X335" s="45"/>
      <c r="Y335" s="45"/>
      <c r="Z335" s="45"/>
      <c r="AA335" s="45"/>
    </row>
    <row r="336" spans="2:54" x14ac:dyDescent="0.45">
      <c r="B336" s="45" t="s">
        <v>720</v>
      </c>
      <c r="C336" s="90"/>
      <c r="D336" s="56"/>
      <c r="E336" s="80"/>
      <c r="F336" s="58"/>
      <c r="G336" s="58"/>
      <c r="H336" s="58"/>
      <c r="I336" s="58"/>
      <c r="J336" s="58"/>
      <c r="K336" s="58"/>
      <c r="L336" s="59">
        <f t="shared" si="39"/>
        <v>0</v>
      </c>
      <c r="M336" s="68"/>
      <c r="N336" s="68"/>
      <c r="O336" s="68"/>
      <c r="P336" s="68"/>
      <c r="Q336" s="99" t="e">
        <f t="shared" si="40"/>
        <v>#DIV/0!</v>
      </c>
      <c r="R336" s="100">
        <f t="shared" si="41"/>
        <v>0.43387671059875982</v>
      </c>
      <c r="S336" s="83"/>
      <c r="T336" s="83"/>
      <c r="U336" s="101">
        <f t="shared" si="42"/>
        <v>2021.2824107652905</v>
      </c>
      <c r="V336" s="45"/>
      <c r="W336" s="45"/>
      <c r="X336" s="45"/>
      <c r="Y336" s="45"/>
      <c r="Z336" s="45"/>
      <c r="AA336" s="45"/>
    </row>
    <row r="337" spans="2:27" x14ac:dyDescent="0.45">
      <c r="B337" s="45" t="s">
        <v>721</v>
      </c>
      <c r="C337" s="90"/>
      <c r="D337" s="56"/>
      <c r="E337" s="84"/>
      <c r="F337" s="58"/>
      <c r="G337" s="58"/>
      <c r="H337" s="58"/>
      <c r="I337" s="58"/>
      <c r="J337" s="58"/>
      <c r="K337" s="58"/>
      <c r="L337" s="59">
        <f t="shared" si="39"/>
        <v>0</v>
      </c>
      <c r="M337" s="68"/>
      <c r="N337" s="68"/>
      <c r="O337" s="68"/>
      <c r="P337" s="68"/>
      <c r="Q337" s="99" t="e">
        <f t="shared" si="40"/>
        <v>#DIV/0!</v>
      </c>
      <c r="R337" s="100">
        <f t="shared" si="41"/>
        <v>0.43387671059875982</v>
      </c>
      <c r="S337" s="83"/>
      <c r="T337" s="83"/>
      <c r="U337" s="101">
        <f t="shared" si="42"/>
        <v>2021.2824107652905</v>
      </c>
      <c r="V337" s="45"/>
      <c r="W337" s="45"/>
      <c r="X337" s="45"/>
      <c r="Y337" s="45"/>
      <c r="Z337" s="45"/>
      <c r="AA337" s="45"/>
    </row>
    <row r="338" spans="2:27" x14ac:dyDescent="0.45">
      <c r="B338" s="45" t="s">
        <v>722</v>
      </c>
      <c r="C338" s="90"/>
      <c r="D338" s="56"/>
      <c r="E338" s="57"/>
      <c r="F338" s="58"/>
      <c r="G338" s="58"/>
      <c r="H338" s="58"/>
      <c r="I338" s="58"/>
      <c r="J338" s="58"/>
      <c r="K338" s="58"/>
      <c r="L338" s="59">
        <f t="shared" ref="L338:L401" si="43">1/2*((F338*I338+H338*K338+J338*G338)-(G338*H338+I338*J338+K338*F338))/0.1582*100</f>
        <v>0</v>
      </c>
      <c r="M338" s="68"/>
      <c r="N338" s="68"/>
      <c r="O338" s="68"/>
      <c r="P338" s="68"/>
      <c r="Q338" s="99" t="e">
        <f t="shared" ref="Q338:Q401" si="44">O338/P338</f>
        <v>#DIV/0!</v>
      </c>
      <c r="R338" s="100">
        <f t="shared" ref="R338:R401" si="45">SQRT(POWER(M338-$M$12,2)+POWER(N338-$N$12,2))</f>
        <v>0.43387671059875982</v>
      </c>
      <c r="S338" s="83"/>
      <c r="T338" s="83"/>
      <c r="U338" s="101">
        <f t="shared" ref="U338:U401" si="46">(-449*((M338-0.332)/(N338-0.1858))^3)+(3525*((M338-0.332)/(N338-0.1858))^2)+(-6823.3*(M338-0.332)/(N338-0.1858))+5520.33</f>
        <v>2021.2824107652905</v>
      </c>
      <c r="V338" s="45"/>
      <c r="W338" s="45"/>
      <c r="X338" s="45"/>
      <c r="Y338" s="45"/>
      <c r="Z338" s="45"/>
      <c r="AA338" s="45"/>
    </row>
    <row r="339" spans="2:27" x14ac:dyDescent="0.45">
      <c r="B339" s="45" t="s">
        <v>723</v>
      </c>
      <c r="C339" s="90"/>
      <c r="D339" s="56"/>
      <c r="E339" s="80"/>
      <c r="F339" s="58"/>
      <c r="G339" s="58"/>
      <c r="H339" s="58"/>
      <c r="I339" s="58"/>
      <c r="J339" s="58"/>
      <c r="K339" s="58"/>
      <c r="L339" s="59">
        <f t="shared" si="43"/>
        <v>0</v>
      </c>
      <c r="M339" s="68"/>
      <c r="N339" s="68"/>
      <c r="O339" s="68"/>
      <c r="P339" s="68"/>
      <c r="Q339" s="99" t="e">
        <f t="shared" si="44"/>
        <v>#DIV/0!</v>
      </c>
      <c r="R339" s="100">
        <f t="shared" si="45"/>
        <v>0.43387671059875982</v>
      </c>
      <c r="S339" s="83"/>
      <c r="T339" s="83"/>
      <c r="U339" s="101">
        <f t="shared" si="46"/>
        <v>2021.2824107652905</v>
      </c>
      <c r="V339" s="45"/>
      <c r="W339" s="45"/>
      <c r="X339" s="45"/>
      <c r="Y339" s="45"/>
      <c r="Z339" s="45"/>
      <c r="AA339" s="45"/>
    </row>
    <row r="340" spans="2:27" x14ac:dyDescent="0.45">
      <c r="B340" s="45" t="s">
        <v>724</v>
      </c>
      <c r="C340" s="90"/>
      <c r="D340" s="56"/>
      <c r="E340" s="84"/>
      <c r="F340" s="58"/>
      <c r="G340" s="58"/>
      <c r="H340" s="58"/>
      <c r="I340" s="58"/>
      <c r="J340" s="58"/>
      <c r="K340" s="58"/>
      <c r="L340" s="59">
        <f t="shared" si="43"/>
        <v>0</v>
      </c>
      <c r="M340" s="68"/>
      <c r="N340" s="68"/>
      <c r="O340" s="68"/>
      <c r="P340" s="68"/>
      <c r="Q340" s="99" t="e">
        <f t="shared" si="44"/>
        <v>#DIV/0!</v>
      </c>
      <c r="R340" s="100">
        <f t="shared" si="45"/>
        <v>0.43387671059875982</v>
      </c>
      <c r="S340" s="83"/>
      <c r="T340" s="83"/>
      <c r="U340" s="101">
        <f t="shared" si="46"/>
        <v>2021.2824107652905</v>
      </c>
      <c r="V340" s="45"/>
      <c r="W340" s="45"/>
      <c r="X340" s="45"/>
      <c r="Y340" s="45"/>
      <c r="Z340" s="45"/>
      <c r="AA340" s="45"/>
    </row>
    <row r="341" spans="2:27" x14ac:dyDescent="0.45">
      <c r="B341" s="45" t="s">
        <v>725</v>
      </c>
      <c r="C341" s="90"/>
      <c r="D341" s="56"/>
      <c r="E341" s="57"/>
      <c r="F341" s="58"/>
      <c r="G341" s="58"/>
      <c r="H341" s="58"/>
      <c r="I341" s="58"/>
      <c r="J341" s="58"/>
      <c r="K341" s="58"/>
      <c r="L341" s="59">
        <f t="shared" si="43"/>
        <v>0</v>
      </c>
      <c r="M341" s="68"/>
      <c r="N341" s="68"/>
      <c r="O341" s="68"/>
      <c r="P341" s="68"/>
      <c r="Q341" s="99" t="e">
        <f t="shared" si="44"/>
        <v>#DIV/0!</v>
      </c>
      <c r="R341" s="100">
        <f t="shared" si="45"/>
        <v>0.43387671059875982</v>
      </c>
      <c r="S341" s="83"/>
      <c r="T341" s="83"/>
      <c r="U341" s="101">
        <f t="shared" si="46"/>
        <v>2021.2824107652905</v>
      </c>
      <c r="V341" s="45"/>
      <c r="W341" s="45"/>
      <c r="X341" s="45"/>
      <c r="Y341" s="45"/>
      <c r="Z341" s="45"/>
      <c r="AA341" s="45"/>
    </row>
    <row r="342" spans="2:27" x14ac:dyDescent="0.45">
      <c r="B342" s="45" t="s">
        <v>726</v>
      </c>
      <c r="C342" s="90"/>
      <c r="D342" s="56"/>
      <c r="E342" s="80"/>
      <c r="F342" s="58"/>
      <c r="G342" s="58"/>
      <c r="H342" s="58"/>
      <c r="I342" s="58"/>
      <c r="J342" s="58"/>
      <c r="K342" s="58"/>
      <c r="L342" s="59">
        <f t="shared" si="43"/>
        <v>0</v>
      </c>
      <c r="M342" s="68"/>
      <c r="N342" s="68"/>
      <c r="O342" s="68"/>
      <c r="P342" s="68"/>
      <c r="Q342" s="99" t="e">
        <f t="shared" si="44"/>
        <v>#DIV/0!</v>
      </c>
      <c r="R342" s="100">
        <f t="shared" si="45"/>
        <v>0.43387671059875982</v>
      </c>
      <c r="S342" s="83"/>
      <c r="T342" s="83"/>
      <c r="U342" s="101">
        <f t="shared" si="46"/>
        <v>2021.2824107652905</v>
      </c>
      <c r="V342" s="45"/>
      <c r="W342" s="45"/>
      <c r="X342" s="45"/>
      <c r="Y342" s="45"/>
      <c r="Z342" s="45"/>
      <c r="AA342" s="45"/>
    </row>
    <row r="343" spans="2:27" x14ac:dyDescent="0.45">
      <c r="B343" s="45" t="s">
        <v>149</v>
      </c>
      <c r="C343" s="90"/>
      <c r="D343" s="56"/>
      <c r="E343" s="84"/>
      <c r="F343" s="58"/>
      <c r="G343" s="58"/>
      <c r="H343" s="58"/>
      <c r="I343" s="58"/>
      <c r="J343" s="58"/>
      <c r="K343" s="58"/>
      <c r="L343" s="59">
        <f t="shared" si="43"/>
        <v>0</v>
      </c>
      <c r="M343" s="68"/>
      <c r="N343" s="68"/>
      <c r="O343" s="68"/>
      <c r="P343" s="68"/>
      <c r="Q343" s="99" t="e">
        <f t="shared" si="44"/>
        <v>#DIV/0!</v>
      </c>
      <c r="R343" s="100">
        <f t="shared" si="45"/>
        <v>0.43387671059875982</v>
      </c>
      <c r="S343" s="83"/>
      <c r="T343" s="83"/>
      <c r="U343" s="101">
        <f t="shared" si="46"/>
        <v>2021.2824107652905</v>
      </c>
      <c r="V343" s="45"/>
      <c r="W343" s="45"/>
      <c r="X343" s="45"/>
      <c r="Y343" s="45"/>
      <c r="Z343" s="45"/>
      <c r="AA343" s="45"/>
    </row>
    <row r="344" spans="2:27" x14ac:dyDescent="0.45">
      <c r="B344" s="45" t="s">
        <v>150</v>
      </c>
      <c r="C344" s="90"/>
      <c r="D344" s="56"/>
      <c r="E344" s="57"/>
      <c r="F344" s="58"/>
      <c r="G344" s="58"/>
      <c r="H344" s="58"/>
      <c r="I344" s="58"/>
      <c r="J344" s="58"/>
      <c r="K344" s="58"/>
      <c r="L344" s="59">
        <f t="shared" si="43"/>
        <v>0</v>
      </c>
      <c r="M344" s="68"/>
      <c r="N344" s="68"/>
      <c r="O344" s="68"/>
      <c r="P344" s="68"/>
      <c r="Q344" s="99" t="e">
        <f t="shared" si="44"/>
        <v>#DIV/0!</v>
      </c>
      <c r="R344" s="100">
        <f t="shared" si="45"/>
        <v>0.43387671059875982</v>
      </c>
      <c r="S344" s="83"/>
      <c r="T344" s="83"/>
      <c r="U344" s="101">
        <f t="shared" si="46"/>
        <v>2021.2824107652905</v>
      </c>
      <c r="V344" s="45"/>
      <c r="W344" s="45"/>
      <c r="X344" s="45"/>
      <c r="Y344" s="45"/>
      <c r="Z344" s="45"/>
      <c r="AA344" s="45"/>
    </row>
    <row r="345" spans="2:27" x14ac:dyDescent="0.45">
      <c r="B345" s="45" t="s">
        <v>151</v>
      </c>
      <c r="C345" s="90"/>
      <c r="D345" s="56"/>
      <c r="E345" s="80"/>
      <c r="F345" s="58"/>
      <c r="G345" s="58"/>
      <c r="H345" s="58"/>
      <c r="I345" s="58"/>
      <c r="J345" s="58"/>
      <c r="K345" s="58"/>
      <c r="L345" s="59">
        <f t="shared" si="43"/>
        <v>0</v>
      </c>
      <c r="M345" s="68"/>
      <c r="N345" s="68"/>
      <c r="O345" s="68"/>
      <c r="P345" s="68"/>
      <c r="Q345" s="99" t="e">
        <f t="shared" si="44"/>
        <v>#DIV/0!</v>
      </c>
      <c r="R345" s="100">
        <f t="shared" si="45"/>
        <v>0.43387671059875982</v>
      </c>
      <c r="S345" s="83"/>
      <c r="T345" s="83"/>
      <c r="U345" s="101">
        <f t="shared" si="46"/>
        <v>2021.2824107652905</v>
      </c>
      <c r="V345" s="45"/>
      <c r="W345" s="45"/>
      <c r="X345" s="45"/>
      <c r="Y345" s="45"/>
      <c r="Z345" s="45"/>
      <c r="AA345" s="45"/>
    </row>
    <row r="346" spans="2:27" x14ac:dyDescent="0.45">
      <c r="B346" s="45" t="s">
        <v>152</v>
      </c>
      <c r="C346" s="90"/>
      <c r="D346" s="56"/>
      <c r="E346" s="84"/>
      <c r="F346" s="58"/>
      <c r="G346" s="58"/>
      <c r="H346" s="58"/>
      <c r="I346" s="58"/>
      <c r="J346" s="58"/>
      <c r="K346" s="58"/>
      <c r="L346" s="59">
        <f t="shared" si="43"/>
        <v>0</v>
      </c>
      <c r="M346" s="68"/>
      <c r="N346" s="68"/>
      <c r="O346" s="68"/>
      <c r="P346" s="68"/>
      <c r="Q346" s="99" t="e">
        <f t="shared" si="44"/>
        <v>#DIV/0!</v>
      </c>
      <c r="R346" s="100">
        <f t="shared" si="45"/>
        <v>0.43387671059875982</v>
      </c>
      <c r="S346" s="83"/>
      <c r="T346" s="83"/>
      <c r="U346" s="101">
        <f t="shared" si="46"/>
        <v>2021.2824107652905</v>
      </c>
      <c r="V346" s="45"/>
      <c r="W346" s="45"/>
      <c r="X346" s="45"/>
      <c r="Y346" s="45"/>
      <c r="Z346" s="45"/>
      <c r="AA346" s="45"/>
    </row>
    <row r="347" spans="2:27" x14ac:dyDescent="0.45">
      <c r="B347" s="45" t="s">
        <v>153</v>
      </c>
      <c r="C347" s="90"/>
      <c r="D347" s="56"/>
      <c r="E347" s="57"/>
      <c r="F347" s="58"/>
      <c r="G347" s="58"/>
      <c r="H347" s="58"/>
      <c r="I347" s="58"/>
      <c r="J347" s="58"/>
      <c r="K347" s="58"/>
      <c r="L347" s="59">
        <f t="shared" si="43"/>
        <v>0</v>
      </c>
      <c r="M347" s="68"/>
      <c r="N347" s="68"/>
      <c r="O347" s="68"/>
      <c r="P347" s="68"/>
      <c r="Q347" s="99" t="e">
        <f t="shared" si="44"/>
        <v>#DIV/0!</v>
      </c>
      <c r="R347" s="100">
        <f t="shared" si="45"/>
        <v>0.43387671059875982</v>
      </c>
      <c r="S347" s="83"/>
      <c r="T347" s="83"/>
      <c r="U347" s="101">
        <f t="shared" si="46"/>
        <v>2021.2824107652905</v>
      </c>
      <c r="V347" s="45"/>
      <c r="W347" s="45"/>
      <c r="X347" s="45"/>
      <c r="Y347" s="45"/>
      <c r="Z347" s="45"/>
      <c r="AA347" s="45"/>
    </row>
    <row r="348" spans="2:27" x14ac:dyDescent="0.45">
      <c r="B348" s="45" t="s">
        <v>154</v>
      </c>
      <c r="C348" s="90"/>
      <c r="D348" s="56"/>
      <c r="E348" s="80"/>
      <c r="F348" s="58"/>
      <c r="G348" s="58"/>
      <c r="H348" s="58"/>
      <c r="I348" s="58"/>
      <c r="J348" s="58"/>
      <c r="K348" s="58"/>
      <c r="L348" s="59">
        <f t="shared" si="43"/>
        <v>0</v>
      </c>
      <c r="M348" s="68"/>
      <c r="N348" s="68"/>
      <c r="O348" s="68"/>
      <c r="P348" s="68"/>
      <c r="Q348" s="99" t="e">
        <f t="shared" si="44"/>
        <v>#DIV/0!</v>
      </c>
      <c r="R348" s="100">
        <f t="shared" si="45"/>
        <v>0.43387671059875982</v>
      </c>
      <c r="S348" s="83"/>
      <c r="T348" s="83"/>
      <c r="U348" s="101">
        <f t="shared" si="46"/>
        <v>2021.2824107652905</v>
      </c>
      <c r="V348" s="45"/>
      <c r="W348" s="45"/>
      <c r="X348" s="45"/>
      <c r="Y348" s="45"/>
      <c r="Z348" s="45"/>
      <c r="AA348" s="45"/>
    </row>
    <row r="349" spans="2:27" x14ac:dyDescent="0.45">
      <c r="B349" s="45" t="s">
        <v>155</v>
      </c>
      <c r="C349" s="90"/>
      <c r="D349" s="56"/>
      <c r="E349" s="84"/>
      <c r="F349" s="58"/>
      <c r="G349" s="58"/>
      <c r="H349" s="58"/>
      <c r="I349" s="58"/>
      <c r="J349" s="58"/>
      <c r="K349" s="58"/>
      <c r="L349" s="59">
        <f t="shared" si="43"/>
        <v>0</v>
      </c>
      <c r="M349" s="68"/>
      <c r="N349" s="68"/>
      <c r="O349" s="68"/>
      <c r="P349" s="68"/>
      <c r="Q349" s="99" t="e">
        <f t="shared" si="44"/>
        <v>#DIV/0!</v>
      </c>
      <c r="R349" s="100">
        <f t="shared" si="45"/>
        <v>0.43387671059875982</v>
      </c>
      <c r="S349" s="83"/>
      <c r="T349" s="83"/>
      <c r="U349" s="101">
        <f t="shared" si="46"/>
        <v>2021.2824107652905</v>
      </c>
      <c r="V349" s="45"/>
      <c r="W349" s="45"/>
      <c r="X349" s="45"/>
      <c r="Y349" s="45"/>
      <c r="Z349" s="45"/>
      <c r="AA349" s="45"/>
    </row>
    <row r="350" spans="2:27" x14ac:dyDescent="0.45">
      <c r="B350" s="45" t="s">
        <v>156</v>
      </c>
      <c r="C350" s="90"/>
      <c r="D350" s="56"/>
      <c r="E350" s="57"/>
      <c r="F350" s="58"/>
      <c r="G350" s="58"/>
      <c r="H350" s="58"/>
      <c r="I350" s="58"/>
      <c r="J350" s="58"/>
      <c r="K350" s="58"/>
      <c r="L350" s="59">
        <f t="shared" si="43"/>
        <v>0</v>
      </c>
      <c r="M350" s="68"/>
      <c r="N350" s="68"/>
      <c r="O350" s="68"/>
      <c r="P350" s="68"/>
      <c r="Q350" s="99" t="e">
        <f t="shared" si="44"/>
        <v>#DIV/0!</v>
      </c>
      <c r="R350" s="100">
        <f t="shared" si="45"/>
        <v>0.43387671059875982</v>
      </c>
      <c r="S350" s="83"/>
      <c r="T350" s="83"/>
      <c r="U350" s="101">
        <f t="shared" si="46"/>
        <v>2021.2824107652905</v>
      </c>
      <c r="V350" s="45"/>
      <c r="W350" s="45"/>
      <c r="X350" s="45"/>
      <c r="Y350" s="45"/>
      <c r="Z350" s="45"/>
      <c r="AA350" s="45"/>
    </row>
    <row r="351" spans="2:27" x14ac:dyDescent="0.45">
      <c r="B351" s="45" t="s">
        <v>157</v>
      </c>
      <c r="C351" s="90"/>
      <c r="D351" s="56"/>
      <c r="E351" s="80"/>
      <c r="F351" s="58"/>
      <c r="G351" s="58"/>
      <c r="H351" s="58"/>
      <c r="I351" s="58"/>
      <c r="J351" s="58"/>
      <c r="K351" s="58"/>
      <c r="L351" s="59">
        <f t="shared" si="43"/>
        <v>0</v>
      </c>
      <c r="M351" s="68"/>
      <c r="N351" s="68"/>
      <c r="O351" s="68"/>
      <c r="P351" s="68"/>
      <c r="Q351" s="99" t="e">
        <f t="shared" si="44"/>
        <v>#DIV/0!</v>
      </c>
      <c r="R351" s="100">
        <f t="shared" si="45"/>
        <v>0.43387671059875982</v>
      </c>
      <c r="S351" s="83"/>
      <c r="T351" s="83"/>
      <c r="U351" s="101">
        <f t="shared" si="46"/>
        <v>2021.2824107652905</v>
      </c>
      <c r="V351" s="45"/>
      <c r="W351" s="45"/>
      <c r="X351" s="45"/>
      <c r="Y351" s="45"/>
      <c r="Z351" s="45"/>
      <c r="AA351" s="45"/>
    </row>
    <row r="352" spans="2:27" x14ac:dyDescent="0.45">
      <c r="B352" s="45" t="s">
        <v>158</v>
      </c>
      <c r="C352" s="90"/>
      <c r="D352" s="56"/>
      <c r="E352" s="84"/>
      <c r="F352" s="58"/>
      <c r="G352" s="58"/>
      <c r="H352" s="58"/>
      <c r="I352" s="58"/>
      <c r="J352" s="58"/>
      <c r="K352" s="58"/>
      <c r="L352" s="59">
        <f t="shared" si="43"/>
        <v>0</v>
      </c>
      <c r="M352" s="68"/>
      <c r="N352" s="68"/>
      <c r="O352" s="68"/>
      <c r="P352" s="68"/>
      <c r="Q352" s="99" t="e">
        <f t="shared" si="44"/>
        <v>#DIV/0!</v>
      </c>
      <c r="R352" s="100">
        <f t="shared" si="45"/>
        <v>0.43387671059875982</v>
      </c>
      <c r="S352" s="83"/>
      <c r="T352" s="83"/>
      <c r="U352" s="101">
        <f t="shared" si="46"/>
        <v>2021.2824107652905</v>
      </c>
      <c r="V352" s="45"/>
      <c r="W352" s="45"/>
      <c r="X352" s="45"/>
      <c r="Y352" s="45"/>
      <c r="Z352" s="45"/>
      <c r="AA352" s="45"/>
    </row>
    <row r="353" spans="2:27" x14ac:dyDescent="0.45">
      <c r="B353" s="45" t="s">
        <v>159</v>
      </c>
      <c r="C353" s="90"/>
      <c r="D353" s="56"/>
      <c r="E353" s="57"/>
      <c r="F353" s="58"/>
      <c r="G353" s="58"/>
      <c r="H353" s="58"/>
      <c r="I353" s="58"/>
      <c r="J353" s="58"/>
      <c r="K353" s="58"/>
      <c r="L353" s="59">
        <f t="shared" si="43"/>
        <v>0</v>
      </c>
      <c r="M353" s="68"/>
      <c r="N353" s="68"/>
      <c r="O353" s="68"/>
      <c r="P353" s="68"/>
      <c r="Q353" s="99" t="e">
        <f t="shared" si="44"/>
        <v>#DIV/0!</v>
      </c>
      <c r="R353" s="100">
        <f t="shared" si="45"/>
        <v>0.43387671059875982</v>
      </c>
      <c r="S353" s="83"/>
      <c r="T353" s="83"/>
      <c r="U353" s="101">
        <f t="shared" si="46"/>
        <v>2021.2824107652905</v>
      </c>
      <c r="V353" s="45"/>
      <c r="W353" s="45"/>
      <c r="X353" s="45"/>
      <c r="Y353" s="45"/>
      <c r="Z353" s="45"/>
      <c r="AA353" s="45"/>
    </row>
    <row r="354" spans="2:27" x14ac:dyDescent="0.45">
      <c r="B354" s="45" t="s">
        <v>160</v>
      </c>
      <c r="C354" s="90"/>
      <c r="D354" s="56"/>
      <c r="E354" s="80"/>
      <c r="F354" s="58"/>
      <c r="G354" s="58"/>
      <c r="H354" s="58"/>
      <c r="I354" s="58"/>
      <c r="J354" s="58"/>
      <c r="K354" s="58"/>
      <c r="L354" s="59">
        <f t="shared" si="43"/>
        <v>0</v>
      </c>
      <c r="M354" s="68"/>
      <c r="N354" s="68"/>
      <c r="O354" s="68"/>
      <c r="P354" s="68"/>
      <c r="Q354" s="99" t="e">
        <f t="shared" si="44"/>
        <v>#DIV/0!</v>
      </c>
      <c r="R354" s="100">
        <f t="shared" si="45"/>
        <v>0.43387671059875982</v>
      </c>
      <c r="S354" s="83"/>
      <c r="T354" s="83"/>
      <c r="U354" s="101">
        <f t="shared" si="46"/>
        <v>2021.2824107652905</v>
      </c>
      <c r="V354" s="45"/>
      <c r="W354" s="45"/>
      <c r="X354" s="45"/>
      <c r="Y354" s="45"/>
      <c r="Z354" s="45"/>
      <c r="AA354" s="45"/>
    </row>
    <row r="355" spans="2:27" x14ac:dyDescent="0.45">
      <c r="B355" s="45" t="s">
        <v>161</v>
      </c>
      <c r="C355" s="90"/>
      <c r="D355" s="56"/>
      <c r="E355" s="84"/>
      <c r="F355" s="58"/>
      <c r="G355" s="58"/>
      <c r="H355" s="58"/>
      <c r="I355" s="58"/>
      <c r="J355" s="58"/>
      <c r="K355" s="58"/>
      <c r="L355" s="59">
        <f t="shared" si="43"/>
        <v>0</v>
      </c>
      <c r="M355" s="68"/>
      <c r="N355" s="68"/>
      <c r="O355" s="68"/>
      <c r="P355" s="68"/>
      <c r="Q355" s="99" t="e">
        <f t="shared" si="44"/>
        <v>#DIV/0!</v>
      </c>
      <c r="R355" s="100">
        <f t="shared" si="45"/>
        <v>0.43387671059875982</v>
      </c>
      <c r="S355" s="83"/>
      <c r="T355" s="83"/>
      <c r="U355" s="101">
        <f t="shared" si="46"/>
        <v>2021.2824107652905</v>
      </c>
      <c r="V355" s="45"/>
      <c r="W355" s="45"/>
      <c r="X355" s="45"/>
      <c r="Y355" s="45"/>
      <c r="Z355" s="45"/>
      <c r="AA355" s="45"/>
    </row>
    <row r="356" spans="2:27" x14ac:dyDescent="0.45">
      <c r="B356" s="45" t="s">
        <v>162</v>
      </c>
      <c r="C356" s="90"/>
      <c r="D356" s="56"/>
      <c r="E356" s="57"/>
      <c r="F356" s="58"/>
      <c r="G356" s="58"/>
      <c r="H356" s="58"/>
      <c r="I356" s="58"/>
      <c r="J356" s="58"/>
      <c r="K356" s="58"/>
      <c r="L356" s="59">
        <f t="shared" si="43"/>
        <v>0</v>
      </c>
      <c r="M356" s="68"/>
      <c r="N356" s="68"/>
      <c r="O356" s="68"/>
      <c r="P356" s="68"/>
      <c r="Q356" s="99" t="e">
        <f t="shared" si="44"/>
        <v>#DIV/0!</v>
      </c>
      <c r="R356" s="100">
        <f t="shared" si="45"/>
        <v>0.43387671059875982</v>
      </c>
      <c r="S356" s="83"/>
      <c r="T356" s="83"/>
      <c r="U356" s="101">
        <f t="shared" si="46"/>
        <v>2021.2824107652905</v>
      </c>
      <c r="V356" s="45"/>
      <c r="W356" s="45"/>
      <c r="X356" s="45"/>
      <c r="Y356" s="45"/>
      <c r="Z356" s="45"/>
      <c r="AA356" s="45"/>
    </row>
    <row r="357" spans="2:27" x14ac:dyDescent="0.45">
      <c r="B357" s="45" t="s">
        <v>163</v>
      </c>
      <c r="C357" s="90"/>
      <c r="D357" s="56"/>
      <c r="E357" s="80"/>
      <c r="F357" s="58"/>
      <c r="G357" s="58"/>
      <c r="H357" s="58"/>
      <c r="I357" s="58"/>
      <c r="J357" s="58"/>
      <c r="K357" s="58"/>
      <c r="L357" s="59">
        <f t="shared" si="43"/>
        <v>0</v>
      </c>
      <c r="M357" s="68"/>
      <c r="N357" s="68"/>
      <c r="O357" s="68"/>
      <c r="P357" s="68"/>
      <c r="Q357" s="99" t="e">
        <f t="shared" si="44"/>
        <v>#DIV/0!</v>
      </c>
      <c r="R357" s="100">
        <f t="shared" si="45"/>
        <v>0.43387671059875982</v>
      </c>
      <c r="S357" s="83"/>
      <c r="T357" s="83"/>
      <c r="U357" s="101">
        <f t="shared" si="46"/>
        <v>2021.2824107652905</v>
      </c>
      <c r="V357" s="45"/>
      <c r="W357" s="45"/>
      <c r="X357" s="45"/>
      <c r="Y357" s="45"/>
      <c r="Z357" s="45"/>
      <c r="AA357" s="45"/>
    </row>
    <row r="358" spans="2:27" x14ac:dyDescent="0.45">
      <c r="B358" s="45" t="s">
        <v>164</v>
      </c>
      <c r="C358" s="90"/>
      <c r="D358" s="56"/>
      <c r="E358" s="84"/>
      <c r="F358" s="58"/>
      <c r="G358" s="58"/>
      <c r="H358" s="58"/>
      <c r="I358" s="58"/>
      <c r="J358" s="58"/>
      <c r="K358" s="58"/>
      <c r="L358" s="59">
        <f t="shared" si="43"/>
        <v>0</v>
      </c>
      <c r="M358" s="68"/>
      <c r="N358" s="68"/>
      <c r="O358" s="68"/>
      <c r="P358" s="68"/>
      <c r="Q358" s="99" t="e">
        <f t="shared" si="44"/>
        <v>#DIV/0!</v>
      </c>
      <c r="R358" s="100">
        <f t="shared" si="45"/>
        <v>0.43387671059875982</v>
      </c>
      <c r="S358" s="83"/>
      <c r="T358" s="83"/>
      <c r="U358" s="101">
        <f t="shared" si="46"/>
        <v>2021.2824107652905</v>
      </c>
      <c r="V358" s="45"/>
      <c r="W358" s="45"/>
      <c r="X358" s="45"/>
      <c r="Y358" s="45"/>
      <c r="Z358" s="45"/>
      <c r="AA358" s="45"/>
    </row>
    <row r="359" spans="2:27" x14ac:dyDescent="0.45">
      <c r="B359" s="45" t="s">
        <v>165</v>
      </c>
      <c r="C359" s="90"/>
      <c r="D359" s="56"/>
      <c r="E359" s="57"/>
      <c r="F359" s="58"/>
      <c r="G359" s="58"/>
      <c r="H359" s="58"/>
      <c r="I359" s="58"/>
      <c r="J359" s="58"/>
      <c r="K359" s="58"/>
      <c r="L359" s="59">
        <f t="shared" si="43"/>
        <v>0</v>
      </c>
      <c r="M359" s="68"/>
      <c r="N359" s="68"/>
      <c r="O359" s="68"/>
      <c r="P359" s="68"/>
      <c r="Q359" s="99" t="e">
        <f t="shared" si="44"/>
        <v>#DIV/0!</v>
      </c>
      <c r="R359" s="100">
        <f t="shared" si="45"/>
        <v>0.43387671059875982</v>
      </c>
      <c r="S359" s="83"/>
      <c r="T359" s="83"/>
      <c r="U359" s="101">
        <f t="shared" si="46"/>
        <v>2021.2824107652905</v>
      </c>
      <c r="V359" s="45"/>
      <c r="W359" s="45"/>
      <c r="X359" s="45"/>
      <c r="Y359" s="45"/>
      <c r="Z359" s="45"/>
      <c r="AA359" s="45"/>
    </row>
    <row r="360" spans="2:27" x14ac:dyDescent="0.45">
      <c r="B360" s="45" t="s">
        <v>166</v>
      </c>
      <c r="C360" s="90"/>
      <c r="D360" s="56"/>
      <c r="E360" s="80"/>
      <c r="F360" s="58"/>
      <c r="G360" s="58"/>
      <c r="H360" s="58"/>
      <c r="I360" s="58"/>
      <c r="J360" s="58"/>
      <c r="K360" s="58"/>
      <c r="L360" s="59">
        <f t="shared" si="43"/>
        <v>0</v>
      </c>
      <c r="M360" s="68"/>
      <c r="N360" s="68"/>
      <c r="O360" s="68"/>
      <c r="P360" s="68"/>
      <c r="Q360" s="99" t="e">
        <f t="shared" si="44"/>
        <v>#DIV/0!</v>
      </c>
      <c r="R360" s="100">
        <f t="shared" si="45"/>
        <v>0.43387671059875982</v>
      </c>
      <c r="S360" s="83"/>
      <c r="T360" s="83"/>
      <c r="U360" s="101">
        <f t="shared" si="46"/>
        <v>2021.2824107652905</v>
      </c>
      <c r="V360" s="45"/>
      <c r="W360" s="45"/>
      <c r="X360" s="45"/>
      <c r="Y360" s="45"/>
      <c r="Z360" s="45"/>
      <c r="AA360" s="45"/>
    </row>
    <row r="361" spans="2:27" x14ac:dyDescent="0.45">
      <c r="B361" s="45" t="s">
        <v>167</v>
      </c>
      <c r="C361" s="90"/>
      <c r="D361" s="56"/>
      <c r="E361" s="84"/>
      <c r="F361" s="58"/>
      <c r="G361" s="58"/>
      <c r="H361" s="58"/>
      <c r="I361" s="58"/>
      <c r="J361" s="58"/>
      <c r="K361" s="58"/>
      <c r="L361" s="59">
        <f t="shared" si="43"/>
        <v>0</v>
      </c>
      <c r="M361" s="68"/>
      <c r="N361" s="68"/>
      <c r="O361" s="68"/>
      <c r="P361" s="68"/>
      <c r="Q361" s="99" t="e">
        <f t="shared" si="44"/>
        <v>#DIV/0!</v>
      </c>
      <c r="R361" s="100">
        <f t="shared" si="45"/>
        <v>0.43387671059875982</v>
      </c>
      <c r="S361" s="83"/>
      <c r="T361" s="83"/>
      <c r="U361" s="101">
        <f t="shared" si="46"/>
        <v>2021.2824107652905</v>
      </c>
      <c r="V361" s="45"/>
      <c r="W361" s="45"/>
      <c r="X361" s="45"/>
      <c r="Y361" s="45"/>
      <c r="Z361" s="45"/>
      <c r="AA361" s="45"/>
    </row>
    <row r="362" spans="2:27" x14ac:dyDescent="0.45">
      <c r="B362" s="45" t="s">
        <v>168</v>
      </c>
      <c r="C362" s="90"/>
      <c r="D362" s="56"/>
      <c r="E362" s="57"/>
      <c r="F362" s="58"/>
      <c r="G362" s="58"/>
      <c r="H362" s="58"/>
      <c r="I362" s="58"/>
      <c r="J362" s="58"/>
      <c r="K362" s="58"/>
      <c r="L362" s="59">
        <f t="shared" si="43"/>
        <v>0</v>
      </c>
      <c r="M362" s="68"/>
      <c r="N362" s="68"/>
      <c r="O362" s="68"/>
      <c r="P362" s="68"/>
      <c r="Q362" s="99" t="e">
        <f t="shared" si="44"/>
        <v>#DIV/0!</v>
      </c>
      <c r="R362" s="100">
        <f t="shared" si="45"/>
        <v>0.43387671059875982</v>
      </c>
      <c r="S362" s="83"/>
      <c r="T362" s="83"/>
      <c r="U362" s="101">
        <f t="shared" si="46"/>
        <v>2021.2824107652905</v>
      </c>
      <c r="V362" s="45"/>
      <c r="W362" s="45"/>
      <c r="X362" s="45"/>
      <c r="Y362" s="45"/>
      <c r="Z362" s="45"/>
      <c r="AA362" s="45"/>
    </row>
    <row r="363" spans="2:27" x14ac:dyDescent="0.45">
      <c r="B363" s="45" t="s">
        <v>169</v>
      </c>
      <c r="C363" s="90"/>
      <c r="D363" s="56"/>
      <c r="E363" s="80"/>
      <c r="F363" s="58"/>
      <c r="G363" s="58"/>
      <c r="H363" s="58"/>
      <c r="I363" s="58"/>
      <c r="J363" s="58"/>
      <c r="K363" s="58"/>
      <c r="L363" s="59">
        <f t="shared" si="43"/>
        <v>0</v>
      </c>
      <c r="M363" s="68"/>
      <c r="N363" s="68"/>
      <c r="O363" s="68"/>
      <c r="P363" s="68"/>
      <c r="Q363" s="99" t="e">
        <f t="shared" si="44"/>
        <v>#DIV/0!</v>
      </c>
      <c r="R363" s="100">
        <f t="shared" si="45"/>
        <v>0.43387671059875982</v>
      </c>
      <c r="S363" s="83"/>
      <c r="T363" s="83"/>
      <c r="U363" s="101">
        <f t="shared" si="46"/>
        <v>2021.2824107652905</v>
      </c>
      <c r="V363" s="45"/>
      <c r="W363" s="45"/>
      <c r="X363" s="45"/>
      <c r="Y363" s="45"/>
      <c r="Z363" s="45"/>
      <c r="AA363" s="45"/>
    </row>
    <row r="364" spans="2:27" x14ac:dyDescent="0.45">
      <c r="B364" s="45" t="s">
        <v>170</v>
      </c>
      <c r="C364" s="90"/>
      <c r="D364" s="56"/>
      <c r="E364" s="84"/>
      <c r="F364" s="58"/>
      <c r="G364" s="58"/>
      <c r="H364" s="58"/>
      <c r="I364" s="58"/>
      <c r="J364" s="58"/>
      <c r="K364" s="58"/>
      <c r="L364" s="59">
        <f t="shared" si="43"/>
        <v>0</v>
      </c>
      <c r="M364" s="68"/>
      <c r="N364" s="68"/>
      <c r="O364" s="68"/>
      <c r="P364" s="68"/>
      <c r="Q364" s="99" t="e">
        <f t="shared" si="44"/>
        <v>#DIV/0!</v>
      </c>
      <c r="R364" s="100">
        <f t="shared" si="45"/>
        <v>0.43387671059875982</v>
      </c>
      <c r="S364" s="83"/>
      <c r="T364" s="83"/>
      <c r="U364" s="101">
        <f t="shared" si="46"/>
        <v>2021.2824107652905</v>
      </c>
      <c r="V364" s="45"/>
      <c r="W364" s="45"/>
      <c r="X364" s="45"/>
      <c r="Y364" s="45"/>
      <c r="Z364" s="45"/>
      <c r="AA364" s="45"/>
    </row>
    <row r="365" spans="2:27" x14ac:dyDescent="0.45">
      <c r="B365" s="45" t="s">
        <v>171</v>
      </c>
      <c r="C365" s="90"/>
      <c r="D365" s="56"/>
      <c r="E365" s="57"/>
      <c r="F365" s="58"/>
      <c r="G365" s="58"/>
      <c r="H365" s="58"/>
      <c r="I365" s="58"/>
      <c r="J365" s="58"/>
      <c r="K365" s="58"/>
      <c r="L365" s="59">
        <f t="shared" si="43"/>
        <v>0</v>
      </c>
      <c r="M365" s="68"/>
      <c r="N365" s="68"/>
      <c r="O365" s="68"/>
      <c r="P365" s="68"/>
      <c r="Q365" s="99" t="e">
        <f t="shared" si="44"/>
        <v>#DIV/0!</v>
      </c>
      <c r="R365" s="100">
        <f t="shared" si="45"/>
        <v>0.43387671059875982</v>
      </c>
      <c r="S365" s="83"/>
      <c r="T365" s="83"/>
      <c r="U365" s="101">
        <f t="shared" si="46"/>
        <v>2021.2824107652905</v>
      </c>
      <c r="V365" s="45"/>
      <c r="W365" s="45"/>
      <c r="X365" s="45"/>
      <c r="Y365" s="45"/>
      <c r="Z365" s="45"/>
      <c r="AA365" s="45"/>
    </row>
    <row r="366" spans="2:27" x14ac:dyDescent="0.45">
      <c r="B366" s="45" t="s">
        <v>172</v>
      </c>
      <c r="C366" s="90"/>
      <c r="D366" s="56"/>
      <c r="E366" s="80"/>
      <c r="F366" s="58"/>
      <c r="G366" s="58"/>
      <c r="H366" s="58"/>
      <c r="I366" s="58"/>
      <c r="J366" s="58"/>
      <c r="K366" s="58"/>
      <c r="L366" s="59">
        <f t="shared" si="43"/>
        <v>0</v>
      </c>
      <c r="M366" s="68"/>
      <c r="N366" s="68"/>
      <c r="O366" s="68"/>
      <c r="P366" s="68"/>
      <c r="Q366" s="99" t="e">
        <f t="shared" si="44"/>
        <v>#DIV/0!</v>
      </c>
      <c r="R366" s="100">
        <f t="shared" si="45"/>
        <v>0.43387671059875982</v>
      </c>
      <c r="S366" s="83"/>
      <c r="T366" s="83"/>
      <c r="U366" s="101">
        <f t="shared" si="46"/>
        <v>2021.2824107652905</v>
      </c>
      <c r="V366" s="45"/>
      <c r="W366" s="45"/>
      <c r="X366" s="45"/>
      <c r="Y366" s="45"/>
      <c r="Z366" s="45"/>
      <c r="AA366" s="45"/>
    </row>
    <row r="367" spans="2:27" x14ac:dyDescent="0.45">
      <c r="B367" s="45" t="s">
        <v>173</v>
      </c>
      <c r="C367" s="90"/>
      <c r="D367" s="56"/>
      <c r="E367" s="84"/>
      <c r="F367" s="58"/>
      <c r="G367" s="58"/>
      <c r="H367" s="58"/>
      <c r="I367" s="58"/>
      <c r="J367" s="58"/>
      <c r="K367" s="58"/>
      <c r="L367" s="59">
        <f t="shared" si="43"/>
        <v>0</v>
      </c>
      <c r="M367" s="68"/>
      <c r="N367" s="68"/>
      <c r="O367" s="68"/>
      <c r="P367" s="68"/>
      <c r="Q367" s="99" t="e">
        <f t="shared" si="44"/>
        <v>#DIV/0!</v>
      </c>
      <c r="R367" s="100">
        <f t="shared" si="45"/>
        <v>0.43387671059875982</v>
      </c>
      <c r="S367" s="83"/>
      <c r="T367" s="83"/>
      <c r="U367" s="101">
        <f t="shared" si="46"/>
        <v>2021.2824107652905</v>
      </c>
      <c r="V367" s="45"/>
      <c r="W367" s="45"/>
      <c r="X367" s="45"/>
      <c r="Y367" s="45"/>
      <c r="Z367" s="45"/>
      <c r="AA367" s="45"/>
    </row>
    <row r="368" spans="2:27" x14ac:dyDescent="0.45">
      <c r="B368" s="45" t="s">
        <v>174</v>
      </c>
      <c r="C368" s="90"/>
      <c r="D368" s="56"/>
      <c r="E368" s="57"/>
      <c r="F368" s="58"/>
      <c r="G368" s="58"/>
      <c r="H368" s="58"/>
      <c r="I368" s="58"/>
      <c r="J368" s="58"/>
      <c r="K368" s="58"/>
      <c r="L368" s="59">
        <f t="shared" si="43"/>
        <v>0</v>
      </c>
      <c r="M368" s="68"/>
      <c r="N368" s="68"/>
      <c r="O368" s="68"/>
      <c r="P368" s="68"/>
      <c r="Q368" s="99" t="e">
        <f t="shared" si="44"/>
        <v>#DIV/0!</v>
      </c>
      <c r="R368" s="100">
        <f t="shared" si="45"/>
        <v>0.43387671059875982</v>
      </c>
      <c r="S368" s="83"/>
      <c r="T368" s="83"/>
      <c r="U368" s="101">
        <f t="shared" si="46"/>
        <v>2021.2824107652905</v>
      </c>
      <c r="V368" s="45"/>
      <c r="W368" s="45"/>
      <c r="X368" s="45"/>
      <c r="Y368" s="45"/>
      <c r="Z368" s="45"/>
      <c r="AA368" s="45"/>
    </row>
    <row r="369" spans="2:27" x14ac:dyDescent="0.45">
      <c r="B369" s="45" t="s">
        <v>175</v>
      </c>
      <c r="C369" s="90"/>
      <c r="D369" s="56"/>
      <c r="E369" s="80"/>
      <c r="F369" s="58"/>
      <c r="G369" s="58"/>
      <c r="H369" s="58"/>
      <c r="I369" s="58"/>
      <c r="J369" s="58"/>
      <c r="K369" s="58"/>
      <c r="L369" s="59">
        <f t="shared" si="43"/>
        <v>0</v>
      </c>
      <c r="M369" s="68"/>
      <c r="N369" s="68"/>
      <c r="O369" s="68"/>
      <c r="P369" s="68"/>
      <c r="Q369" s="99" t="e">
        <f t="shared" si="44"/>
        <v>#DIV/0!</v>
      </c>
      <c r="R369" s="100">
        <f t="shared" si="45"/>
        <v>0.43387671059875982</v>
      </c>
      <c r="S369" s="83"/>
      <c r="T369" s="83"/>
      <c r="U369" s="101">
        <f t="shared" si="46"/>
        <v>2021.2824107652905</v>
      </c>
      <c r="V369" s="45"/>
      <c r="W369" s="45"/>
      <c r="X369" s="45"/>
      <c r="Y369" s="45"/>
      <c r="Z369" s="45"/>
      <c r="AA369" s="45"/>
    </row>
    <row r="370" spans="2:27" x14ac:dyDescent="0.45">
      <c r="B370" s="45" t="s">
        <v>176</v>
      </c>
      <c r="C370" s="90"/>
      <c r="D370" s="56"/>
      <c r="E370" s="84"/>
      <c r="F370" s="58"/>
      <c r="G370" s="58"/>
      <c r="H370" s="58"/>
      <c r="I370" s="58"/>
      <c r="J370" s="58"/>
      <c r="K370" s="58"/>
      <c r="L370" s="59">
        <f t="shared" si="43"/>
        <v>0</v>
      </c>
      <c r="M370" s="68"/>
      <c r="N370" s="68"/>
      <c r="O370" s="68"/>
      <c r="P370" s="68"/>
      <c r="Q370" s="99" t="e">
        <f t="shared" si="44"/>
        <v>#DIV/0!</v>
      </c>
      <c r="R370" s="100">
        <f t="shared" si="45"/>
        <v>0.43387671059875982</v>
      </c>
      <c r="S370" s="83"/>
      <c r="T370" s="83"/>
      <c r="U370" s="101">
        <f t="shared" si="46"/>
        <v>2021.2824107652905</v>
      </c>
      <c r="V370" s="45"/>
      <c r="W370" s="45"/>
      <c r="X370" s="45"/>
      <c r="Y370" s="45"/>
      <c r="Z370" s="45"/>
      <c r="AA370" s="45"/>
    </row>
    <row r="371" spans="2:27" x14ac:dyDescent="0.45">
      <c r="B371" s="45" t="s">
        <v>177</v>
      </c>
      <c r="C371" s="90"/>
      <c r="D371" s="56"/>
      <c r="E371" s="57"/>
      <c r="F371" s="58"/>
      <c r="G371" s="58"/>
      <c r="H371" s="58"/>
      <c r="I371" s="58"/>
      <c r="J371" s="58"/>
      <c r="K371" s="58"/>
      <c r="L371" s="59">
        <f t="shared" si="43"/>
        <v>0</v>
      </c>
      <c r="M371" s="68"/>
      <c r="N371" s="68"/>
      <c r="O371" s="68"/>
      <c r="P371" s="68"/>
      <c r="Q371" s="99" t="e">
        <f t="shared" si="44"/>
        <v>#DIV/0!</v>
      </c>
      <c r="R371" s="100">
        <f t="shared" si="45"/>
        <v>0.43387671059875982</v>
      </c>
      <c r="S371" s="83"/>
      <c r="T371" s="83"/>
      <c r="U371" s="101">
        <f t="shared" si="46"/>
        <v>2021.2824107652905</v>
      </c>
      <c r="V371" s="45"/>
      <c r="W371" s="45"/>
      <c r="X371" s="45"/>
      <c r="Y371" s="45"/>
      <c r="Z371" s="45"/>
      <c r="AA371" s="45"/>
    </row>
    <row r="372" spans="2:27" x14ac:dyDescent="0.45">
      <c r="B372" s="45" t="s">
        <v>178</v>
      </c>
      <c r="C372" s="90"/>
      <c r="D372" s="56"/>
      <c r="E372" s="80"/>
      <c r="F372" s="58"/>
      <c r="G372" s="58"/>
      <c r="H372" s="58"/>
      <c r="I372" s="58"/>
      <c r="J372" s="58"/>
      <c r="K372" s="58"/>
      <c r="L372" s="59">
        <f t="shared" si="43"/>
        <v>0</v>
      </c>
      <c r="M372" s="68"/>
      <c r="N372" s="68"/>
      <c r="O372" s="68"/>
      <c r="P372" s="68"/>
      <c r="Q372" s="99" t="e">
        <f t="shared" si="44"/>
        <v>#DIV/0!</v>
      </c>
      <c r="R372" s="100">
        <f t="shared" si="45"/>
        <v>0.43387671059875982</v>
      </c>
      <c r="S372" s="83"/>
      <c r="T372" s="83"/>
      <c r="U372" s="101">
        <f t="shared" si="46"/>
        <v>2021.2824107652905</v>
      </c>
      <c r="V372" s="45"/>
      <c r="W372" s="45"/>
      <c r="X372" s="45"/>
      <c r="Y372" s="45"/>
      <c r="Z372" s="45"/>
      <c r="AA372" s="45"/>
    </row>
    <row r="373" spans="2:27" x14ac:dyDescent="0.45">
      <c r="B373" s="45" t="s">
        <v>179</v>
      </c>
      <c r="C373" s="90"/>
      <c r="D373" s="56"/>
      <c r="E373" s="84"/>
      <c r="F373" s="58"/>
      <c r="G373" s="58"/>
      <c r="H373" s="58"/>
      <c r="I373" s="58"/>
      <c r="J373" s="58"/>
      <c r="K373" s="58"/>
      <c r="L373" s="59">
        <f t="shared" si="43"/>
        <v>0</v>
      </c>
      <c r="M373" s="68"/>
      <c r="N373" s="68"/>
      <c r="O373" s="68"/>
      <c r="P373" s="68"/>
      <c r="Q373" s="99" t="e">
        <f t="shared" si="44"/>
        <v>#DIV/0!</v>
      </c>
      <c r="R373" s="100">
        <f t="shared" si="45"/>
        <v>0.43387671059875982</v>
      </c>
      <c r="S373" s="83"/>
      <c r="T373" s="83"/>
      <c r="U373" s="101">
        <f t="shared" si="46"/>
        <v>2021.2824107652905</v>
      </c>
      <c r="V373" s="45"/>
      <c r="W373" s="45"/>
      <c r="X373" s="45"/>
      <c r="Y373" s="45"/>
      <c r="Z373" s="45"/>
      <c r="AA373" s="45"/>
    </row>
    <row r="374" spans="2:27" x14ac:dyDescent="0.45">
      <c r="B374" s="45" t="s">
        <v>180</v>
      </c>
      <c r="C374" s="90"/>
      <c r="D374" s="56"/>
      <c r="E374" s="57"/>
      <c r="F374" s="58"/>
      <c r="G374" s="58"/>
      <c r="H374" s="58"/>
      <c r="I374" s="58"/>
      <c r="J374" s="58"/>
      <c r="K374" s="58"/>
      <c r="L374" s="59">
        <f t="shared" si="43"/>
        <v>0</v>
      </c>
      <c r="M374" s="68"/>
      <c r="N374" s="68"/>
      <c r="O374" s="68"/>
      <c r="P374" s="68"/>
      <c r="Q374" s="99" t="e">
        <f t="shared" si="44"/>
        <v>#DIV/0!</v>
      </c>
      <c r="R374" s="100">
        <f t="shared" si="45"/>
        <v>0.43387671059875982</v>
      </c>
      <c r="S374" s="83"/>
      <c r="T374" s="83"/>
      <c r="U374" s="101">
        <f t="shared" si="46"/>
        <v>2021.2824107652905</v>
      </c>
      <c r="V374" s="45"/>
      <c r="W374" s="45"/>
      <c r="X374" s="45"/>
      <c r="Y374" s="45"/>
      <c r="Z374" s="45"/>
      <c r="AA374" s="45"/>
    </row>
    <row r="375" spans="2:27" x14ac:dyDescent="0.45">
      <c r="B375" s="45" t="s">
        <v>181</v>
      </c>
      <c r="C375" s="90"/>
      <c r="D375" s="56"/>
      <c r="E375" s="80"/>
      <c r="F375" s="58"/>
      <c r="G375" s="58"/>
      <c r="H375" s="58"/>
      <c r="I375" s="58"/>
      <c r="J375" s="58"/>
      <c r="K375" s="58"/>
      <c r="L375" s="59">
        <f t="shared" si="43"/>
        <v>0</v>
      </c>
      <c r="M375" s="68"/>
      <c r="N375" s="68"/>
      <c r="O375" s="68"/>
      <c r="P375" s="68"/>
      <c r="Q375" s="99" t="e">
        <f t="shared" si="44"/>
        <v>#DIV/0!</v>
      </c>
      <c r="R375" s="100">
        <f t="shared" si="45"/>
        <v>0.43387671059875982</v>
      </c>
      <c r="S375" s="83"/>
      <c r="T375" s="83"/>
      <c r="U375" s="101">
        <f t="shared" si="46"/>
        <v>2021.2824107652905</v>
      </c>
      <c r="V375" s="45"/>
      <c r="W375" s="45"/>
      <c r="X375" s="45"/>
      <c r="Y375" s="45"/>
      <c r="Z375" s="45"/>
      <c r="AA375" s="45"/>
    </row>
    <row r="376" spans="2:27" x14ac:dyDescent="0.45">
      <c r="B376" s="45" t="s">
        <v>182</v>
      </c>
      <c r="C376" s="90"/>
      <c r="D376" s="56"/>
      <c r="E376" s="84"/>
      <c r="F376" s="58"/>
      <c r="G376" s="58"/>
      <c r="H376" s="58"/>
      <c r="I376" s="58"/>
      <c r="J376" s="58"/>
      <c r="K376" s="58"/>
      <c r="L376" s="59">
        <f t="shared" si="43"/>
        <v>0</v>
      </c>
      <c r="M376" s="68"/>
      <c r="N376" s="68"/>
      <c r="O376" s="68"/>
      <c r="P376" s="68"/>
      <c r="Q376" s="99" t="e">
        <f t="shared" si="44"/>
        <v>#DIV/0!</v>
      </c>
      <c r="R376" s="100">
        <f t="shared" si="45"/>
        <v>0.43387671059875982</v>
      </c>
      <c r="S376" s="83"/>
      <c r="T376" s="83"/>
      <c r="U376" s="101">
        <f t="shared" si="46"/>
        <v>2021.2824107652905</v>
      </c>
      <c r="V376" s="45"/>
      <c r="W376" s="45"/>
      <c r="X376" s="45"/>
      <c r="Y376" s="45"/>
      <c r="Z376" s="45"/>
      <c r="AA376" s="45"/>
    </row>
    <row r="377" spans="2:27" x14ac:dyDescent="0.45">
      <c r="B377" s="45" t="s">
        <v>183</v>
      </c>
      <c r="C377" s="90"/>
      <c r="D377" s="56"/>
      <c r="E377" s="57"/>
      <c r="F377" s="58"/>
      <c r="G377" s="58"/>
      <c r="H377" s="58"/>
      <c r="I377" s="58"/>
      <c r="J377" s="58"/>
      <c r="K377" s="58"/>
      <c r="L377" s="59">
        <f t="shared" si="43"/>
        <v>0</v>
      </c>
      <c r="M377" s="68"/>
      <c r="N377" s="68"/>
      <c r="O377" s="68"/>
      <c r="P377" s="68"/>
      <c r="Q377" s="99" t="e">
        <f t="shared" si="44"/>
        <v>#DIV/0!</v>
      </c>
      <c r="R377" s="100">
        <f t="shared" si="45"/>
        <v>0.43387671059875982</v>
      </c>
      <c r="S377" s="83"/>
      <c r="T377" s="83"/>
      <c r="U377" s="101">
        <f t="shared" si="46"/>
        <v>2021.2824107652905</v>
      </c>
      <c r="V377" s="45"/>
      <c r="W377" s="45"/>
      <c r="X377" s="45"/>
      <c r="Y377" s="45"/>
      <c r="Z377" s="45"/>
      <c r="AA377" s="45"/>
    </row>
    <row r="378" spans="2:27" x14ac:dyDescent="0.45">
      <c r="B378" s="45" t="s">
        <v>184</v>
      </c>
      <c r="C378" s="90"/>
      <c r="D378" s="56"/>
      <c r="E378" s="80"/>
      <c r="F378" s="58"/>
      <c r="G378" s="58"/>
      <c r="H378" s="58"/>
      <c r="I378" s="58"/>
      <c r="J378" s="58"/>
      <c r="K378" s="58"/>
      <c r="L378" s="59">
        <f t="shared" si="43"/>
        <v>0</v>
      </c>
      <c r="M378" s="68"/>
      <c r="N378" s="68"/>
      <c r="O378" s="68"/>
      <c r="P378" s="68"/>
      <c r="Q378" s="99" t="e">
        <f t="shared" si="44"/>
        <v>#DIV/0!</v>
      </c>
      <c r="R378" s="100">
        <f t="shared" si="45"/>
        <v>0.43387671059875982</v>
      </c>
      <c r="S378" s="83"/>
      <c r="T378" s="83"/>
      <c r="U378" s="101">
        <f t="shared" si="46"/>
        <v>2021.2824107652905</v>
      </c>
      <c r="V378" s="45"/>
      <c r="W378" s="45"/>
      <c r="X378" s="45"/>
      <c r="Y378" s="45"/>
      <c r="Z378" s="45"/>
      <c r="AA378" s="45"/>
    </row>
    <row r="379" spans="2:27" x14ac:dyDescent="0.45">
      <c r="B379" s="45" t="s">
        <v>185</v>
      </c>
      <c r="C379" s="90"/>
      <c r="D379" s="56"/>
      <c r="E379" s="84"/>
      <c r="F379" s="58"/>
      <c r="G379" s="58"/>
      <c r="H379" s="58"/>
      <c r="I379" s="58"/>
      <c r="J379" s="58"/>
      <c r="K379" s="58"/>
      <c r="L379" s="59">
        <f t="shared" si="43"/>
        <v>0</v>
      </c>
      <c r="M379" s="68"/>
      <c r="N379" s="68"/>
      <c r="O379" s="68"/>
      <c r="P379" s="68"/>
      <c r="Q379" s="99" t="e">
        <f t="shared" si="44"/>
        <v>#DIV/0!</v>
      </c>
      <c r="R379" s="100">
        <f t="shared" si="45"/>
        <v>0.43387671059875982</v>
      </c>
      <c r="S379" s="83"/>
      <c r="T379" s="83"/>
      <c r="U379" s="101">
        <f t="shared" si="46"/>
        <v>2021.2824107652905</v>
      </c>
      <c r="V379" s="45"/>
      <c r="W379" s="45"/>
      <c r="X379" s="45"/>
      <c r="Y379" s="45"/>
      <c r="Z379" s="45"/>
      <c r="AA379" s="45"/>
    </row>
    <row r="380" spans="2:27" x14ac:dyDescent="0.45">
      <c r="B380" s="45" t="s">
        <v>186</v>
      </c>
      <c r="C380" s="90"/>
      <c r="D380" s="56"/>
      <c r="E380" s="57"/>
      <c r="F380" s="58"/>
      <c r="G380" s="58"/>
      <c r="H380" s="58"/>
      <c r="I380" s="58"/>
      <c r="J380" s="58"/>
      <c r="K380" s="58"/>
      <c r="L380" s="59">
        <f t="shared" si="43"/>
        <v>0</v>
      </c>
      <c r="M380" s="68"/>
      <c r="N380" s="68"/>
      <c r="O380" s="68"/>
      <c r="P380" s="68"/>
      <c r="Q380" s="99" t="e">
        <f t="shared" si="44"/>
        <v>#DIV/0!</v>
      </c>
      <c r="R380" s="100">
        <f t="shared" si="45"/>
        <v>0.43387671059875982</v>
      </c>
      <c r="S380" s="83"/>
      <c r="T380" s="83"/>
      <c r="U380" s="101">
        <f t="shared" si="46"/>
        <v>2021.2824107652905</v>
      </c>
      <c r="V380" s="45"/>
      <c r="W380" s="45"/>
      <c r="X380" s="45"/>
      <c r="Y380" s="45"/>
      <c r="Z380" s="45"/>
      <c r="AA380" s="45"/>
    </row>
    <row r="381" spans="2:27" x14ac:dyDescent="0.45">
      <c r="B381" s="45" t="s">
        <v>187</v>
      </c>
      <c r="C381" s="90"/>
      <c r="D381" s="56"/>
      <c r="E381" s="80"/>
      <c r="F381" s="58"/>
      <c r="G381" s="58"/>
      <c r="H381" s="58"/>
      <c r="I381" s="58"/>
      <c r="J381" s="58"/>
      <c r="K381" s="58"/>
      <c r="L381" s="59">
        <f t="shared" si="43"/>
        <v>0</v>
      </c>
      <c r="M381" s="68"/>
      <c r="N381" s="68"/>
      <c r="O381" s="68"/>
      <c r="P381" s="68"/>
      <c r="Q381" s="99" t="e">
        <f t="shared" si="44"/>
        <v>#DIV/0!</v>
      </c>
      <c r="R381" s="100">
        <f t="shared" si="45"/>
        <v>0.43387671059875982</v>
      </c>
      <c r="S381" s="83"/>
      <c r="T381" s="83"/>
      <c r="U381" s="101">
        <f t="shared" si="46"/>
        <v>2021.2824107652905</v>
      </c>
      <c r="V381" s="45"/>
      <c r="W381" s="45"/>
      <c r="X381" s="45"/>
      <c r="Y381" s="45"/>
      <c r="Z381" s="45"/>
      <c r="AA381" s="45"/>
    </row>
    <row r="382" spans="2:27" x14ac:dyDescent="0.45">
      <c r="B382" s="45" t="s">
        <v>188</v>
      </c>
      <c r="C382" s="90"/>
      <c r="D382" s="56"/>
      <c r="E382" s="84"/>
      <c r="F382" s="58"/>
      <c r="G382" s="58"/>
      <c r="H382" s="58"/>
      <c r="I382" s="58"/>
      <c r="J382" s="58"/>
      <c r="K382" s="58"/>
      <c r="L382" s="59">
        <f t="shared" si="43"/>
        <v>0</v>
      </c>
      <c r="M382" s="68"/>
      <c r="N382" s="68"/>
      <c r="O382" s="68"/>
      <c r="P382" s="68"/>
      <c r="Q382" s="99" t="e">
        <f t="shared" si="44"/>
        <v>#DIV/0!</v>
      </c>
      <c r="R382" s="100">
        <f t="shared" si="45"/>
        <v>0.43387671059875982</v>
      </c>
      <c r="S382" s="83"/>
      <c r="T382" s="83"/>
      <c r="U382" s="101">
        <f t="shared" si="46"/>
        <v>2021.2824107652905</v>
      </c>
      <c r="V382" s="45"/>
      <c r="W382" s="45"/>
      <c r="X382" s="45"/>
      <c r="Y382" s="45"/>
      <c r="Z382" s="45"/>
      <c r="AA382" s="45"/>
    </row>
    <row r="383" spans="2:27" x14ac:dyDescent="0.45">
      <c r="B383" s="45" t="s">
        <v>189</v>
      </c>
      <c r="C383" s="90"/>
      <c r="D383" s="56"/>
      <c r="E383" s="57"/>
      <c r="F383" s="58"/>
      <c r="G383" s="58"/>
      <c r="H383" s="58"/>
      <c r="I383" s="58"/>
      <c r="J383" s="58"/>
      <c r="K383" s="58"/>
      <c r="L383" s="59">
        <f t="shared" si="43"/>
        <v>0</v>
      </c>
      <c r="M383" s="68"/>
      <c r="N383" s="68"/>
      <c r="O383" s="68"/>
      <c r="P383" s="68"/>
      <c r="Q383" s="99" t="e">
        <f t="shared" si="44"/>
        <v>#DIV/0!</v>
      </c>
      <c r="R383" s="100">
        <f t="shared" si="45"/>
        <v>0.43387671059875982</v>
      </c>
      <c r="S383" s="83"/>
      <c r="T383" s="83"/>
      <c r="U383" s="101">
        <f t="shared" si="46"/>
        <v>2021.2824107652905</v>
      </c>
      <c r="V383" s="45"/>
      <c r="W383" s="45"/>
      <c r="X383" s="45"/>
      <c r="Y383" s="45"/>
      <c r="Z383" s="45"/>
      <c r="AA383" s="45"/>
    </row>
    <row r="384" spans="2:27" x14ac:dyDescent="0.45">
      <c r="B384" s="45" t="s">
        <v>190</v>
      </c>
      <c r="C384" s="90"/>
      <c r="D384" s="56"/>
      <c r="E384" s="80"/>
      <c r="F384" s="58"/>
      <c r="G384" s="58"/>
      <c r="H384" s="58"/>
      <c r="I384" s="58"/>
      <c r="J384" s="58"/>
      <c r="K384" s="58"/>
      <c r="L384" s="59">
        <f t="shared" si="43"/>
        <v>0</v>
      </c>
      <c r="M384" s="68"/>
      <c r="N384" s="68"/>
      <c r="O384" s="68"/>
      <c r="P384" s="68"/>
      <c r="Q384" s="99" t="e">
        <f t="shared" si="44"/>
        <v>#DIV/0!</v>
      </c>
      <c r="R384" s="100">
        <f t="shared" si="45"/>
        <v>0.43387671059875982</v>
      </c>
      <c r="S384" s="83"/>
      <c r="T384" s="83"/>
      <c r="U384" s="101">
        <f t="shared" si="46"/>
        <v>2021.2824107652905</v>
      </c>
      <c r="V384" s="45"/>
      <c r="W384" s="45"/>
      <c r="X384" s="45"/>
      <c r="Y384" s="45"/>
      <c r="Z384" s="45"/>
      <c r="AA384" s="45"/>
    </row>
    <row r="385" spans="2:27" x14ac:dyDescent="0.45">
      <c r="B385" s="45" t="s">
        <v>191</v>
      </c>
      <c r="C385" s="90"/>
      <c r="D385" s="56"/>
      <c r="E385" s="84"/>
      <c r="F385" s="58"/>
      <c r="G385" s="58"/>
      <c r="H385" s="58"/>
      <c r="I385" s="58"/>
      <c r="J385" s="58"/>
      <c r="K385" s="58"/>
      <c r="L385" s="59">
        <f t="shared" si="43"/>
        <v>0</v>
      </c>
      <c r="M385" s="68"/>
      <c r="N385" s="68"/>
      <c r="O385" s="68"/>
      <c r="P385" s="68"/>
      <c r="Q385" s="99" t="e">
        <f t="shared" si="44"/>
        <v>#DIV/0!</v>
      </c>
      <c r="R385" s="100">
        <f t="shared" si="45"/>
        <v>0.43387671059875982</v>
      </c>
      <c r="S385" s="83"/>
      <c r="T385" s="83"/>
      <c r="U385" s="101">
        <f t="shared" si="46"/>
        <v>2021.2824107652905</v>
      </c>
      <c r="V385" s="45"/>
      <c r="W385" s="45"/>
      <c r="X385" s="45"/>
      <c r="Y385" s="45"/>
      <c r="Z385" s="45"/>
      <c r="AA385" s="45"/>
    </row>
    <row r="386" spans="2:27" x14ac:dyDescent="0.45">
      <c r="B386" s="45" t="s">
        <v>192</v>
      </c>
      <c r="C386" s="90"/>
      <c r="D386" s="56"/>
      <c r="E386" s="57"/>
      <c r="F386" s="58"/>
      <c r="G386" s="58"/>
      <c r="H386" s="58"/>
      <c r="I386" s="58"/>
      <c r="J386" s="58"/>
      <c r="K386" s="58"/>
      <c r="L386" s="59">
        <f t="shared" si="43"/>
        <v>0</v>
      </c>
      <c r="M386" s="68"/>
      <c r="N386" s="68"/>
      <c r="O386" s="68"/>
      <c r="P386" s="68"/>
      <c r="Q386" s="99" t="e">
        <f t="shared" si="44"/>
        <v>#DIV/0!</v>
      </c>
      <c r="R386" s="100">
        <f t="shared" si="45"/>
        <v>0.43387671059875982</v>
      </c>
      <c r="S386" s="83"/>
      <c r="T386" s="83"/>
      <c r="U386" s="101">
        <f t="shared" si="46"/>
        <v>2021.2824107652905</v>
      </c>
      <c r="V386" s="45"/>
      <c r="W386" s="45"/>
      <c r="X386" s="45"/>
      <c r="Y386" s="45"/>
      <c r="Z386" s="45"/>
      <c r="AA386" s="45"/>
    </row>
    <row r="387" spans="2:27" x14ac:dyDescent="0.45">
      <c r="B387" s="45" t="s">
        <v>193</v>
      </c>
      <c r="C387" s="90"/>
      <c r="D387" s="56"/>
      <c r="E387" s="80"/>
      <c r="F387" s="58"/>
      <c r="G387" s="58"/>
      <c r="H387" s="58"/>
      <c r="I387" s="58"/>
      <c r="J387" s="58"/>
      <c r="K387" s="58"/>
      <c r="L387" s="59">
        <f t="shared" si="43"/>
        <v>0</v>
      </c>
      <c r="M387" s="68"/>
      <c r="N387" s="68"/>
      <c r="O387" s="68"/>
      <c r="P387" s="68"/>
      <c r="Q387" s="99" t="e">
        <f t="shared" si="44"/>
        <v>#DIV/0!</v>
      </c>
      <c r="R387" s="100">
        <f t="shared" si="45"/>
        <v>0.43387671059875982</v>
      </c>
      <c r="S387" s="83"/>
      <c r="T387" s="83"/>
      <c r="U387" s="101">
        <f t="shared" si="46"/>
        <v>2021.2824107652905</v>
      </c>
      <c r="V387" s="45"/>
      <c r="W387" s="45"/>
      <c r="X387" s="45"/>
      <c r="Y387" s="45"/>
      <c r="Z387" s="45"/>
      <c r="AA387" s="45"/>
    </row>
    <row r="388" spans="2:27" x14ac:dyDescent="0.45">
      <c r="B388" s="45" t="s">
        <v>194</v>
      </c>
      <c r="C388" s="90"/>
      <c r="D388" s="56"/>
      <c r="E388" s="84"/>
      <c r="F388" s="58"/>
      <c r="G388" s="58"/>
      <c r="H388" s="58"/>
      <c r="I388" s="58"/>
      <c r="J388" s="58"/>
      <c r="K388" s="58"/>
      <c r="L388" s="59">
        <f t="shared" si="43"/>
        <v>0</v>
      </c>
      <c r="M388" s="68"/>
      <c r="N388" s="68"/>
      <c r="O388" s="68"/>
      <c r="P388" s="68"/>
      <c r="Q388" s="99" t="e">
        <f t="shared" si="44"/>
        <v>#DIV/0!</v>
      </c>
      <c r="R388" s="100">
        <f t="shared" si="45"/>
        <v>0.43387671059875982</v>
      </c>
      <c r="S388" s="83"/>
      <c r="T388" s="83"/>
      <c r="U388" s="101">
        <f t="shared" si="46"/>
        <v>2021.2824107652905</v>
      </c>
      <c r="V388" s="45"/>
      <c r="W388" s="45"/>
      <c r="X388" s="45"/>
      <c r="Y388" s="45"/>
      <c r="Z388" s="45"/>
      <c r="AA388" s="45"/>
    </row>
    <row r="389" spans="2:27" x14ac:dyDescent="0.45">
      <c r="B389" s="45" t="s">
        <v>195</v>
      </c>
      <c r="C389" s="90"/>
      <c r="D389" s="56"/>
      <c r="E389" s="57"/>
      <c r="F389" s="58"/>
      <c r="G389" s="58"/>
      <c r="H389" s="58"/>
      <c r="I389" s="58"/>
      <c r="J389" s="58"/>
      <c r="K389" s="58"/>
      <c r="L389" s="59">
        <f t="shared" si="43"/>
        <v>0</v>
      </c>
      <c r="M389" s="68"/>
      <c r="N389" s="68"/>
      <c r="O389" s="68"/>
      <c r="P389" s="68"/>
      <c r="Q389" s="99" t="e">
        <f t="shared" si="44"/>
        <v>#DIV/0!</v>
      </c>
      <c r="R389" s="100">
        <f t="shared" si="45"/>
        <v>0.43387671059875982</v>
      </c>
      <c r="S389" s="83"/>
      <c r="T389" s="83"/>
      <c r="U389" s="101">
        <f t="shared" si="46"/>
        <v>2021.2824107652905</v>
      </c>
      <c r="V389" s="45"/>
      <c r="W389" s="45"/>
      <c r="X389" s="45"/>
      <c r="Y389" s="45"/>
      <c r="Z389" s="45"/>
      <c r="AA389" s="45"/>
    </row>
    <row r="390" spans="2:27" x14ac:dyDescent="0.45">
      <c r="B390" s="45" t="s">
        <v>196</v>
      </c>
      <c r="C390" s="90"/>
      <c r="D390" s="56"/>
      <c r="E390" s="80"/>
      <c r="F390" s="58"/>
      <c r="G390" s="58"/>
      <c r="H390" s="58"/>
      <c r="I390" s="58"/>
      <c r="J390" s="58"/>
      <c r="K390" s="58"/>
      <c r="L390" s="59">
        <f t="shared" si="43"/>
        <v>0</v>
      </c>
      <c r="M390" s="68"/>
      <c r="N390" s="68"/>
      <c r="O390" s="68"/>
      <c r="P390" s="68"/>
      <c r="Q390" s="99" t="e">
        <f t="shared" si="44"/>
        <v>#DIV/0!</v>
      </c>
      <c r="R390" s="100">
        <f t="shared" si="45"/>
        <v>0.43387671059875982</v>
      </c>
      <c r="S390" s="83"/>
      <c r="T390" s="83"/>
      <c r="U390" s="101">
        <f t="shared" si="46"/>
        <v>2021.2824107652905</v>
      </c>
      <c r="V390" s="45"/>
      <c r="W390" s="45"/>
      <c r="X390" s="45"/>
      <c r="Y390" s="45"/>
      <c r="Z390" s="45"/>
      <c r="AA390" s="45"/>
    </row>
    <row r="391" spans="2:27" x14ac:dyDescent="0.45">
      <c r="B391" s="45" t="s">
        <v>197</v>
      </c>
      <c r="C391" s="90"/>
      <c r="D391" s="56"/>
      <c r="E391" s="84"/>
      <c r="F391" s="58"/>
      <c r="G391" s="58"/>
      <c r="H391" s="58"/>
      <c r="I391" s="58"/>
      <c r="J391" s="58"/>
      <c r="K391" s="58"/>
      <c r="L391" s="59">
        <f t="shared" si="43"/>
        <v>0</v>
      </c>
      <c r="M391" s="68"/>
      <c r="N391" s="68"/>
      <c r="O391" s="68"/>
      <c r="P391" s="68"/>
      <c r="Q391" s="99" t="e">
        <f t="shared" si="44"/>
        <v>#DIV/0!</v>
      </c>
      <c r="R391" s="100">
        <f t="shared" si="45"/>
        <v>0.43387671059875982</v>
      </c>
      <c r="S391" s="83"/>
      <c r="T391" s="83"/>
      <c r="U391" s="101">
        <f t="shared" si="46"/>
        <v>2021.2824107652905</v>
      </c>
      <c r="V391" s="45"/>
      <c r="W391" s="45"/>
      <c r="X391" s="45"/>
      <c r="Y391" s="45"/>
      <c r="Z391" s="45"/>
      <c r="AA391" s="45"/>
    </row>
    <row r="392" spans="2:27" x14ac:dyDescent="0.45">
      <c r="B392" s="45" t="s">
        <v>198</v>
      </c>
      <c r="C392" s="90"/>
      <c r="D392" s="56"/>
      <c r="E392" s="57"/>
      <c r="F392" s="58"/>
      <c r="G392" s="58"/>
      <c r="H392" s="58"/>
      <c r="I392" s="58"/>
      <c r="J392" s="58"/>
      <c r="K392" s="58"/>
      <c r="L392" s="59">
        <f t="shared" si="43"/>
        <v>0</v>
      </c>
      <c r="M392" s="68"/>
      <c r="N392" s="68"/>
      <c r="O392" s="68"/>
      <c r="P392" s="68"/>
      <c r="Q392" s="99" t="e">
        <f t="shared" si="44"/>
        <v>#DIV/0!</v>
      </c>
      <c r="R392" s="100">
        <f t="shared" si="45"/>
        <v>0.43387671059875982</v>
      </c>
      <c r="S392" s="83"/>
      <c r="T392" s="83"/>
      <c r="U392" s="101">
        <f t="shared" si="46"/>
        <v>2021.2824107652905</v>
      </c>
      <c r="V392" s="45"/>
      <c r="W392" s="45"/>
      <c r="X392" s="45"/>
      <c r="Y392" s="45"/>
      <c r="Z392" s="45"/>
      <c r="AA392" s="45"/>
    </row>
    <row r="393" spans="2:27" x14ac:dyDescent="0.45">
      <c r="B393" s="45" t="s">
        <v>199</v>
      </c>
      <c r="C393" s="90"/>
      <c r="D393" s="56"/>
      <c r="E393" s="80"/>
      <c r="F393" s="58"/>
      <c r="G393" s="58"/>
      <c r="H393" s="58"/>
      <c r="I393" s="58"/>
      <c r="J393" s="58"/>
      <c r="K393" s="58"/>
      <c r="L393" s="59">
        <f t="shared" si="43"/>
        <v>0</v>
      </c>
      <c r="M393" s="68"/>
      <c r="N393" s="68"/>
      <c r="O393" s="68"/>
      <c r="P393" s="68"/>
      <c r="Q393" s="99" t="e">
        <f t="shared" si="44"/>
        <v>#DIV/0!</v>
      </c>
      <c r="R393" s="100">
        <f t="shared" si="45"/>
        <v>0.43387671059875982</v>
      </c>
      <c r="S393" s="83"/>
      <c r="T393" s="83"/>
      <c r="U393" s="101">
        <f t="shared" si="46"/>
        <v>2021.2824107652905</v>
      </c>
      <c r="V393" s="45"/>
      <c r="W393" s="45"/>
      <c r="X393" s="45"/>
      <c r="Y393" s="45"/>
      <c r="Z393" s="45"/>
      <c r="AA393" s="45"/>
    </row>
    <row r="394" spans="2:27" x14ac:dyDescent="0.45">
      <c r="B394" s="45" t="s">
        <v>200</v>
      </c>
      <c r="C394" s="90"/>
      <c r="D394" s="56"/>
      <c r="E394" s="84"/>
      <c r="F394" s="58"/>
      <c r="G394" s="58"/>
      <c r="H394" s="58"/>
      <c r="I394" s="58"/>
      <c r="J394" s="58"/>
      <c r="K394" s="58"/>
      <c r="L394" s="59">
        <f t="shared" si="43"/>
        <v>0</v>
      </c>
      <c r="M394" s="68"/>
      <c r="N394" s="68"/>
      <c r="O394" s="68"/>
      <c r="P394" s="68"/>
      <c r="Q394" s="99" t="e">
        <f t="shared" si="44"/>
        <v>#DIV/0!</v>
      </c>
      <c r="R394" s="100">
        <f t="shared" si="45"/>
        <v>0.43387671059875982</v>
      </c>
      <c r="S394" s="83"/>
      <c r="T394" s="83"/>
      <c r="U394" s="101">
        <f t="shared" si="46"/>
        <v>2021.2824107652905</v>
      </c>
      <c r="V394" s="45"/>
      <c r="W394" s="45"/>
      <c r="X394" s="45"/>
      <c r="Y394" s="45"/>
      <c r="Z394" s="45"/>
      <c r="AA394" s="45"/>
    </row>
    <row r="395" spans="2:27" x14ac:dyDescent="0.45">
      <c r="B395" s="45" t="s">
        <v>201</v>
      </c>
      <c r="C395" s="90"/>
      <c r="D395" s="56"/>
      <c r="E395" s="57"/>
      <c r="F395" s="58"/>
      <c r="G395" s="58"/>
      <c r="H395" s="58"/>
      <c r="I395" s="58"/>
      <c r="J395" s="58"/>
      <c r="K395" s="58"/>
      <c r="L395" s="59">
        <f t="shared" si="43"/>
        <v>0</v>
      </c>
      <c r="M395" s="68"/>
      <c r="N395" s="68"/>
      <c r="O395" s="68"/>
      <c r="P395" s="68"/>
      <c r="Q395" s="99" t="e">
        <f t="shared" si="44"/>
        <v>#DIV/0!</v>
      </c>
      <c r="R395" s="100">
        <f t="shared" si="45"/>
        <v>0.43387671059875982</v>
      </c>
      <c r="S395" s="83"/>
      <c r="T395" s="83"/>
      <c r="U395" s="101">
        <f t="shared" si="46"/>
        <v>2021.2824107652905</v>
      </c>
      <c r="V395" s="45"/>
      <c r="W395" s="45"/>
      <c r="X395" s="45"/>
      <c r="Y395" s="45"/>
      <c r="Z395" s="45"/>
      <c r="AA395" s="45"/>
    </row>
    <row r="396" spans="2:27" x14ac:dyDescent="0.45">
      <c r="B396" s="45" t="s">
        <v>202</v>
      </c>
      <c r="C396" s="90"/>
      <c r="D396" s="56"/>
      <c r="E396" s="80"/>
      <c r="F396" s="58"/>
      <c r="G396" s="58"/>
      <c r="H396" s="58"/>
      <c r="I396" s="58"/>
      <c r="J396" s="58"/>
      <c r="K396" s="58"/>
      <c r="L396" s="59">
        <f t="shared" si="43"/>
        <v>0</v>
      </c>
      <c r="M396" s="68"/>
      <c r="N396" s="68"/>
      <c r="O396" s="68"/>
      <c r="P396" s="68"/>
      <c r="Q396" s="99" t="e">
        <f t="shared" si="44"/>
        <v>#DIV/0!</v>
      </c>
      <c r="R396" s="100">
        <f t="shared" si="45"/>
        <v>0.43387671059875982</v>
      </c>
      <c r="S396" s="83"/>
      <c r="T396" s="83"/>
      <c r="U396" s="101">
        <f t="shared" si="46"/>
        <v>2021.2824107652905</v>
      </c>
      <c r="V396" s="45"/>
      <c r="W396" s="45"/>
      <c r="X396" s="45"/>
      <c r="Y396" s="45"/>
      <c r="Z396" s="45"/>
      <c r="AA396" s="45"/>
    </row>
    <row r="397" spans="2:27" x14ac:dyDescent="0.45">
      <c r="B397" s="45" t="s">
        <v>203</v>
      </c>
      <c r="C397" s="90"/>
      <c r="D397" s="56"/>
      <c r="E397" s="84"/>
      <c r="F397" s="58"/>
      <c r="G397" s="58"/>
      <c r="H397" s="58"/>
      <c r="I397" s="58"/>
      <c r="J397" s="58"/>
      <c r="K397" s="58"/>
      <c r="L397" s="59">
        <f t="shared" si="43"/>
        <v>0</v>
      </c>
      <c r="M397" s="68"/>
      <c r="N397" s="68"/>
      <c r="O397" s="68"/>
      <c r="P397" s="68"/>
      <c r="Q397" s="99" t="e">
        <f t="shared" si="44"/>
        <v>#DIV/0!</v>
      </c>
      <c r="R397" s="100">
        <f t="shared" si="45"/>
        <v>0.43387671059875982</v>
      </c>
      <c r="S397" s="83"/>
      <c r="T397" s="83"/>
      <c r="U397" s="101">
        <f t="shared" si="46"/>
        <v>2021.2824107652905</v>
      </c>
      <c r="V397" s="45"/>
      <c r="W397" s="45"/>
      <c r="X397" s="45"/>
      <c r="Y397" s="45"/>
      <c r="Z397" s="45"/>
      <c r="AA397" s="45"/>
    </row>
    <row r="398" spans="2:27" x14ac:dyDescent="0.45">
      <c r="B398" s="45" t="s">
        <v>204</v>
      </c>
      <c r="C398" s="90"/>
      <c r="D398" s="56"/>
      <c r="E398" s="57"/>
      <c r="F398" s="58"/>
      <c r="G398" s="58"/>
      <c r="H398" s="58"/>
      <c r="I398" s="58"/>
      <c r="J398" s="58"/>
      <c r="K398" s="58"/>
      <c r="L398" s="59">
        <f t="shared" si="43"/>
        <v>0</v>
      </c>
      <c r="M398" s="68"/>
      <c r="N398" s="68"/>
      <c r="O398" s="68"/>
      <c r="P398" s="68"/>
      <c r="Q398" s="99" t="e">
        <f t="shared" si="44"/>
        <v>#DIV/0!</v>
      </c>
      <c r="R398" s="100">
        <f t="shared" si="45"/>
        <v>0.43387671059875982</v>
      </c>
      <c r="S398" s="83"/>
      <c r="T398" s="83"/>
      <c r="U398" s="101">
        <f t="shared" si="46"/>
        <v>2021.2824107652905</v>
      </c>
      <c r="V398" s="45"/>
      <c r="W398" s="45"/>
      <c r="X398" s="45"/>
      <c r="Y398" s="45"/>
      <c r="Z398" s="45"/>
      <c r="AA398" s="45"/>
    </row>
    <row r="399" spans="2:27" x14ac:dyDescent="0.45">
      <c r="B399" s="45" t="s">
        <v>205</v>
      </c>
      <c r="C399" s="90"/>
      <c r="D399" s="56"/>
      <c r="E399" s="80"/>
      <c r="F399" s="58"/>
      <c r="G399" s="58"/>
      <c r="H399" s="58"/>
      <c r="I399" s="58"/>
      <c r="J399" s="58"/>
      <c r="K399" s="58"/>
      <c r="L399" s="59">
        <f t="shared" si="43"/>
        <v>0</v>
      </c>
      <c r="M399" s="68"/>
      <c r="N399" s="68"/>
      <c r="O399" s="68"/>
      <c r="P399" s="68"/>
      <c r="Q399" s="99" t="e">
        <f t="shared" si="44"/>
        <v>#DIV/0!</v>
      </c>
      <c r="R399" s="100">
        <f t="shared" si="45"/>
        <v>0.43387671059875982</v>
      </c>
      <c r="S399" s="83"/>
      <c r="T399" s="83"/>
      <c r="U399" s="101">
        <f t="shared" si="46"/>
        <v>2021.2824107652905</v>
      </c>
      <c r="V399" s="45"/>
      <c r="W399" s="45"/>
      <c r="X399" s="45"/>
      <c r="Y399" s="45"/>
      <c r="Z399" s="45"/>
      <c r="AA399" s="45"/>
    </row>
    <row r="400" spans="2:27" x14ac:dyDescent="0.45">
      <c r="B400" s="45" t="s">
        <v>206</v>
      </c>
      <c r="C400" s="90"/>
      <c r="D400" s="56"/>
      <c r="E400" s="84"/>
      <c r="F400" s="58"/>
      <c r="G400" s="58"/>
      <c r="H400" s="58"/>
      <c r="I400" s="58"/>
      <c r="J400" s="58"/>
      <c r="K400" s="58"/>
      <c r="L400" s="59">
        <f t="shared" si="43"/>
        <v>0</v>
      </c>
      <c r="M400" s="68"/>
      <c r="N400" s="68"/>
      <c r="O400" s="68"/>
      <c r="P400" s="68"/>
      <c r="Q400" s="99" t="e">
        <f t="shared" si="44"/>
        <v>#DIV/0!</v>
      </c>
      <c r="R400" s="100">
        <f t="shared" si="45"/>
        <v>0.43387671059875982</v>
      </c>
      <c r="S400" s="83"/>
      <c r="T400" s="83"/>
      <c r="U400" s="101">
        <f t="shared" si="46"/>
        <v>2021.2824107652905</v>
      </c>
      <c r="V400" s="45"/>
      <c r="W400" s="45"/>
      <c r="X400" s="45"/>
      <c r="Y400" s="45"/>
      <c r="Z400" s="45"/>
      <c r="AA400" s="45"/>
    </row>
    <row r="401" spans="2:27" x14ac:dyDescent="0.45">
      <c r="B401" s="45" t="s">
        <v>207</v>
      </c>
      <c r="C401" s="90"/>
      <c r="D401" s="56"/>
      <c r="E401" s="57"/>
      <c r="F401" s="58"/>
      <c r="G401" s="58"/>
      <c r="H401" s="58"/>
      <c r="I401" s="58"/>
      <c r="J401" s="58"/>
      <c r="K401" s="58"/>
      <c r="L401" s="59">
        <f t="shared" si="43"/>
        <v>0</v>
      </c>
      <c r="M401" s="68"/>
      <c r="N401" s="68"/>
      <c r="O401" s="68"/>
      <c r="P401" s="68"/>
      <c r="Q401" s="99" t="e">
        <f t="shared" si="44"/>
        <v>#DIV/0!</v>
      </c>
      <c r="R401" s="100">
        <f t="shared" si="45"/>
        <v>0.43387671059875982</v>
      </c>
      <c r="S401" s="83"/>
      <c r="T401" s="83"/>
      <c r="U401" s="101">
        <f t="shared" si="46"/>
        <v>2021.2824107652905</v>
      </c>
      <c r="V401" s="45"/>
      <c r="W401" s="45"/>
      <c r="X401" s="45"/>
      <c r="Y401" s="45"/>
      <c r="Z401" s="45"/>
      <c r="AA401" s="45"/>
    </row>
    <row r="402" spans="2:27" x14ac:dyDescent="0.45">
      <c r="B402" s="45" t="s">
        <v>208</v>
      </c>
      <c r="C402" s="90"/>
      <c r="D402" s="56"/>
      <c r="E402" s="80"/>
      <c r="F402" s="58"/>
      <c r="G402" s="58"/>
      <c r="H402" s="58"/>
      <c r="I402" s="58"/>
      <c r="J402" s="58"/>
      <c r="K402" s="58"/>
      <c r="L402" s="59">
        <f t="shared" ref="L402:L465" si="47">1/2*((F402*I402+H402*K402+J402*G402)-(G402*H402+I402*J402+K402*F402))/0.1582*100</f>
        <v>0</v>
      </c>
      <c r="M402" s="68"/>
      <c r="N402" s="68"/>
      <c r="O402" s="68"/>
      <c r="P402" s="68"/>
      <c r="Q402" s="99" t="e">
        <f t="shared" ref="Q402:Q465" si="48">O402/P402</f>
        <v>#DIV/0!</v>
      </c>
      <c r="R402" s="100">
        <f t="shared" ref="R402:R465" si="49">SQRT(POWER(M402-$M$12,2)+POWER(N402-$N$12,2))</f>
        <v>0.43387671059875982</v>
      </c>
      <c r="S402" s="83"/>
      <c r="T402" s="83"/>
      <c r="U402" s="101">
        <f t="shared" ref="U402:U465" si="50">(-449*((M402-0.332)/(N402-0.1858))^3)+(3525*((M402-0.332)/(N402-0.1858))^2)+(-6823.3*(M402-0.332)/(N402-0.1858))+5520.33</f>
        <v>2021.2824107652905</v>
      </c>
      <c r="V402" s="45"/>
      <c r="W402" s="45"/>
      <c r="X402" s="45"/>
      <c r="Y402" s="45"/>
      <c r="Z402" s="45"/>
      <c r="AA402" s="45"/>
    </row>
    <row r="403" spans="2:27" x14ac:dyDescent="0.45">
      <c r="B403" s="45" t="s">
        <v>209</v>
      </c>
      <c r="C403" s="90"/>
      <c r="D403" s="56"/>
      <c r="E403" s="84"/>
      <c r="F403" s="58"/>
      <c r="G403" s="58"/>
      <c r="H403" s="58"/>
      <c r="I403" s="58"/>
      <c r="J403" s="58"/>
      <c r="K403" s="58"/>
      <c r="L403" s="59">
        <f t="shared" si="47"/>
        <v>0</v>
      </c>
      <c r="M403" s="68"/>
      <c r="N403" s="68"/>
      <c r="O403" s="68"/>
      <c r="P403" s="68"/>
      <c r="Q403" s="99" t="e">
        <f t="shared" si="48"/>
        <v>#DIV/0!</v>
      </c>
      <c r="R403" s="100">
        <f t="shared" si="49"/>
        <v>0.43387671059875982</v>
      </c>
      <c r="S403" s="83"/>
      <c r="T403" s="83"/>
      <c r="U403" s="101">
        <f t="shared" si="50"/>
        <v>2021.2824107652905</v>
      </c>
      <c r="V403" s="45"/>
      <c r="W403" s="45"/>
      <c r="X403" s="45"/>
      <c r="Y403" s="45"/>
      <c r="Z403" s="45"/>
      <c r="AA403" s="45"/>
    </row>
    <row r="404" spans="2:27" x14ac:dyDescent="0.45">
      <c r="B404" s="45" t="s">
        <v>210</v>
      </c>
      <c r="C404" s="90"/>
      <c r="D404" s="56"/>
      <c r="E404" s="57"/>
      <c r="F404" s="58"/>
      <c r="G404" s="58"/>
      <c r="H404" s="58"/>
      <c r="I404" s="58"/>
      <c r="J404" s="58"/>
      <c r="K404" s="58"/>
      <c r="L404" s="59">
        <f t="shared" si="47"/>
        <v>0</v>
      </c>
      <c r="M404" s="68"/>
      <c r="N404" s="68"/>
      <c r="O404" s="68"/>
      <c r="P404" s="68"/>
      <c r="Q404" s="99" t="e">
        <f t="shared" si="48"/>
        <v>#DIV/0!</v>
      </c>
      <c r="R404" s="100">
        <f t="shared" si="49"/>
        <v>0.43387671059875982</v>
      </c>
      <c r="S404" s="83"/>
      <c r="T404" s="83"/>
      <c r="U404" s="101">
        <f t="shared" si="50"/>
        <v>2021.2824107652905</v>
      </c>
      <c r="V404" s="45"/>
      <c r="W404" s="45"/>
      <c r="X404" s="45"/>
      <c r="Y404" s="45"/>
      <c r="Z404" s="45"/>
      <c r="AA404" s="45"/>
    </row>
    <row r="405" spans="2:27" x14ac:dyDescent="0.45">
      <c r="B405" s="45" t="s">
        <v>211</v>
      </c>
      <c r="C405" s="90"/>
      <c r="D405" s="56"/>
      <c r="E405" s="80"/>
      <c r="F405" s="58"/>
      <c r="G405" s="58"/>
      <c r="H405" s="58"/>
      <c r="I405" s="58"/>
      <c r="J405" s="58"/>
      <c r="K405" s="58"/>
      <c r="L405" s="59">
        <f t="shared" si="47"/>
        <v>0</v>
      </c>
      <c r="M405" s="68"/>
      <c r="N405" s="68"/>
      <c r="O405" s="68"/>
      <c r="P405" s="68"/>
      <c r="Q405" s="99" t="e">
        <f t="shared" si="48"/>
        <v>#DIV/0!</v>
      </c>
      <c r="R405" s="100">
        <f t="shared" si="49"/>
        <v>0.43387671059875982</v>
      </c>
      <c r="S405" s="83"/>
      <c r="T405" s="83"/>
      <c r="U405" s="101">
        <f t="shared" si="50"/>
        <v>2021.2824107652905</v>
      </c>
      <c r="V405" s="45"/>
      <c r="W405" s="45"/>
      <c r="X405" s="45"/>
      <c r="Y405" s="45"/>
      <c r="Z405" s="45"/>
      <c r="AA405" s="45"/>
    </row>
    <row r="406" spans="2:27" x14ac:dyDescent="0.45">
      <c r="B406" s="45" t="s">
        <v>212</v>
      </c>
      <c r="C406" s="90"/>
      <c r="D406" s="56"/>
      <c r="E406" s="84"/>
      <c r="F406" s="58"/>
      <c r="G406" s="58"/>
      <c r="H406" s="58"/>
      <c r="I406" s="58"/>
      <c r="J406" s="58"/>
      <c r="K406" s="58"/>
      <c r="L406" s="59">
        <f t="shared" si="47"/>
        <v>0</v>
      </c>
      <c r="M406" s="68"/>
      <c r="N406" s="68"/>
      <c r="O406" s="68"/>
      <c r="P406" s="68"/>
      <c r="Q406" s="99" t="e">
        <f t="shared" si="48"/>
        <v>#DIV/0!</v>
      </c>
      <c r="R406" s="100">
        <f t="shared" si="49"/>
        <v>0.43387671059875982</v>
      </c>
      <c r="S406" s="83"/>
      <c r="T406" s="83"/>
      <c r="U406" s="101">
        <f t="shared" si="50"/>
        <v>2021.2824107652905</v>
      </c>
      <c r="V406" s="45"/>
      <c r="W406" s="45"/>
      <c r="X406" s="45"/>
      <c r="Y406" s="45"/>
      <c r="Z406" s="45"/>
      <c r="AA406" s="45"/>
    </row>
    <row r="407" spans="2:27" x14ac:dyDescent="0.45">
      <c r="B407" s="45" t="s">
        <v>213</v>
      </c>
      <c r="C407" s="90"/>
      <c r="D407" s="56"/>
      <c r="E407" s="57"/>
      <c r="F407" s="58"/>
      <c r="G407" s="58"/>
      <c r="H407" s="58"/>
      <c r="I407" s="58"/>
      <c r="J407" s="58"/>
      <c r="K407" s="58"/>
      <c r="L407" s="59">
        <f t="shared" si="47"/>
        <v>0</v>
      </c>
      <c r="M407" s="68"/>
      <c r="N407" s="68"/>
      <c r="O407" s="68"/>
      <c r="P407" s="68"/>
      <c r="Q407" s="99" t="e">
        <f t="shared" si="48"/>
        <v>#DIV/0!</v>
      </c>
      <c r="R407" s="100">
        <f t="shared" si="49"/>
        <v>0.43387671059875982</v>
      </c>
      <c r="S407" s="83"/>
      <c r="T407" s="83"/>
      <c r="U407" s="101">
        <f t="shared" si="50"/>
        <v>2021.2824107652905</v>
      </c>
      <c r="V407" s="45"/>
      <c r="W407" s="45"/>
      <c r="X407" s="45"/>
      <c r="Y407" s="45"/>
      <c r="Z407" s="45"/>
      <c r="AA407" s="45"/>
    </row>
    <row r="408" spans="2:27" x14ac:dyDescent="0.45">
      <c r="B408" s="45" t="s">
        <v>214</v>
      </c>
      <c r="C408" s="90"/>
      <c r="D408" s="56"/>
      <c r="E408" s="80"/>
      <c r="F408" s="58"/>
      <c r="G408" s="58"/>
      <c r="H408" s="58"/>
      <c r="I408" s="58"/>
      <c r="J408" s="58"/>
      <c r="K408" s="58"/>
      <c r="L408" s="59">
        <f t="shared" si="47"/>
        <v>0</v>
      </c>
      <c r="M408" s="68"/>
      <c r="N408" s="68"/>
      <c r="O408" s="68"/>
      <c r="P408" s="68"/>
      <c r="Q408" s="99" t="e">
        <f t="shared" si="48"/>
        <v>#DIV/0!</v>
      </c>
      <c r="R408" s="100">
        <f t="shared" si="49"/>
        <v>0.43387671059875982</v>
      </c>
      <c r="S408" s="83"/>
      <c r="T408" s="83"/>
      <c r="U408" s="101">
        <f t="shared" si="50"/>
        <v>2021.2824107652905</v>
      </c>
      <c r="V408" s="45"/>
      <c r="W408" s="45"/>
      <c r="X408" s="45"/>
      <c r="Y408" s="45"/>
      <c r="Z408" s="45"/>
      <c r="AA408" s="45"/>
    </row>
    <row r="409" spans="2:27" x14ac:dyDescent="0.45">
      <c r="B409" s="45" t="s">
        <v>215</v>
      </c>
      <c r="C409" s="90"/>
      <c r="D409" s="56"/>
      <c r="E409" s="84"/>
      <c r="F409" s="58"/>
      <c r="G409" s="58"/>
      <c r="H409" s="58"/>
      <c r="I409" s="58"/>
      <c r="J409" s="58"/>
      <c r="K409" s="58"/>
      <c r="L409" s="59">
        <f t="shared" si="47"/>
        <v>0</v>
      </c>
      <c r="M409" s="68"/>
      <c r="N409" s="68"/>
      <c r="O409" s="68"/>
      <c r="P409" s="68"/>
      <c r="Q409" s="99" t="e">
        <f t="shared" si="48"/>
        <v>#DIV/0!</v>
      </c>
      <c r="R409" s="100">
        <f t="shared" si="49"/>
        <v>0.43387671059875982</v>
      </c>
      <c r="S409" s="83"/>
      <c r="T409" s="83"/>
      <c r="U409" s="101">
        <f t="shared" si="50"/>
        <v>2021.2824107652905</v>
      </c>
      <c r="V409" s="45"/>
      <c r="W409" s="45"/>
      <c r="X409" s="45"/>
      <c r="Y409" s="45"/>
      <c r="Z409" s="45"/>
      <c r="AA409" s="45"/>
    </row>
    <row r="410" spans="2:27" x14ac:dyDescent="0.45">
      <c r="B410" s="45" t="s">
        <v>216</v>
      </c>
      <c r="C410" s="90"/>
      <c r="D410" s="56"/>
      <c r="E410" s="57"/>
      <c r="F410" s="58"/>
      <c r="G410" s="58"/>
      <c r="H410" s="58"/>
      <c r="I410" s="58"/>
      <c r="J410" s="58"/>
      <c r="K410" s="58"/>
      <c r="L410" s="59">
        <f t="shared" si="47"/>
        <v>0</v>
      </c>
      <c r="M410" s="68"/>
      <c r="N410" s="68"/>
      <c r="O410" s="68"/>
      <c r="P410" s="68"/>
      <c r="Q410" s="99" t="e">
        <f t="shared" si="48"/>
        <v>#DIV/0!</v>
      </c>
      <c r="R410" s="100">
        <f t="shared" si="49"/>
        <v>0.43387671059875982</v>
      </c>
      <c r="S410" s="83"/>
      <c r="T410" s="83"/>
      <c r="U410" s="101">
        <f t="shared" si="50"/>
        <v>2021.2824107652905</v>
      </c>
      <c r="V410" s="45"/>
      <c r="W410" s="45"/>
      <c r="X410" s="45"/>
      <c r="Y410" s="45"/>
      <c r="Z410" s="45"/>
      <c r="AA410" s="45"/>
    </row>
    <row r="411" spans="2:27" x14ac:dyDescent="0.45">
      <c r="B411" s="45" t="s">
        <v>217</v>
      </c>
      <c r="C411" s="90"/>
      <c r="D411" s="56"/>
      <c r="E411" s="80"/>
      <c r="F411" s="58"/>
      <c r="G411" s="58"/>
      <c r="H411" s="58"/>
      <c r="I411" s="58"/>
      <c r="J411" s="58"/>
      <c r="K411" s="58"/>
      <c r="L411" s="59">
        <f t="shared" si="47"/>
        <v>0</v>
      </c>
      <c r="M411" s="68"/>
      <c r="N411" s="68"/>
      <c r="O411" s="68"/>
      <c r="P411" s="68"/>
      <c r="Q411" s="99" t="e">
        <f t="shared" si="48"/>
        <v>#DIV/0!</v>
      </c>
      <c r="R411" s="100">
        <f t="shared" si="49"/>
        <v>0.43387671059875982</v>
      </c>
      <c r="S411" s="83"/>
      <c r="T411" s="83"/>
      <c r="U411" s="101">
        <f t="shared" si="50"/>
        <v>2021.2824107652905</v>
      </c>
      <c r="V411" s="45"/>
      <c r="W411" s="45"/>
      <c r="X411" s="45"/>
      <c r="Y411" s="45"/>
      <c r="Z411" s="45"/>
      <c r="AA411" s="45"/>
    </row>
    <row r="412" spans="2:27" x14ac:dyDescent="0.45">
      <c r="B412" s="45" t="s">
        <v>218</v>
      </c>
      <c r="C412" s="90"/>
      <c r="D412" s="56"/>
      <c r="E412" s="84"/>
      <c r="F412" s="58"/>
      <c r="G412" s="58"/>
      <c r="H412" s="58"/>
      <c r="I412" s="58"/>
      <c r="J412" s="58"/>
      <c r="K412" s="58"/>
      <c r="L412" s="59">
        <f t="shared" si="47"/>
        <v>0</v>
      </c>
      <c r="M412" s="68"/>
      <c r="N412" s="68"/>
      <c r="O412" s="68"/>
      <c r="P412" s="68"/>
      <c r="Q412" s="99" t="e">
        <f t="shared" si="48"/>
        <v>#DIV/0!</v>
      </c>
      <c r="R412" s="100">
        <f t="shared" si="49"/>
        <v>0.43387671059875982</v>
      </c>
      <c r="S412" s="83"/>
      <c r="T412" s="83"/>
      <c r="U412" s="101">
        <f t="shared" si="50"/>
        <v>2021.2824107652905</v>
      </c>
      <c r="V412" s="45"/>
      <c r="W412" s="45"/>
      <c r="X412" s="45"/>
      <c r="Y412" s="45"/>
      <c r="Z412" s="45"/>
      <c r="AA412" s="45"/>
    </row>
    <row r="413" spans="2:27" x14ac:dyDescent="0.45">
      <c r="B413" s="45" t="s">
        <v>219</v>
      </c>
      <c r="C413" s="90"/>
      <c r="D413" s="56"/>
      <c r="E413" s="57"/>
      <c r="F413" s="58"/>
      <c r="G413" s="58"/>
      <c r="H413" s="58"/>
      <c r="I413" s="58"/>
      <c r="J413" s="58"/>
      <c r="K413" s="58"/>
      <c r="L413" s="59">
        <f t="shared" si="47"/>
        <v>0</v>
      </c>
      <c r="M413" s="68"/>
      <c r="N413" s="68"/>
      <c r="O413" s="68"/>
      <c r="P413" s="68"/>
      <c r="Q413" s="99" t="e">
        <f t="shared" si="48"/>
        <v>#DIV/0!</v>
      </c>
      <c r="R413" s="100">
        <f t="shared" si="49"/>
        <v>0.43387671059875982</v>
      </c>
      <c r="S413" s="83"/>
      <c r="T413" s="83"/>
      <c r="U413" s="101">
        <f t="shared" si="50"/>
        <v>2021.2824107652905</v>
      </c>
      <c r="V413" s="45"/>
      <c r="W413" s="45"/>
      <c r="X413" s="45"/>
      <c r="Y413" s="45"/>
      <c r="Z413" s="45"/>
      <c r="AA413" s="45"/>
    </row>
    <row r="414" spans="2:27" x14ac:dyDescent="0.45">
      <c r="B414" s="45" t="s">
        <v>220</v>
      </c>
      <c r="C414" s="90"/>
      <c r="D414" s="56"/>
      <c r="E414" s="80"/>
      <c r="F414" s="58"/>
      <c r="G414" s="58"/>
      <c r="H414" s="58"/>
      <c r="I414" s="58"/>
      <c r="J414" s="58"/>
      <c r="K414" s="58"/>
      <c r="L414" s="59">
        <f t="shared" si="47"/>
        <v>0</v>
      </c>
      <c r="M414" s="68"/>
      <c r="N414" s="68"/>
      <c r="O414" s="68"/>
      <c r="P414" s="68"/>
      <c r="Q414" s="99" t="e">
        <f t="shared" si="48"/>
        <v>#DIV/0!</v>
      </c>
      <c r="R414" s="100">
        <f t="shared" si="49"/>
        <v>0.43387671059875982</v>
      </c>
      <c r="S414" s="83"/>
      <c r="T414" s="83"/>
      <c r="U414" s="101">
        <f t="shared" si="50"/>
        <v>2021.2824107652905</v>
      </c>
      <c r="V414" s="45"/>
      <c r="W414" s="45"/>
      <c r="X414" s="45"/>
      <c r="Y414" s="45"/>
      <c r="Z414" s="45"/>
      <c r="AA414" s="45"/>
    </row>
    <row r="415" spans="2:27" x14ac:dyDescent="0.45">
      <c r="B415" s="45" t="s">
        <v>221</v>
      </c>
      <c r="C415" s="90"/>
      <c r="D415" s="56"/>
      <c r="E415" s="84"/>
      <c r="F415" s="58"/>
      <c r="G415" s="58"/>
      <c r="H415" s="58"/>
      <c r="I415" s="58"/>
      <c r="J415" s="58"/>
      <c r="K415" s="58"/>
      <c r="L415" s="59">
        <f t="shared" si="47"/>
        <v>0</v>
      </c>
      <c r="M415" s="68"/>
      <c r="N415" s="68"/>
      <c r="O415" s="68"/>
      <c r="P415" s="68"/>
      <c r="Q415" s="99" t="e">
        <f t="shared" si="48"/>
        <v>#DIV/0!</v>
      </c>
      <c r="R415" s="100">
        <f t="shared" si="49"/>
        <v>0.43387671059875982</v>
      </c>
      <c r="S415" s="83"/>
      <c r="T415" s="83"/>
      <c r="U415" s="101">
        <f t="shared" si="50"/>
        <v>2021.2824107652905</v>
      </c>
      <c r="V415" s="45"/>
      <c r="W415" s="45"/>
      <c r="X415" s="45"/>
      <c r="Y415" s="45"/>
      <c r="Z415" s="45"/>
      <c r="AA415" s="45"/>
    </row>
    <row r="416" spans="2:27" x14ac:dyDescent="0.45">
      <c r="B416" s="45" t="s">
        <v>222</v>
      </c>
      <c r="C416" s="90"/>
      <c r="D416" s="56"/>
      <c r="E416" s="57"/>
      <c r="F416" s="58"/>
      <c r="G416" s="58"/>
      <c r="H416" s="58"/>
      <c r="I416" s="58"/>
      <c r="J416" s="58"/>
      <c r="K416" s="58"/>
      <c r="L416" s="59">
        <f t="shared" si="47"/>
        <v>0</v>
      </c>
      <c r="M416" s="68"/>
      <c r="N416" s="68"/>
      <c r="O416" s="68"/>
      <c r="P416" s="68"/>
      <c r="Q416" s="99" t="e">
        <f t="shared" si="48"/>
        <v>#DIV/0!</v>
      </c>
      <c r="R416" s="100">
        <f t="shared" si="49"/>
        <v>0.43387671059875982</v>
      </c>
      <c r="S416" s="83"/>
      <c r="T416" s="83"/>
      <c r="U416" s="101">
        <f t="shared" si="50"/>
        <v>2021.2824107652905</v>
      </c>
      <c r="V416" s="45"/>
      <c r="W416" s="45"/>
      <c r="X416" s="45"/>
      <c r="Y416" s="45"/>
      <c r="Z416" s="45"/>
      <c r="AA416" s="45"/>
    </row>
    <row r="417" spans="2:27" x14ac:dyDescent="0.45">
      <c r="B417" s="45" t="s">
        <v>223</v>
      </c>
      <c r="C417" s="90"/>
      <c r="D417" s="56"/>
      <c r="E417" s="80"/>
      <c r="F417" s="58"/>
      <c r="G417" s="58"/>
      <c r="H417" s="58"/>
      <c r="I417" s="58"/>
      <c r="J417" s="58"/>
      <c r="K417" s="58"/>
      <c r="L417" s="59">
        <f t="shared" si="47"/>
        <v>0</v>
      </c>
      <c r="M417" s="68"/>
      <c r="N417" s="68"/>
      <c r="O417" s="68"/>
      <c r="P417" s="68"/>
      <c r="Q417" s="99" t="e">
        <f t="shared" si="48"/>
        <v>#DIV/0!</v>
      </c>
      <c r="R417" s="100">
        <f t="shared" si="49"/>
        <v>0.43387671059875982</v>
      </c>
      <c r="S417" s="83"/>
      <c r="T417" s="83"/>
      <c r="U417" s="101">
        <f t="shared" si="50"/>
        <v>2021.2824107652905</v>
      </c>
      <c r="V417" s="45"/>
      <c r="W417" s="45"/>
      <c r="X417" s="45"/>
      <c r="Y417" s="45"/>
      <c r="Z417" s="45"/>
      <c r="AA417" s="45"/>
    </row>
    <row r="418" spans="2:27" x14ac:dyDescent="0.45">
      <c r="B418" s="45" t="s">
        <v>224</v>
      </c>
      <c r="C418" s="90"/>
      <c r="D418" s="56"/>
      <c r="E418" s="84"/>
      <c r="F418" s="58"/>
      <c r="G418" s="58"/>
      <c r="H418" s="58"/>
      <c r="I418" s="58"/>
      <c r="J418" s="58"/>
      <c r="K418" s="58"/>
      <c r="L418" s="59">
        <f t="shared" si="47"/>
        <v>0</v>
      </c>
      <c r="M418" s="68"/>
      <c r="N418" s="68"/>
      <c r="O418" s="68"/>
      <c r="P418" s="68"/>
      <c r="Q418" s="99" t="e">
        <f t="shared" si="48"/>
        <v>#DIV/0!</v>
      </c>
      <c r="R418" s="100">
        <f t="shared" si="49"/>
        <v>0.43387671059875982</v>
      </c>
      <c r="S418" s="83"/>
      <c r="T418" s="83"/>
      <c r="U418" s="101">
        <f t="shared" si="50"/>
        <v>2021.2824107652905</v>
      </c>
      <c r="V418" s="45"/>
      <c r="W418" s="45"/>
      <c r="X418" s="45"/>
      <c r="Y418" s="45"/>
      <c r="Z418" s="45"/>
      <c r="AA418" s="45"/>
    </row>
    <row r="419" spans="2:27" x14ac:dyDescent="0.45">
      <c r="B419" s="45" t="s">
        <v>225</v>
      </c>
      <c r="C419" s="90"/>
      <c r="D419" s="56"/>
      <c r="E419" s="57"/>
      <c r="F419" s="58"/>
      <c r="G419" s="58"/>
      <c r="H419" s="58"/>
      <c r="I419" s="58"/>
      <c r="J419" s="58"/>
      <c r="K419" s="58"/>
      <c r="L419" s="59">
        <f t="shared" si="47"/>
        <v>0</v>
      </c>
      <c r="M419" s="68"/>
      <c r="N419" s="68"/>
      <c r="O419" s="68"/>
      <c r="P419" s="68"/>
      <c r="Q419" s="99" t="e">
        <f t="shared" si="48"/>
        <v>#DIV/0!</v>
      </c>
      <c r="R419" s="100">
        <f t="shared" si="49"/>
        <v>0.43387671059875982</v>
      </c>
      <c r="S419" s="83"/>
      <c r="T419" s="83"/>
      <c r="U419" s="101">
        <f t="shared" si="50"/>
        <v>2021.2824107652905</v>
      </c>
      <c r="V419" s="45"/>
      <c r="W419" s="45"/>
      <c r="X419" s="45"/>
      <c r="Y419" s="45"/>
      <c r="Z419" s="45"/>
      <c r="AA419" s="45"/>
    </row>
    <row r="420" spans="2:27" x14ac:dyDescent="0.45">
      <c r="B420" s="45" t="s">
        <v>226</v>
      </c>
      <c r="C420" s="90"/>
      <c r="D420" s="56"/>
      <c r="E420" s="80"/>
      <c r="F420" s="58"/>
      <c r="G420" s="58"/>
      <c r="H420" s="58"/>
      <c r="I420" s="58"/>
      <c r="J420" s="58"/>
      <c r="K420" s="58"/>
      <c r="L420" s="59">
        <f t="shared" si="47"/>
        <v>0</v>
      </c>
      <c r="M420" s="68"/>
      <c r="N420" s="68"/>
      <c r="O420" s="68"/>
      <c r="P420" s="68"/>
      <c r="Q420" s="99" t="e">
        <f t="shared" si="48"/>
        <v>#DIV/0!</v>
      </c>
      <c r="R420" s="100">
        <f t="shared" si="49"/>
        <v>0.43387671059875982</v>
      </c>
      <c r="S420" s="83"/>
      <c r="T420" s="83"/>
      <c r="U420" s="101">
        <f t="shared" si="50"/>
        <v>2021.2824107652905</v>
      </c>
      <c r="V420" s="45"/>
      <c r="W420" s="45"/>
      <c r="X420" s="45"/>
      <c r="Y420" s="45"/>
      <c r="Z420" s="45"/>
      <c r="AA420" s="45"/>
    </row>
    <row r="421" spans="2:27" x14ac:dyDescent="0.45">
      <c r="B421" s="45" t="s">
        <v>227</v>
      </c>
      <c r="C421" s="90"/>
      <c r="D421" s="56"/>
      <c r="E421" s="84"/>
      <c r="F421" s="58"/>
      <c r="G421" s="58"/>
      <c r="H421" s="58"/>
      <c r="I421" s="58"/>
      <c r="J421" s="58"/>
      <c r="K421" s="58"/>
      <c r="L421" s="59">
        <f t="shared" si="47"/>
        <v>0</v>
      </c>
      <c r="M421" s="68"/>
      <c r="N421" s="68"/>
      <c r="O421" s="68"/>
      <c r="P421" s="68"/>
      <c r="Q421" s="99" t="e">
        <f t="shared" si="48"/>
        <v>#DIV/0!</v>
      </c>
      <c r="R421" s="100">
        <f t="shared" si="49"/>
        <v>0.43387671059875982</v>
      </c>
      <c r="S421" s="83"/>
      <c r="T421" s="83"/>
      <c r="U421" s="101">
        <f t="shared" si="50"/>
        <v>2021.2824107652905</v>
      </c>
      <c r="V421" s="45"/>
      <c r="W421" s="45"/>
      <c r="X421" s="45"/>
      <c r="Y421" s="45"/>
      <c r="Z421" s="45"/>
      <c r="AA421" s="45"/>
    </row>
    <row r="422" spans="2:27" x14ac:dyDescent="0.45">
      <c r="B422" s="45" t="s">
        <v>228</v>
      </c>
      <c r="C422" s="90"/>
      <c r="D422" s="56"/>
      <c r="E422" s="57"/>
      <c r="F422" s="58"/>
      <c r="G422" s="58"/>
      <c r="H422" s="58"/>
      <c r="I422" s="58"/>
      <c r="J422" s="58"/>
      <c r="K422" s="58"/>
      <c r="L422" s="59">
        <f t="shared" si="47"/>
        <v>0</v>
      </c>
      <c r="M422" s="68"/>
      <c r="N422" s="68"/>
      <c r="O422" s="68"/>
      <c r="P422" s="68"/>
      <c r="Q422" s="99" t="e">
        <f t="shared" si="48"/>
        <v>#DIV/0!</v>
      </c>
      <c r="R422" s="100">
        <f t="shared" si="49"/>
        <v>0.43387671059875982</v>
      </c>
      <c r="S422" s="83"/>
      <c r="T422" s="83"/>
      <c r="U422" s="101">
        <f t="shared" si="50"/>
        <v>2021.2824107652905</v>
      </c>
      <c r="V422" s="45"/>
      <c r="W422" s="45"/>
      <c r="X422" s="45"/>
      <c r="Y422" s="45"/>
      <c r="Z422" s="45"/>
      <c r="AA422" s="45"/>
    </row>
    <row r="423" spans="2:27" x14ac:dyDescent="0.45">
      <c r="B423" s="45" t="s">
        <v>229</v>
      </c>
      <c r="C423" s="90"/>
      <c r="D423" s="56"/>
      <c r="E423" s="80"/>
      <c r="F423" s="58"/>
      <c r="G423" s="58"/>
      <c r="H423" s="58"/>
      <c r="I423" s="58"/>
      <c r="J423" s="58"/>
      <c r="K423" s="58"/>
      <c r="L423" s="59">
        <f t="shared" si="47"/>
        <v>0</v>
      </c>
      <c r="M423" s="68"/>
      <c r="N423" s="68"/>
      <c r="O423" s="68"/>
      <c r="P423" s="68"/>
      <c r="Q423" s="99" t="e">
        <f t="shared" si="48"/>
        <v>#DIV/0!</v>
      </c>
      <c r="R423" s="100">
        <f t="shared" si="49"/>
        <v>0.43387671059875982</v>
      </c>
      <c r="S423" s="83"/>
      <c r="T423" s="83"/>
      <c r="U423" s="101">
        <f t="shared" si="50"/>
        <v>2021.2824107652905</v>
      </c>
      <c r="V423" s="45"/>
      <c r="W423" s="45"/>
      <c r="X423" s="45"/>
      <c r="Y423" s="45"/>
      <c r="Z423" s="45"/>
      <c r="AA423" s="45"/>
    </row>
    <row r="424" spans="2:27" x14ac:dyDescent="0.45">
      <c r="B424" s="45" t="s">
        <v>230</v>
      </c>
      <c r="C424" s="90"/>
      <c r="D424" s="56"/>
      <c r="E424" s="84"/>
      <c r="F424" s="58"/>
      <c r="G424" s="58"/>
      <c r="H424" s="58"/>
      <c r="I424" s="58"/>
      <c r="J424" s="58"/>
      <c r="K424" s="58"/>
      <c r="L424" s="59">
        <f t="shared" si="47"/>
        <v>0</v>
      </c>
      <c r="M424" s="68"/>
      <c r="N424" s="68"/>
      <c r="O424" s="68"/>
      <c r="P424" s="68"/>
      <c r="Q424" s="99" t="e">
        <f t="shared" si="48"/>
        <v>#DIV/0!</v>
      </c>
      <c r="R424" s="100">
        <f t="shared" si="49"/>
        <v>0.43387671059875982</v>
      </c>
      <c r="S424" s="83"/>
      <c r="T424" s="83"/>
      <c r="U424" s="101">
        <f t="shared" si="50"/>
        <v>2021.2824107652905</v>
      </c>
      <c r="V424" s="45"/>
      <c r="W424" s="45"/>
      <c r="X424" s="45"/>
      <c r="Y424" s="45"/>
      <c r="Z424" s="45"/>
      <c r="AA424" s="45"/>
    </row>
    <row r="425" spans="2:27" x14ac:dyDescent="0.45">
      <c r="B425" s="45" t="s">
        <v>231</v>
      </c>
      <c r="C425" s="90"/>
      <c r="D425" s="56"/>
      <c r="E425" s="57"/>
      <c r="F425" s="58"/>
      <c r="G425" s="58"/>
      <c r="H425" s="58"/>
      <c r="I425" s="58"/>
      <c r="J425" s="58"/>
      <c r="K425" s="58"/>
      <c r="L425" s="59">
        <f t="shared" si="47"/>
        <v>0</v>
      </c>
      <c r="M425" s="68"/>
      <c r="N425" s="68"/>
      <c r="O425" s="68"/>
      <c r="P425" s="68"/>
      <c r="Q425" s="99" t="e">
        <f t="shared" si="48"/>
        <v>#DIV/0!</v>
      </c>
      <c r="R425" s="100">
        <f t="shared" si="49"/>
        <v>0.43387671059875982</v>
      </c>
      <c r="S425" s="83"/>
      <c r="T425" s="83"/>
      <c r="U425" s="101">
        <f t="shared" si="50"/>
        <v>2021.2824107652905</v>
      </c>
      <c r="V425" s="45"/>
      <c r="W425" s="45"/>
      <c r="X425" s="45"/>
      <c r="Y425" s="45"/>
      <c r="Z425" s="45"/>
      <c r="AA425" s="45"/>
    </row>
    <row r="426" spans="2:27" x14ac:dyDescent="0.45">
      <c r="B426" s="45" t="s">
        <v>232</v>
      </c>
      <c r="C426" s="90"/>
      <c r="D426" s="56"/>
      <c r="E426" s="80"/>
      <c r="F426" s="58"/>
      <c r="G426" s="58"/>
      <c r="H426" s="58"/>
      <c r="I426" s="58"/>
      <c r="J426" s="58"/>
      <c r="K426" s="58"/>
      <c r="L426" s="59">
        <f t="shared" si="47"/>
        <v>0</v>
      </c>
      <c r="M426" s="68"/>
      <c r="N426" s="68"/>
      <c r="O426" s="68"/>
      <c r="P426" s="68"/>
      <c r="Q426" s="99" t="e">
        <f t="shared" si="48"/>
        <v>#DIV/0!</v>
      </c>
      <c r="R426" s="100">
        <f t="shared" si="49"/>
        <v>0.43387671059875982</v>
      </c>
      <c r="S426" s="83"/>
      <c r="T426" s="83"/>
      <c r="U426" s="101">
        <f t="shared" si="50"/>
        <v>2021.2824107652905</v>
      </c>
      <c r="V426" s="45"/>
      <c r="W426" s="45"/>
      <c r="X426" s="45"/>
      <c r="Y426" s="45"/>
      <c r="Z426" s="45"/>
      <c r="AA426" s="45"/>
    </row>
    <row r="427" spans="2:27" x14ac:dyDescent="0.45">
      <c r="B427" s="45" t="s">
        <v>233</v>
      </c>
      <c r="C427" s="90"/>
      <c r="D427" s="56"/>
      <c r="E427" s="84"/>
      <c r="F427" s="58"/>
      <c r="G427" s="58"/>
      <c r="H427" s="58"/>
      <c r="I427" s="58"/>
      <c r="J427" s="58"/>
      <c r="K427" s="58"/>
      <c r="L427" s="59">
        <f t="shared" si="47"/>
        <v>0</v>
      </c>
      <c r="M427" s="68"/>
      <c r="N427" s="68"/>
      <c r="O427" s="68"/>
      <c r="P427" s="68"/>
      <c r="Q427" s="99" t="e">
        <f t="shared" si="48"/>
        <v>#DIV/0!</v>
      </c>
      <c r="R427" s="100">
        <f t="shared" si="49"/>
        <v>0.43387671059875982</v>
      </c>
      <c r="S427" s="83"/>
      <c r="T427" s="83"/>
      <c r="U427" s="101">
        <f t="shared" si="50"/>
        <v>2021.2824107652905</v>
      </c>
      <c r="V427" s="45"/>
      <c r="W427" s="45"/>
      <c r="X427" s="45"/>
      <c r="Y427" s="45"/>
      <c r="Z427" s="45"/>
      <c r="AA427" s="45"/>
    </row>
    <row r="428" spans="2:27" x14ac:dyDescent="0.45">
      <c r="B428" s="45" t="s">
        <v>234</v>
      </c>
      <c r="C428" s="90"/>
      <c r="D428" s="56"/>
      <c r="E428" s="57"/>
      <c r="F428" s="58"/>
      <c r="G428" s="58"/>
      <c r="H428" s="58"/>
      <c r="I428" s="58"/>
      <c r="J428" s="58"/>
      <c r="K428" s="58"/>
      <c r="L428" s="59">
        <f t="shared" si="47"/>
        <v>0</v>
      </c>
      <c r="M428" s="68"/>
      <c r="N428" s="68"/>
      <c r="O428" s="68"/>
      <c r="P428" s="68"/>
      <c r="Q428" s="99" t="e">
        <f t="shared" si="48"/>
        <v>#DIV/0!</v>
      </c>
      <c r="R428" s="100">
        <f t="shared" si="49"/>
        <v>0.43387671059875982</v>
      </c>
      <c r="S428" s="83"/>
      <c r="T428" s="83"/>
      <c r="U428" s="101">
        <f t="shared" si="50"/>
        <v>2021.2824107652905</v>
      </c>
      <c r="V428" s="45"/>
      <c r="W428" s="45"/>
      <c r="X428" s="45"/>
      <c r="Y428" s="45"/>
      <c r="Z428" s="45"/>
      <c r="AA428" s="45"/>
    </row>
    <row r="429" spans="2:27" x14ac:dyDescent="0.45">
      <c r="B429" s="45" t="s">
        <v>235</v>
      </c>
      <c r="C429" s="90"/>
      <c r="D429" s="56"/>
      <c r="E429" s="80"/>
      <c r="F429" s="58"/>
      <c r="G429" s="58"/>
      <c r="H429" s="58"/>
      <c r="I429" s="58"/>
      <c r="J429" s="58"/>
      <c r="K429" s="58"/>
      <c r="L429" s="59">
        <f t="shared" si="47"/>
        <v>0</v>
      </c>
      <c r="M429" s="68"/>
      <c r="N429" s="68"/>
      <c r="O429" s="68"/>
      <c r="P429" s="68"/>
      <c r="Q429" s="99" t="e">
        <f t="shared" si="48"/>
        <v>#DIV/0!</v>
      </c>
      <c r="R429" s="100">
        <f t="shared" si="49"/>
        <v>0.43387671059875982</v>
      </c>
      <c r="S429" s="83"/>
      <c r="T429" s="83"/>
      <c r="U429" s="101">
        <f t="shared" si="50"/>
        <v>2021.2824107652905</v>
      </c>
      <c r="V429" s="45"/>
      <c r="W429" s="45"/>
      <c r="X429" s="45"/>
      <c r="Y429" s="45"/>
      <c r="Z429" s="45"/>
      <c r="AA429" s="45"/>
    </row>
    <row r="430" spans="2:27" x14ac:dyDescent="0.45">
      <c r="B430" s="45" t="s">
        <v>236</v>
      </c>
      <c r="C430" s="90"/>
      <c r="D430" s="56"/>
      <c r="E430" s="84"/>
      <c r="F430" s="58"/>
      <c r="G430" s="58"/>
      <c r="H430" s="58"/>
      <c r="I430" s="58"/>
      <c r="J430" s="58"/>
      <c r="K430" s="58"/>
      <c r="L430" s="59">
        <f t="shared" si="47"/>
        <v>0</v>
      </c>
      <c r="M430" s="68"/>
      <c r="N430" s="68"/>
      <c r="O430" s="68"/>
      <c r="P430" s="68"/>
      <c r="Q430" s="99" t="e">
        <f t="shared" si="48"/>
        <v>#DIV/0!</v>
      </c>
      <c r="R430" s="100">
        <f t="shared" si="49"/>
        <v>0.43387671059875982</v>
      </c>
      <c r="S430" s="83"/>
      <c r="T430" s="83"/>
      <c r="U430" s="101">
        <f t="shared" si="50"/>
        <v>2021.2824107652905</v>
      </c>
      <c r="V430" s="45"/>
      <c r="W430" s="45"/>
      <c r="X430" s="45"/>
      <c r="Y430" s="45"/>
      <c r="Z430" s="45"/>
      <c r="AA430" s="45"/>
    </row>
    <row r="431" spans="2:27" x14ac:dyDescent="0.45">
      <c r="B431" s="45" t="s">
        <v>237</v>
      </c>
      <c r="C431" s="90"/>
      <c r="D431" s="56"/>
      <c r="E431" s="57"/>
      <c r="F431" s="58"/>
      <c r="G431" s="58"/>
      <c r="H431" s="58"/>
      <c r="I431" s="58"/>
      <c r="J431" s="58"/>
      <c r="K431" s="58"/>
      <c r="L431" s="59">
        <f t="shared" si="47"/>
        <v>0</v>
      </c>
      <c r="M431" s="68"/>
      <c r="N431" s="68"/>
      <c r="O431" s="68"/>
      <c r="P431" s="68"/>
      <c r="Q431" s="99" t="e">
        <f t="shared" si="48"/>
        <v>#DIV/0!</v>
      </c>
      <c r="R431" s="100">
        <f t="shared" si="49"/>
        <v>0.43387671059875982</v>
      </c>
      <c r="S431" s="83"/>
      <c r="T431" s="83"/>
      <c r="U431" s="101">
        <f t="shared" si="50"/>
        <v>2021.2824107652905</v>
      </c>
      <c r="V431" s="45"/>
      <c r="W431" s="45"/>
      <c r="X431" s="45"/>
      <c r="Y431" s="45"/>
      <c r="Z431" s="45"/>
      <c r="AA431" s="45"/>
    </row>
    <row r="432" spans="2:27" x14ac:dyDescent="0.45">
      <c r="B432" s="45" t="s">
        <v>238</v>
      </c>
      <c r="C432" s="90"/>
      <c r="D432" s="56"/>
      <c r="E432" s="80"/>
      <c r="F432" s="58"/>
      <c r="G432" s="58"/>
      <c r="H432" s="58"/>
      <c r="I432" s="58"/>
      <c r="J432" s="58"/>
      <c r="K432" s="58"/>
      <c r="L432" s="59">
        <f t="shared" si="47"/>
        <v>0</v>
      </c>
      <c r="M432" s="68"/>
      <c r="N432" s="68"/>
      <c r="O432" s="68"/>
      <c r="P432" s="68"/>
      <c r="Q432" s="99" t="e">
        <f t="shared" si="48"/>
        <v>#DIV/0!</v>
      </c>
      <c r="R432" s="100">
        <f t="shared" si="49"/>
        <v>0.43387671059875982</v>
      </c>
      <c r="S432" s="83"/>
      <c r="T432" s="83"/>
      <c r="U432" s="101">
        <f t="shared" si="50"/>
        <v>2021.2824107652905</v>
      </c>
      <c r="V432" s="45"/>
      <c r="W432" s="45"/>
      <c r="X432" s="45"/>
      <c r="Y432" s="45"/>
      <c r="Z432" s="45"/>
      <c r="AA432" s="45"/>
    </row>
    <row r="433" spans="2:27" x14ac:dyDescent="0.45">
      <c r="B433" s="45" t="s">
        <v>239</v>
      </c>
      <c r="C433" s="90"/>
      <c r="D433" s="56"/>
      <c r="E433" s="84"/>
      <c r="F433" s="58"/>
      <c r="G433" s="58"/>
      <c r="H433" s="58"/>
      <c r="I433" s="58"/>
      <c r="J433" s="58"/>
      <c r="K433" s="58"/>
      <c r="L433" s="59">
        <f t="shared" si="47"/>
        <v>0</v>
      </c>
      <c r="M433" s="68"/>
      <c r="N433" s="68"/>
      <c r="O433" s="68"/>
      <c r="P433" s="68"/>
      <c r="Q433" s="99" t="e">
        <f t="shared" si="48"/>
        <v>#DIV/0!</v>
      </c>
      <c r="R433" s="100">
        <f t="shared" si="49"/>
        <v>0.43387671059875982</v>
      </c>
      <c r="S433" s="83"/>
      <c r="T433" s="83"/>
      <c r="U433" s="101">
        <f t="shared" si="50"/>
        <v>2021.2824107652905</v>
      </c>
      <c r="V433" s="45"/>
      <c r="W433" s="45"/>
      <c r="X433" s="45"/>
      <c r="Y433" s="45"/>
      <c r="Z433" s="45"/>
      <c r="AA433" s="45"/>
    </row>
    <row r="434" spans="2:27" x14ac:dyDescent="0.45">
      <c r="B434" s="45" t="s">
        <v>240</v>
      </c>
      <c r="C434" s="90"/>
      <c r="D434" s="56"/>
      <c r="E434" s="57"/>
      <c r="F434" s="58"/>
      <c r="G434" s="58"/>
      <c r="H434" s="58"/>
      <c r="I434" s="58"/>
      <c r="J434" s="58"/>
      <c r="K434" s="58"/>
      <c r="L434" s="59">
        <f t="shared" si="47"/>
        <v>0</v>
      </c>
      <c r="M434" s="68"/>
      <c r="N434" s="68"/>
      <c r="O434" s="68"/>
      <c r="P434" s="68"/>
      <c r="Q434" s="99" t="e">
        <f t="shared" si="48"/>
        <v>#DIV/0!</v>
      </c>
      <c r="R434" s="100">
        <f t="shared" si="49"/>
        <v>0.43387671059875982</v>
      </c>
      <c r="S434" s="83"/>
      <c r="T434" s="83"/>
      <c r="U434" s="101">
        <f t="shared" si="50"/>
        <v>2021.2824107652905</v>
      </c>
      <c r="V434" s="45"/>
      <c r="W434" s="45"/>
      <c r="X434" s="45"/>
      <c r="Y434" s="45"/>
      <c r="Z434" s="45"/>
      <c r="AA434" s="45"/>
    </row>
    <row r="435" spans="2:27" x14ac:dyDescent="0.45">
      <c r="B435" s="45" t="s">
        <v>241</v>
      </c>
      <c r="C435" s="90"/>
      <c r="D435" s="56"/>
      <c r="E435" s="80"/>
      <c r="F435" s="58"/>
      <c r="G435" s="58"/>
      <c r="H435" s="58"/>
      <c r="I435" s="58"/>
      <c r="J435" s="58"/>
      <c r="K435" s="58"/>
      <c r="L435" s="59">
        <f t="shared" si="47"/>
        <v>0</v>
      </c>
      <c r="M435" s="68"/>
      <c r="N435" s="68"/>
      <c r="O435" s="68"/>
      <c r="P435" s="68"/>
      <c r="Q435" s="99" t="e">
        <f t="shared" si="48"/>
        <v>#DIV/0!</v>
      </c>
      <c r="R435" s="100">
        <f t="shared" si="49"/>
        <v>0.43387671059875982</v>
      </c>
      <c r="S435" s="83"/>
      <c r="T435" s="83"/>
      <c r="U435" s="101">
        <f t="shared" si="50"/>
        <v>2021.2824107652905</v>
      </c>
      <c r="V435" s="45"/>
      <c r="W435" s="45"/>
      <c r="X435" s="45"/>
      <c r="Y435" s="45"/>
      <c r="Z435" s="45"/>
      <c r="AA435" s="45"/>
    </row>
    <row r="436" spans="2:27" x14ac:dyDescent="0.45">
      <c r="B436" s="45" t="s">
        <v>242</v>
      </c>
      <c r="C436" s="90"/>
      <c r="D436" s="56"/>
      <c r="E436" s="84"/>
      <c r="F436" s="58"/>
      <c r="G436" s="58"/>
      <c r="H436" s="58"/>
      <c r="I436" s="58"/>
      <c r="J436" s="58"/>
      <c r="K436" s="58"/>
      <c r="L436" s="59">
        <f t="shared" si="47"/>
        <v>0</v>
      </c>
      <c r="M436" s="68"/>
      <c r="N436" s="68"/>
      <c r="O436" s="68"/>
      <c r="P436" s="68"/>
      <c r="Q436" s="99" t="e">
        <f t="shared" si="48"/>
        <v>#DIV/0!</v>
      </c>
      <c r="R436" s="100">
        <f t="shared" si="49"/>
        <v>0.43387671059875982</v>
      </c>
      <c r="S436" s="83"/>
      <c r="T436" s="83"/>
      <c r="U436" s="101">
        <f t="shared" si="50"/>
        <v>2021.2824107652905</v>
      </c>
      <c r="V436" s="45"/>
      <c r="W436" s="45"/>
      <c r="X436" s="45"/>
      <c r="Y436" s="45"/>
      <c r="Z436" s="45"/>
      <c r="AA436" s="45"/>
    </row>
    <row r="437" spans="2:27" x14ac:dyDescent="0.45">
      <c r="B437" s="45" t="s">
        <v>243</v>
      </c>
      <c r="C437" s="90"/>
      <c r="D437" s="56"/>
      <c r="E437" s="57"/>
      <c r="F437" s="58"/>
      <c r="G437" s="58"/>
      <c r="H437" s="58"/>
      <c r="I437" s="58"/>
      <c r="J437" s="58"/>
      <c r="K437" s="58"/>
      <c r="L437" s="59">
        <f t="shared" si="47"/>
        <v>0</v>
      </c>
      <c r="M437" s="68"/>
      <c r="N437" s="68"/>
      <c r="O437" s="68"/>
      <c r="P437" s="68"/>
      <c r="Q437" s="99" t="e">
        <f t="shared" si="48"/>
        <v>#DIV/0!</v>
      </c>
      <c r="R437" s="100">
        <f t="shared" si="49"/>
        <v>0.43387671059875982</v>
      </c>
      <c r="S437" s="83"/>
      <c r="T437" s="83"/>
      <c r="U437" s="101">
        <f t="shared" si="50"/>
        <v>2021.2824107652905</v>
      </c>
      <c r="V437" s="45"/>
      <c r="W437" s="45"/>
      <c r="X437" s="45"/>
      <c r="Y437" s="45"/>
      <c r="Z437" s="45"/>
      <c r="AA437" s="45"/>
    </row>
    <row r="438" spans="2:27" x14ac:dyDescent="0.45">
      <c r="B438" s="45" t="s">
        <v>244</v>
      </c>
      <c r="C438" s="90"/>
      <c r="D438" s="56"/>
      <c r="E438" s="80"/>
      <c r="F438" s="58"/>
      <c r="G438" s="58"/>
      <c r="H438" s="58"/>
      <c r="I438" s="58"/>
      <c r="J438" s="58"/>
      <c r="K438" s="58"/>
      <c r="L438" s="59">
        <f t="shared" si="47"/>
        <v>0</v>
      </c>
      <c r="M438" s="68"/>
      <c r="N438" s="68"/>
      <c r="O438" s="68"/>
      <c r="P438" s="68"/>
      <c r="Q438" s="99" t="e">
        <f t="shared" si="48"/>
        <v>#DIV/0!</v>
      </c>
      <c r="R438" s="100">
        <f t="shared" si="49"/>
        <v>0.43387671059875982</v>
      </c>
      <c r="S438" s="83"/>
      <c r="T438" s="83"/>
      <c r="U438" s="101">
        <f t="shared" si="50"/>
        <v>2021.2824107652905</v>
      </c>
      <c r="V438" s="45"/>
      <c r="W438" s="45"/>
      <c r="X438" s="45"/>
      <c r="Y438" s="45"/>
      <c r="Z438" s="45"/>
      <c r="AA438" s="45"/>
    </row>
    <row r="439" spans="2:27" x14ac:dyDescent="0.45">
      <c r="B439" s="45" t="s">
        <v>245</v>
      </c>
      <c r="C439" s="90"/>
      <c r="D439" s="56"/>
      <c r="E439" s="84"/>
      <c r="F439" s="58"/>
      <c r="G439" s="58"/>
      <c r="H439" s="58"/>
      <c r="I439" s="58"/>
      <c r="J439" s="58"/>
      <c r="K439" s="58"/>
      <c r="L439" s="59">
        <f t="shared" si="47"/>
        <v>0</v>
      </c>
      <c r="M439" s="68"/>
      <c r="N439" s="68"/>
      <c r="O439" s="68"/>
      <c r="P439" s="68"/>
      <c r="Q439" s="99" t="e">
        <f t="shared" si="48"/>
        <v>#DIV/0!</v>
      </c>
      <c r="R439" s="100">
        <f t="shared" si="49"/>
        <v>0.43387671059875982</v>
      </c>
      <c r="S439" s="83"/>
      <c r="T439" s="83"/>
      <c r="U439" s="101">
        <f t="shared" si="50"/>
        <v>2021.2824107652905</v>
      </c>
      <c r="V439" s="45"/>
      <c r="W439" s="45"/>
      <c r="X439" s="45"/>
      <c r="Y439" s="45"/>
      <c r="Z439" s="45"/>
      <c r="AA439" s="45"/>
    </row>
    <row r="440" spans="2:27" x14ac:dyDescent="0.45">
      <c r="B440" s="45" t="s">
        <v>246</v>
      </c>
      <c r="C440" s="90"/>
      <c r="D440" s="56"/>
      <c r="E440" s="57"/>
      <c r="F440" s="58"/>
      <c r="G440" s="58"/>
      <c r="H440" s="58"/>
      <c r="I440" s="58"/>
      <c r="J440" s="58"/>
      <c r="K440" s="58"/>
      <c r="L440" s="59">
        <f t="shared" si="47"/>
        <v>0</v>
      </c>
      <c r="M440" s="68"/>
      <c r="N440" s="68"/>
      <c r="O440" s="68"/>
      <c r="P440" s="68"/>
      <c r="Q440" s="99" t="e">
        <f t="shared" si="48"/>
        <v>#DIV/0!</v>
      </c>
      <c r="R440" s="100">
        <f t="shared" si="49"/>
        <v>0.43387671059875982</v>
      </c>
      <c r="S440" s="83"/>
      <c r="T440" s="83"/>
      <c r="U440" s="101">
        <f t="shared" si="50"/>
        <v>2021.2824107652905</v>
      </c>
      <c r="V440" s="45"/>
      <c r="W440" s="45"/>
      <c r="X440" s="45"/>
      <c r="Y440" s="45"/>
      <c r="Z440" s="45"/>
      <c r="AA440" s="45"/>
    </row>
    <row r="441" spans="2:27" x14ac:dyDescent="0.45">
      <c r="B441" s="45" t="s">
        <v>247</v>
      </c>
      <c r="C441" s="90"/>
      <c r="D441" s="56"/>
      <c r="E441" s="80"/>
      <c r="F441" s="58"/>
      <c r="G441" s="58"/>
      <c r="H441" s="58"/>
      <c r="I441" s="58"/>
      <c r="J441" s="58"/>
      <c r="K441" s="58"/>
      <c r="L441" s="59">
        <f t="shared" si="47"/>
        <v>0</v>
      </c>
      <c r="M441" s="68"/>
      <c r="N441" s="68"/>
      <c r="O441" s="68"/>
      <c r="P441" s="68"/>
      <c r="Q441" s="99" t="e">
        <f t="shared" si="48"/>
        <v>#DIV/0!</v>
      </c>
      <c r="R441" s="100">
        <f t="shared" si="49"/>
        <v>0.43387671059875982</v>
      </c>
      <c r="S441" s="83"/>
      <c r="T441" s="83"/>
      <c r="U441" s="101">
        <f t="shared" si="50"/>
        <v>2021.2824107652905</v>
      </c>
      <c r="V441" s="45"/>
      <c r="W441" s="45"/>
      <c r="X441" s="45"/>
      <c r="Y441" s="45"/>
      <c r="Z441" s="45"/>
      <c r="AA441" s="45"/>
    </row>
    <row r="442" spans="2:27" x14ac:dyDescent="0.45">
      <c r="B442" s="45" t="s">
        <v>248</v>
      </c>
      <c r="C442" s="90"/>
      <c r="D442" s="56"/>
      <c r="E442" s="84"/>
      <c r="F442" s="58"/>
      <c r="G442" s="58"/>
      <c r="H442" s="58"/>
      <c r="I442" s="58"/>
      <c r="J442" s="58"/>
      <c r="K442" s="58"/>
      <c r="L442" s="59">
        <f t="shared" si="47"/>
        <v>0</v>
      </c>
      <c r="M442" s="68"/>
      <c r="N442" s="68"/>
      <c r="O442" s="68"/>
      <c r="P442" s="68"/>
      <c r="Q442" s="99" t="e">
        <f t="shared" si="48"/>
        <v>#DIV/0!</v>
      </c>
      <c r="R442" s="100">
        <f t="shared" si="49"/>
        <v>0.43387671059875982</v>
      </c>
      <c r="S442" s="83"/>
      <c r="T442" s="83"/>
      <c r="U442" s="101">
        <f t="shared" si="50"/>
        <v>2021.2824107652905</v>
      </c>
      <c r="V442" s="45"/>
      <c r="W442" s="45"/>
      <c r="X442" s="45"/>
      <c r="Y442" s="45"/>
      <c r="Z442" s="45"/>
      <c r="AA442" s="45"/>
    </row>
    <row r="443" spans="2:27" x14ac:dyDescent="0.45">
      <c r="B443" s="45" t="s">
        <v>249</v>
      </c>
      <c r="C443" s="90"/>
      <c r="D443" s="56"/>
      <c r="E443" s="57"/>
      <c r="F443" s="58"/>
      <c r="G443" s="58"/>
      <c r="H443" s="58"/>
      <c r="I443" s="58"/>
      <c r="J443" s="58"/>
      <c r="K443" s="58"/>
      <c r="L443" s="59">
        <f t="shared" si="47"/>
        <v>0</v>
      </c>
      <c r="M443" s="68"/>
      <c r="N443" s="68"/>
      <c r="O443" s="68"/>
      <c r="P443" s="68"/>
      <c r="Q443" s="99" t="e">
        <f t="shared" si="48"/>
        <v>#DIV/0!</v>
      </c>
      <c r="R443" s="100">
        <f t="shared" si="49"/>
        <v>0.43387671059875982</v>
      </c>
      <c r="S443" s="83"/>
      <c r="T443" s="83"/>
      <c r="U443" s="101">
        <f t="shared" si="50"/>
        <v>2021.2824107652905</v>
      </c>
      <c r="V443" s="45"/>
      <c r="W443" s="45"/>
      <c r="X443" s="45"/>
      <c r="Y443" s="45"/>
      <c r="Z443" s="45"/>
      <c r="AA443" s="45"/>
    </row>
    <row r="444" spans="2:27" x14ac:dyDescent="0.45">
      <c r="B444" s="45" t="s">
        <v>250</v>
      </c>
      <c r="C444" s="90"/>
      <c r="D444" s="56"/>
      <c r="E444" s="80"/>
      <c r="F444" s="58"/>
      <c r="G444" s="58"/>
      <c r="H444" s="58"/>
      <c r="I444" s="58"/>
      <c r="J444" s="58"/>
      <c r="K444" s="58"/>
      <c r="L444" s="59">
        <f t="shared" si="47"/>
        <v>0</v>
      </c>
      <c r="M444" s="68"/>
      <c r="N444" s="68"/>
      <c r="O444" s="68"/>
      <c r="P444" s="68"/>
      <c r="Q444" s="99" t="e">
        <f t="shared" si="48"/>
        <v>#DIV/0!</v>
      </c>
      <c r="R444" s="100">
        <f t="shared" si="49"/>
        <v>0.43387671059875982</v>
      </c>
      <c r="S444" s="83"/>
      <c r="T444" s="83"/>
      <c r="U444" s="101">
        <f t="shared" si="50"/>
        <v>2021.2824107652905</v>
      </c>
      <c r="V444" s="45"/>
      <c r="W444" s="45"/>
      <c r="X444" s="45"/>
      <c r="Y444" s="45"/>
      <c r="Z444" s="45"/>
      <c r="AA444" s="45"/>
    </row>
    <row r="445" spans="2:27" x14ac:dyDescent="0.45">
      <c r="B445" s="45" t="s">
        <v>251</v>
      </c>
      <c r="C445" s="90"/>
      <c r="D445" s="56"/>
      <c r="E445" s="84"/>
      <c r="F445" s="58"/>
      <c r="G445" s="58"/>
      <c r="H445" s="58"/>
      <c r="I445" s="58"/>
      <c r="J445" s="58"/>
      <c r="K445" s="58"/>
      <c r="L445" s="59">
        <f t="shared" si="47"/>
        <v>0</v>
      </c>
      <c r="M445" s="68"/>
      <c r="N445" s="68"/>
      <c r="O445" s="68"/>
      <c r="P445" s="68"/>
      <c r="Q445" s="99" t="e">
        <f t="shared" si="48"/>
        <v>#DIV/0!</v>
      </c>
      <c r="R445" s="100">
        <f t="shared" si="49"/>
        <v>0.43387671059875982</v>
      </c>
      <c r="S445" s="83"/>
      <c r="T445" s="83"/>
      <c r="U445" s="101">
        <f t="shared" si="50"/>
        <v>2021.2824107652905</v>
      </c>
      <c r="V445" s="45"/>
      <c r="W445" s="45"/>
      <c r="X445" s="45"/>
      <c r="Y445" s="45"/>
      <c r="Z445" s="45"/>
      <c r="AA445" s="45"/>
    </row>
    <row r="446" spans="2:27" x14ac:dyDescent="0.45">
      <c r="B446" s="45" t="s">
        <v>252</v>
      </c>
      <c r="C446" s="90"/>
      <c r="D446" s="56"/>
      <c r="E446" s="57"/>
      <c r="F446" s="58"/>
      <c r="G446" s="58"/>
      <c r="H446" s="58"/>
      <c r="I446" s="58"/>
      <c r="J446" s="58"/>
      <c r="K446" s="58"/>
      <c r="L446" s="59">
        <f t="shared" si="47"/>
        <v>0</v>
      </c>
      <c r="M446" s="68"/>
      <c r="N446" s="68"/>
      <c r="O446" s="68"/>
      <c r="P446" s="68"/>
      <c r="Q446" s="99" t="e">
        <f t="shared" si="48"/>
        <v>#DIV/0!</v>
      </c>
      <c r="R446" s="100">
        <f t="shared" si="49"/>
        <v>0.43387671059875982</v>
      </c>
      <c r="S446" s="83"/>
      <c r="T446" s="83"/>
      <c r="U446" s="101">
        <f t="shared" si="50"/>
        <v>2021.2824107652905</v>
      </c>
      <c r="V446" s="45"/>
      <c r="W446" s="45"/>
      <c r="X446" s="45"/>
      <c r="Y446" s="45"/>
      <c r="Z446" s="45"/>
      <c r="AA446" s="45"/>
    </row>
    <row r="447" spans="2:27" x14ac:dyDescent="0.45">
      <c r="B447" s="45" t="s">
        <v>253</v>
      </c>
      <c r="C447" s="90"/>
      <c r="D447" s="56"/>
      <c r="E447" s="80"/>
      <c r="F447" s="58"/>
      <c r="G447" s="58"/>
      <c r="H447" s="58"/>
      <c r="I447" s="58"/>
      <c r="J447" s="58"/>
      <c r="K447" s="58"/>
      <c r="L447" s="59">
        <f t="shared" si="47"/>
        <v>0</v>
      </c>
      <c r="M447" s="68"/>
      <c r="N447" s="68"/>
      <c r="O447" s="68"/>
      <c r="P447" s="68"/>
      <c r="Q447" s="99" t="e">
        <f t="shared" si="48"/>
        <v>#DIV/0!</v>
      </c>
      <c r="R447" s="100">
        <f t="shared" si="49"/>
        <v>0.43387671059875982</v>
      </c>
      <c r="S447" s="83"/>
      <c r="T447" s="83"/>
      <c r="U447" s="101">
        <f t="shared" si="50"/>
        <v>2021.2824107652905</v>
      </c>
      <c r="V447" s="45"/>
      <c r="W447" s="45"/>
      <c r="X447" s="45"/>
      <c r="Y447" s="45"/>
      <c r="Z447" s="45"/>
      <c r="AA447" s="45"/>
    </row>
    <row r="448" spans="2:27" x14ac:dyDescent="0.45">
      <c r="B448" s="45" t="s">
        <v>254</v>
      </c>
      <c r="C448" s="90"/>
      <c r="D448" s="56"/>
      <c r="E448" s="84"/>
      <c r="F448" s="58"/>
      <c r="G448" s="58"/>
      <c r="H448" s="58"/>
      <c r="I448" s="58"/>
      <c r="J448" s="58"/>
      <c r="K448" s="58"/>
      <c r="L448" s="59">
        <f t="shared" si="47"/>
        <v>0</v>
      </c>
      <c r="M448" s="68"/>
      <c r="N448" s="68"/>
      <c r="O448" s="68"/>
      <c r="P448" s="68"/>
      <c r="Q448" s="99" t="e">
        <f t="shared" si="48"/>
        <v>#DIV/0!</v>
      </c>
      <c r="R448" s="100">
        <f t="shared" si="49"/>
        <v>0.43387671059875982</v>
      </c>
      <c r="S448" s="83"/>
      <c r="T448" s="83"/>
      <c r="U448" s="101">
        <f t="shared" si="50"/>
        <v>2021.2824107652905</v>
      </c>
      <c r="V448" s="45"/>
      <c r="W448" s="45"/>
      <c r="X448" s="45"/>
      <c r="Y448" s="45"/>
      <c r="Z448" s="45"/>
      <c r="AA448" s="45"/>
    </row>
    <row r="449" spans="2:27" x14ac:dyDescent="0.45">
      <c r="B449" s="45" t="s">
        <v>255</v>
      </c>
      <c r="C449" s="90"/>
      <c r="D449" s="56"/>
      <c r="E449" s="57"/>
      <c r="F449" s="58"/>
      <c r="G449" s="58"/>
      <c r="H449" s="58"/>
      <c r="I449" s="58"/>
      <c r="J449" s="58"/>
      <c r="K449" s="58"/>
      <c r="L449" s="59">
        <f t="shared" si="47"/>
        <v>0</v>
      </c>
      <c r="M449" s="68"/>
      <c r="N449" s="68"/>
      <c r="O449" s="68"/>
      <c r="P449" s="68"/>
      <c r="Q449" s="99" t="e">
        <f t="shared" si="48"/>
        <v>#DIV/0!</v>
      </c>
      <c r="R449" s="100">
        <f t="shared" si="49"/>
        <v>0.43387671059875982</v>
      </c>
      <c r="S449" s="83"/>
      <c r="T449" s="83"/>
      <c r="U449" s="101">
        <f t="shared" si="50"/>
        <v>2021.2824107652905</v>
      </c>
      <c r="V449" s="45"/>
      <c r="W449" s="45"/>
      <c r="X449" s="45"/>
      <c r="Y449" s="45"/>
      <c r="Z449" s="45"/>
      <c r="AA449" s="45"/>
    </row>
    <row r="450" spans="2:27" x14ac:dyDescent="0.45">
      <c r="B450" s="45" t="s">
        <v>256</v>
      </c>
      <c r="C450" s="90"/>
      <c r="D450" s="56"/>
      <c r="E450" s="80"/>
      <c r="F450" s="58"/>
      <c r="G450" s="58"/>
      <c r="H450" s="58"/>
      <c r="I450" s="58"/>
      <c r="J450" s="58"/>
      <c r="K450" s="58"/>
      <c r="L450" s="59">
        <f t="shared" si="47"/>
        <v>0</v>
      </c>
      <c r="M450" s="68"/>
      <c r="N450" s="68"/>
      <c r="O450" s="68"/>
      <c r="P450" s="68"/>
      <c r="Q450" s="99" t="e">
        <f t="shared" si="48"/>
        <v>#DIV/0!</v>
      </c>
      <c r="R450" s="100">
        <f t="shared" si="49"/>
        <v>0.43387671059875982</v>
      </c>
      <c r="S450" s="83"/>
      <c r="T450" s="83"/>
      <c r="U450" s="101">
        <f t="shared" si="50"/>
        <v>2021.2824107652905</v>
      </c>
      <c r="V450" s="45"/>
      <c r="W450" s="45"/>
      <c r="X450" s="45"/>
      <c r="Y450" s="45"/>
      <c r="Z450" s="45"/>
      <c r="AA450" s="45"/>
    </row>
    <row r="451" spans="2:27" x14ac:dyDescent="0.45">
      <c r="B451" s="45" t="s">
        <v>257</v>
      </c>
      <c r="C451" s="90"/>
      <c r="D451" s="56"/>
      <c r="E451" s="84"/>
      <c r="F451" s="58"/>
      <c r="G451" s="58"/>
      <c r="H451" s="58"/>
      <c r="I451" s="58"/>
      <c r="J451" s="58"/>
      <c r="K451" s="58"/>
      <c r="L451" s="59">
        <f t="shared" si="47"/>
        <v>0</v>
      </c>
      <c r="M451" s="68"/>
      <c r="N451" s="68"/>
      <c r="O451" s="68"/>
      <c r="P451" s="68"/>
      <c r="Q451" s="99" t="e">
        <f t="shared" si="48"/>
        <v>#DIV/0!</v>
      </c>
      <c r="R451" s="100">
        <f t="shared" si="49"/>
        <v>0.43387671059875982</v>
      </c>
      <c r="S451" s="83"/>
      <c r="T451" s="83"/>
      <c r="U451" s="101">
        <f t="shared" si="50"/>
        <v>2021.2824107652905</v>
      </c>
      <c r="V451" s="45"/>
      <c r="W451" s="45"/>
      <c r="X451" s="45"/>
      <c r="Y451" s="45"/>
      <c r="Z451" s="45"/>
      <c r="AA451" s="45"/>
    </row>
    <row r="452" spans="2:27" x14ac:dyDescent="0.45">
      <c r="B452" s="45" t="s">
        <v>258</v>
      </c>
      <c r="C452" s="90"/>
      <c r="D452" s="56"/>
      <c r="E452" s="57"/>
      <c r="F452" s="58"/>
      <c r="G452" s="58"/>
      <c r="H452" s="58"/>
      <c r="I452" s="58"/>
      <c r="J452" s="58"/>
      <c r="K452" s="58"/>
      <c r="L452" s="59">
        <f t="shared" si="47"/>
        <v>0</v>
      </c>
      <c r="M452" s="68"/>
      <c r="N452" s="68"/>
      <c r="O452" s="68"/>
      <c r="P452" s="68"/>
      <c r="Q452" s="99" t="e">
        <f t="shared" si="48"/>
        <v>#DIV/0!</v>
      </c>
      <c r="R452" s="100">
        <f t="shared" si="49"/>
        <v>0.43387671059875982</v>
      </c>
      <c r="S452" s="83"/>
      <c r="T452" s="83"/>
      <c r="U452" s="101">
        <f t="shared" si="50"/>
        <v>2021.2824107652905</v>
      </c>
      <c r="V452" s="45"/>
      <c r="W452" s="45"/>
      <c r="X452" s="45"/>
      <c r="Y452" s="45"/>
      <c r="Z452" s="45"/>
      <c r="AA452" s="45"/>
    </row>
    <row r="453" spans="2:27" x14ac:dyDescent="0.45">
      <c r="B453" s="45" t="s">
        <v>259</v>
      </c>
      <c r="C453" s="90"/>
      <c r="D453" s="56"/>
      <c r="E453" s="80"/>
      <c r="F453" s="58"/>
      <c r="G453" s="58"/>
      <c r="H453" s="58"/>
      <c r="I453" s="58"/>
      <c r="J453" s="58"/>
      <c r="K453" s="58"/>
      <c r="L453" s="59">
        <f t="shared" si="47"/>
        <v>0</v>
      </c>
      <c r="M453" s="68"/>
      <c r="N453" s="68"/>
      <c r="O453" s="68"/>
      <c r="P453" s="68"/>
      <c r="Q453" s="99" t="e">
        <f t="shared" si="48"/>
        <v>#DIV/0!</v>
      </c>
      <c r="R453" s="100">
        <f t="shared" si="49"/>
        <v>0.43387671059875982</v>
      </c>
      <c r="S453" s="83"/>
      <c r="T453" s="83"/>
      <c r="U453" s="101">
        <f t="shared" si="50"/>
        <v>2021.2824107652905</v>
      </c>
      <c r="V453" s="45"/>
      <c r="W453" s="45"/>
      <c r="X453" s="45"/>
      <c r="Y453" s="45"/>
      <c r="Z453" s="45"/>
      <c r="AA453" s="45"/>
    </row>
    <row r="454" spans="2:27" x14ac:dyDescent="0.45">
      <c r="B454" s="45" t="s">
        <v>260</v>
      </c>
      <c r="C454" s="90"/>
      <c r="D454" s="56"/>
      <c r="E454" s="84"/>
      <c r="F454" s="58"/>
      <c r="G454" s="58"/>
      <c r="H454" s="58"/>
      <c r="I454" s="58"/>
      <c r="J454" s="58"/>
      <c r="K454" s="58"/>
      <c r="L454" s="59">
        <f t="shared" si="47"/>
        <v>0</v>
      </c>
      <c r="M454" s="68"/>
      <c r="N454" s="68"/>
      <c r="O454" s="68"/>
      <c r="P454" s="68"/>
      <c r="Q454" s="99" t="e">
        <f t="shared" si="48"/>
        <v>#DIV/0!</v>
      </c>
      <c r="R454" s="100">
        <f t="shared" si="49"/>
        <v>0.43387671059875982</v>
      </c>
      <c r="S454" s="83"/>
      <c r="T454" s="83"/>
      <c r="U454" s="101">
        <f t="shared" si="50"/>
        <v>2021.2824107652905</v>
      </c>
      <c r="V454" s="45"/>
      <c r="W454" s="45"/>
      <c r="X454" s="45"/>
      <c r="Y454" s="45"/>
      <c r="Z454" s="45"/>
      <c r="AA454" s="45"/>
    </row>
    <row r="455" spans="2:27" x14ac:dyDescent="0.45">
      <c r="B455" s="45" t="s">
        <v>261</v>
      </c>
      <c r="C455" s="90"/>
      <c r="D455" s="56"/>
      <c r="E455" s="57"/>
      <c r="F455" s="58"/>
      <c r="G455" s="58"/>
      <c r="H455" s="58"/>
      <c r="I455" s="58"/>
      <c r="J455" s="58"/>
      <c r="K455" s="58"/>
      <c r="L455" s="59">
        <f t="shared" si="47"/>
        <v>0</v>
      </c>
      <c r="M455" s="68"/>
      <c r="N455" s="68"/>
      <c r="O455" s="68"/>
      <c r="P455" s="68"/>
      <c r="Q455" s="99" t="e">
        <f t="shared" si="48"/>
        <v>#DIV/0!</v>
      </c>
      <c r="R455" s="100">
        <f t="shared" si="49"/>
        <v>0.43387671059875982</v>
      </c>
      <c r="S455" s="83"/>
      <c r="T455" s="83"/>
      <c r="U455" s="101">
        <f t="shared" si="50"/>
        <v>2021.2824107652905</v>
      </c>
      <c r="V455" s="45"/>
      <c r="W455" s="45"/>
      <c r="X455" s="45"/>
      <c r="Y455" s="45"/>
      <c r="Z455" s="45"/>
      <c r="AA455" s="45"/>
    </row>
    <row r="456" spans="2:27" x14ac:dyDescent="0.45">
      <c r="B456" s="45" t="s">
        <v>262</v>
      </c>
      <c r="C456" s="90"/>
      <c r="D456" s="56"/>
      <c r="E456" s="80"/>
      <c r="F456" s="58"/>
      <c r="G456" s="58"/>
      <c r="H456" s="58"/>
      <c r="I456" s="58"/>
      <c r="J456" s="58"/>
      <c r="K456" s="58"/>
      <c r="L456" s="59">
        <f t="shared" si="47"/>
        <v>0</v>
      </c>
      <c r="M456" s="68"/>
      <c r="N456" s="68"/>
      <c r="O456" s="68"/>
      <c r="P456" s="68"/>
      <c r="Q456" s="99" t="e">
        <f t="shared" si="48"/>
        <v>#DIV/0!</v>
      </c>
      <c r="R456" s="100">
        <f t="shared" si="49"/>
        <v>0.43387671059875982</v>
      </c>
      <c r="S456" s="83"/>
      <c r="T456" s="83"/>
      <c r="U456" s="101">
        <f t="shared" si="50"/>
        <v>2021.2824107652905</v>
      </c>
      <c r="V456" s="45"/>
      <c r="W456" s="45"/>
      <c r="X456" s="45"/>
      <c r="Y456" s="45"/>
      <c r="Z456" s="45"/>
      <c r="AA456" s="45"/>
    </row>
    <row r="457" spans="2:27" x14ac:dyDescent="0.45">
      <c r="B457" s="45" t="s">
        <v>263</v>
      </c>
      <c r="C457" s="90"/>
      <c r="D457" s="56"/>
      <c r="E457" s="84"/>
      <c r="F457" s="58"/>
      <c r="G457" s="58"/>
      <c r="H457" s="58"/>
      <c r="I457" s="58"/>
      <c r="J457" s="58"/>
      <c r="K457" s="58"/>
      <c r="L457" s="59">
        <f t="shared" si="47"/>
        <v>0</v>
      </c>
      <c r="M457" s="68"/>
      <c r="N457" s="68"/>
      <c r="O457" s="68"/>
      <c r="P457" s="68"/>
      <c r="Q457" s="99" t="e">
        <f t="shared" si="48"/>
        <v>#DIV/0!</v>
      </c>
      <c r="R457" s="100">
        <f t="shared" si="49"/>
        <v>0.43387671059875982</v>
      </c>
      <c r="S457" s="83"/>
      <c r="T457" s="83"/>
      <c r="U457" s="101">
        <f t="shared" si="50"/>
        <v>2021.2824107652905</v>
      </c>
      <c r="V457" s="45"/>
      <c r="W457" s="45"/>
      <c r="X457" s="45"/>
      <c r="Y457" s="45"/>
      <c r="Z457" s="45"/>
      <c r="AA457" s="45"/>
    </row>
    <row r="458" spans="2:27" x14ac:dyDescent="0.45">
      <c r="B458" s="45" t="s">
        <v>264</v>
      </c>
      <c r="C458" s="90"/>
      <c r="D458" s="56"/>
      <c r="E458" s="57"/>
      <c r="F458" s="58"/>
      <c r="G458" s="58"/>
      <c r="H458" s="58"/>
      <c r="I458" s="58"/>
      <c r="J458" s="58"/>
      <c r="K458" s="58"/>
      <c r="L458" s="59">
        <f t="shared" si="47"/>
        <v>0</v>
      </c>
      <c r="M458" s="68"/>
      <c r="N458" s="68"/>
      <c r="O458" s="68"/>
      <c r="P458" s="68"/>
      <c r="Q458" s="99" t="e">
        <f t="shared" si="48"/>
        <v>#DIV/0!</v>
      </c>
      <c r="R458" s="100">
        <f t="shared" si="49"/>
        <v>0.43387671059875982</v>
      </c>
      <c r="S458" s="83"/>
      <c r="T458" s="83"/>
      <c r="U458" s="101">
        <f t="shared" si="50"/>
        <v>2021.2824107652905</v>
      </c>
      <c r="V458" s="45"/>
      <c r="W458" s="45"/>
      <c r="X458" s="45"/>
      <c r="Y458" s="45"/>
      <c r="Z458" s="45"/>
      <c r="AA458" s="45"/>
    </row>
    <row r="459" spans="2:27" x14ac:dyDescent="0.45">
      <c r="B459" s="45" t="s">
        <v>265</v>
      </c>
      <c r="C459" s="90"/>
      <c r="D459" s="56"/>
      <c r="E459" s="80"/>
      <c r="F459" s="58"/>
      <c r="G459" s="58"/>
      <c r="H459" s="58"/>
      <c r="I459" s="58"/>
      <c r="J459" s="58"/>
      <c r="K459" s="58"/>
      <c r="L459" s="59">
        <f t="shared" si="47"/>
        <v>0</v>
      </c>
      <c r="M459" s="68"/>
      <c r="N459" s="68"/>
      <c r="O459" s="68"/>
      <c r="P459" s="68"/>
      <c r="Q459" s="99" t="e">
        <f t="shared" si="48"/>
        <v>#DIV/0!</v>
      </c>
      <c r="R459" s="100">
        <f t="shared" si="49"/>
        <v>0.43387671059875982</v>
      </c>
      <c r="S459" s="83"/>
      <c r="T459" s="83"/>
      <c r="U459" s="101">
        <f t="shared" si="50"/>
        <v>2021.2824107652905</v>
      </c>
      <c r="V459" s="45"/>
      <c r="W459" s="45"/>
      <c r="X459" s="45"/>
      <c r="Y459" s="45"/>
      <c r="Z459" s="45"/>
      <c r="AA459" s="45"/>
    </row>
    <row r="460" spans="2:27" x14ac:dyDescent="0.45">
      <c r="B460" s="45" t="s">
        <v>266</v>
      </c>
      <c r="C460" s="90"/>
      <c r="D460" s="56"/>
      <c r="E460" s="84"/>
      <c r="F460" s="58"/>
      <c r="G460" s="58"/>
      <c r="H460" s="58"/>
      <c r="I460" s="58"/>
      <c r="J460" s="58"/>
      <c r="K460" s="58"/>
      <c r="L460" s="59">
        <f t="shared" si="47"/>
        <v>0</v>
      </c>
      <c r="M460" s="68"/>
      <c r="N460" s="68"/>
      <c r="O460" s="68"/>
      <c r="P460" s="68"/>
      <c r="Q460" s="99" t="e">
        <f t="shared" si="48"/>
        <v>#DIV/0!</v>
      </c>
      <c r="R460" s="100">
        <f t="shared" si="49"/>
        <v>0.43387671059875982</v>
      </c>
      <c r="S460" s="83"/>
      <c r="T460" s="83"/>
      <c r="U460" s="101">
        <f t="shared" si="50"/>
        <v>2021.2824107652905</v>
      </c>
      <c r="V460" s="45"/>
      <c r="W460" s="45"/>
      <c r="X460" s="45"/>
      <c r="Y460" s="45"/>
      <c r="Z460" s="45"/>
      <c r="AA460" s="45"/>
    </row>
    <row r="461" spans="2:27" x14ac:dyDescent="0.45">
      <c r="B461" s="45" t="s">
        <v>267</v>
      </c>
      <c r="C461" s="90"/>
      <c r="D461" s="56"/>
      <c r="E461" s="57"/>
      <c r="F461" s="58"/>
      <c r="G461" s="58"/>
      <c r="H461" s="58"/>
      <c r="I461" s="58"/>
      <c r="J461" s="58"/>
      <c r="K461" s="58"/>
      <c r="L461" s="59">
        <f t="shared" si="47"/>
        <v>0</v>
      </c>
      <c r="M461" s="68"/>
      <c r="N461" s="68"/>
      <c r="O461" s="68"/>
      <c r="P461" s="68"/>
      <c r="Q461" s="99" t="e">
        <f t="shared" si="48"/>
        <v>#DIV/0!</v>
      </c>
      <c r="R461" s="100">
        <f t="shared" si="49"/>
        <v>0.43387671059875982</v>
      </c>
      <c r="S461" s="83"/>
      <c r="T461" s="83"/>
      <c r="U461" s="101">
        <f t="shared" si="50"/>
        <v>2021.2824107652905</v>
      </c>
      <c r="V461" s="45"/>
      <c r="W461" s="45"/>
      <c r="X461" s="45"/>
      <c r="Y461" s="45"/>
      <c r="Z461" s="45"/>
      <c r="AA461" s="45"/>
    </row>
    <row r="462" spans="2:27" x14ac:dyDescent="0.45">
      <c r="B462" s="45" t="s">
        <v>268</v>
      </c>
      <c r="C462" s="90"/>
      <c r="D462" s="56"/>
      <c r="E462" s="80"/>
      <c r="F462" s="58"/>
      <c r="G462" s="58"/>
      <c r="H462" s="58"/>
      <c r="I462" s="58"/>
      <c r="J462" s="58"/>
      <c r="K462" s="58"/>
      <c r="L462" s="59">
        <f t="shared" si="47"/>
        <v>0</v>
      </c>
      <c r="M462" s="68"/>
      <c r="N462" s="68"/>
      <c r="O462" s="68"/>
      <c r="P462" s="68"/>
      <c r="Q462" s="99" t="e">
        <f t="shared" si="48"/>
        <v>#DIV/0!</v>
      </c>
      <c r="R462" s="100">
        <f t="shared" si="49"/>
        <v>0.43387671059875982</v>
      </c>
      <c r="S462" s="83"/>
      <c r="T462" s="83"/>
      <c r="U462" s="101">
        <f t="shared" si="50"/>
        <v>2021.2824107652905</v>
      </c>
      <c r="V462" s="45"/>
      <c r="W462" s="45"/>
      <c r="X462" s="45"/>
      <c r="Y462" s="45"/>
      <c r="Z462" s="45"/>
      <c r="AA462" s="45"/>
    </row>
    <row r="463" spans="2:27" x14ac:dyDescent="0.45">
      <c r="B463" s="45" t="s">
        <v>269</v>
      </c>
      <c r="C463" s="90"/>
      <c r="D463" s="56"/>
      <c r="E463" s="84"/>
      <c r="F463" s="58"/>
      <c r="G463" s="58"/>
      <c r="H463" s="58"/>
      <c r="I463" s="58"/>
      <c r="J463" s="58"/>
      <c r="K463" s="58"/>
      <c r="L463" s="59">
        <f t="shared" si="47"/>
        <v>0</v>
      </c>
      <c r="M463" s="68"/>
      <c r="N463" s="68"/>
      <c r="O463" s="68"/>
      <c r="P463" s="68"/>
      <c r="Q463" s="99" t="e">
        <f t="shared" si="48"/>
        <v>#DIV/0!</v>
      </c>
      <c r="R463" s="100">
        <f t="shared" si="49"/>
        <v>0.43387671059875982</v>
      </c>
      <c r="S463" s="83"/>
      <c r="T463" s="83"/>
      <c r="U463" s="101">
        <f t="shared" si="50"/>
        <v>2021.2824107652905</v>
      </c>
      <c r="V463" s="45"/>
      <c r="W463" s="45"/>
      <c r="X463" s="45"/>
      <c r="Y463" s="45"/>
      <c r="Z463" s="45"/>
      <c r="AA463" s="45"/>
    </row>
    <row r="464" spans="2:27" x14ac:dyDescent="0.45">
      <c r="B464" s="45" t="s">
        <v>270</v>
      </c>
      <c r="C464" s="90"/>
      <c r="D464" s="56"/>
      <c r="E464" s="57"/>
      <c r="F464" s="58"/>
      <c r="G464" s="58"/>
      <c r="H464" s="58"/>
      <c r="I464" s="58"/>
      <c r="J464" s="58"/>
      <c r="K464" s="58"/>
      <c r="L464" s="59">
        <f t="shared" si="47"/>
        <v>0</v>
      </c>
      <c r="M464" s="68"/>
      <c r="N464" s="68"/>
      <c r="O464" s="68"/>
      <c r="P464" s="68"/>
      <c r="Q464" s="99" t="e">
        <f t="shared" si="48"/>
        <v>#DIV/0!</v>
      </c>
      <c r="R464" s="100">
        <f t="shared" si="49"/>
        <v>0.43387671059875982</v>
      </c>
      <c r="S464" s="83"/>
      <c r="T464" s="83"/>
      <c r="U464" s="101">
        <f t="shared" si="50"/>
        <v>2021.2824107652905</v>
      </c>
      <c r="V464" s="45"/>
      <c r="W464" s="45"/>
      <c r="X464" s="45"/>
      <c r="Y464" s="45"/>
      <c r="Z464" s="45"/>
      <c r="AA464" s="45"/>
    </row>
    <row r="465" spans="2:27" x14ac:dyDescent="0.45">
      <c r="B465" s="45" t="s">
        <v>271</v>
      </c>
      <c r="C465" s="90"/>
      <c r="D465" s="56"/>
      <c r="E465" s="80"/>
      <c r="F465" s="58"/>
      <c r="G465" s="58"/>
      <c r="H465" s="58"/>
      <c r="I465" s="58"/>
      <c r="J465" s="58"/>
      <c r="K465" s="58"/>
      <c r="L465" s="59">
        <f t="shared" si="47"/>
        <v>0</v>
      </c>
      <c r="M465" s="68"/>
      <c r="N465" s="68"/>
      <c r="O465" s="68"/>
      <c r="P465" s="68"/>
      <c r="Q465" s="99" t="e">
        <f t="shared" si="48"/>
        <v>#DIV/0!</v>
      </c>
      <c r="R465" s="100">
        <f t="shared" si="49"/>
        <v>0.43387671059875982</v>
      </c>
      <c r="S465" s="83"/>
      <c r="T465" s="83"/>
      <c r="U465" s="101">
        <f t="shared" si="50"/>
        <v>2021.2824107652905</v>
      </c>
      <c r="V465" s="45"/>
      <c r="W465" s="45"/>
      <c r="X465" s="45"/>
      <c r="Y465" s="45"/>
      <c r="Z465" s="45"/>
      <c r="AA465" s="45"/>
    </row>
    <row r="466" spans="2:27" x14ac:dyDescent="0.45">
      <c r="B466" s="45" t="s">
        <v>272</v>
      </c>
      <c r="C466" s="90"/>
      <c r="D466" s="56"/>
      <c r="E466" s="84"/>
      <c r="F466" s="58"/>
      <c r="G466" s="58"/>
      <c r="H466" s="58"/>
      <c r="I466" s="58"/>
      <c r="J466" s="58"/>
      <c r="K466" s="58"/>
      <c r="L466" s="59">
        <f t="shared" ref="L466:L529" si="51">1/2*((F466*I466+H466*K466+J466*G466)-(G466*H466+I466*J466+K466*F466))/0.1582*100</f>
        <v>0</v>
      </c>
      <c r="M466" s="68"/>
      <c r="N466" s="68"/>
      <c r="O466" s="68"/>
      <c r="P466" s="68"/>
      <c r="Q466" s="99" t="e">
        <f t="shared" ref="Q466:Q529" si="52">O466/P466</f>
        <v>#DIV/0!</v>
      </c>
      <c r="R466" s="100">
        <f t="shared" ref="R466:R529" si="53">SQRT(POWER(M466-$M$12,2)+POWER(N466-$N$12,2))</f>
        <v>0.43387671059875982</v>
      </c>
      <c r="S466" s="83"/>
      <c r="T466" s="83"/>
      <c r="U466" s="101">
        <f t="shared" ref="U466:U529" si="54">(-449*((M466-0.332)/(N466-0.1858))^3)+(3525*((M466-0.332)/(N466-0.1858))^2)+(-6823.3*(M466-0.332)/(N466-0.1858))+5520.33</f>
        <v>2021.2824107652905</v>
      </c>
      <c r="V466" s="45"/>
      <c r="W466" s="45"/>
      <c r="X466" s="45"/>
      <c r="Y466" s="45"/>
      <c r="Z466" s="45"/>
      <c r="AA466" s="45"/>
    </row>
    <row r="467" spans="2:27" x14ac:dyDescent="0.45">
      <c r="B467" s="45" t="s">
        <v>273</v>
      </c>
      <c r="C467" s="90"/>
      <c r="D467" s="56"/>
      <c r="E467" s="57"/>
      <c r="F467" s="58"/>
      <c r="G467" s="58"/>
      <c r="H467" s="58"/>
      <c r="I467" s="58"/>
      <c r="J467" s="58"/>
      <c r="K467" s="58"/>
      <c r="L467" s="59">
        <f t="shared" si="51"/>
        <v>0</v>
      </c>
      <c r="M467" s="68"/>
      <c r="N467" s="68"/>
      <c r="O467" s="68"/>
      <c r="P467" s="68"/>
      <c r="Q467" s="99" t="e">
        <f t="shared" si="52"/>
        <v>#DIV/0!</v>
      </c>
      <c r="R467" s="100">
        <f t="shared" si="53"/>
        <v>0.43387671059875982</v>
      </c>
      <c r="S467" s="83"/>
      <c r="T467" s="83"/>
      <c r="U467" s="101">
        <f t="shared" si="54"/>
        <v>2021.2824107652905</v>
      </c>
      <c r="V467" s="45"/>
      <c r="W467" s="45"/>
      <c r="X467" s="45"/>
      <c r="Y467" s="45"/>
      <c r="Z467" s="45"/>
      <c r="AA467" s="45"/>
    </row>
    <row r="468" spans="2:27" x14ac:dyDescent="0.45">
      <c r="B468" s="45" t="s">
        <v>274</v>
      </c>
      <c r="C468" s="90"/>
      <c r="D468" s="56"/>
      <c r="E468" s="80"/>
      <c r="F468" s="58"/>
      <c r="G468" s="58"/>
      <c r="H468" s="58"/>
      <c r="I468" s="58"/>
      <c r="J468" s="58"/>
      <c r="K468" s="58"/>
      <c r="L468" s="59">
        <f t="shared" si="51"/>
        <v>0</v>
      </c>
      <c r="M468" s="68"/>
      <c r="N468" s="68"/>
      <c r="O468" s="68"/>
      <c r="P468" s="68"/>
      <c r="Q468" s="99" t="e">
        <f t="shared" si="52"/>
        <v>#DIV/0!</v>
      </c>
      <c r="R468" s="100">
        <f t="shared" si="53"/>
        <v>0.43387671059875982</v>
      </c>
      <c r="S468" s="83"/>
      <c r="T468" s="83"/>
      <c r="U468" s="101">
        <f t="shared" si="54"/>
        <v>2021.2824107652905</v>
      </c>
      <c r="V468" s="45"/>
      <c r="W468" s="45"/>
      <c r="X468" s="45"/>
      <c r="Y468" s="45"/>
      <c r="Z468" s="45"/>
      <c r="AA468" s="45"/>
    </row>
    <row r="469" spans="2:27" x14ac:dyDescent="0.45">
      <c r="B469" s="45" t="s">
        <v>275</v>
      </c>
      <c r="C469" s="90"/>
      <c r="D469" s="56"/>
      <c r="E469" s="84"/>
      <c r="F469" s="58"/>
      <c r="G469" s="58"/>
      <c r="H469" s="58"/>
      <c r="I469" s="58"/>
      <c r="J469" s="58"/>
      <c r="K469" s="58"/>
      <c r="L469" s="59">
        <f t="shared" si="51"/>
        <v>0</v>
      </c>
      <c r="M469" s="68"/>
      <c r="N469" s="68"/>
      <c r="O469" s="68"/>
      <c r="P469" s="68"/>
      <c r="Q469" s="99" t="e">
        <f t="shared" si="52"/>
        <v>#DIV/0!</v>
      </c>
      <c r="R469" s="100">
        <f t="shared" si="53"/>
        <v>0.43387671059875982</v>
      </c>
      <c r="S469" s="83"/>
      <c r="T469" s="83"/>
      <c r="U469" s="101">
        <f t="shared" si="54"/>
        <v>2021.2824107652905</v>
      </c>
      <c r="V469" s="45"/>
      <c r="W469" s="45"/>
      <c r="X469" s="45"/>
      <c r="Y469" s="45"/>
      <c r="Z469" s="45"/>
      <c r="AA469" s="45"/>
    </row>
    <row r="470" spans="2:27" x14ac:dyDescent="0.45">
      <c r="B470" s="45" t="s">
        <v>276</v>
      </c>
      <c r="C470" s="90"/>
      <c r="D470" s="56"/>
      <c r="E470" s="57"/>
      <c r="F470" s="58"/>
      <c r="G470" s="58"/>
      <c r="H470" s="58"/>
      <c r="I470" s="58"/>
      <c r="J470" s="58"/>
      <c r="K470" s="58"/>
      <c r="L470" s="59">
        <f t="shared" si="51"/>
        <v>0</v>
      </c>
      <c r="M470" s="68"/>
      <c r="N470" s="68"/>
      <c r="O470" s="68"/>
      <c r="P470" s="68"/>
      <c r="Q470" s="99" t="e">
        <f t="shared" si="52"/>
        <v>#DIV/0!</v>
      </c>
      <c r="R470" s="100">
        <f t="shared" si="53"/>
        <v>0.43387671059875982</v>
      </c>
      <c r="S470" s="83"/>
      <c r="T470" s="83"/>
      <c r="U470" s="101">
        <f t="shared" si="54"/>
        <v>2021.2824107652905</v>
      </c>
      <c r="V470" s="45"/>
      <c r="W470" s="45"/>
      <c r="X470" s="45"/>
      <c r="Y470" s="45"/>
      <c r="Z470" s="45"/>
      <c r="AA470" s="45"/>
    </row>
    <row r="471" spans="2:27" x14ac:dyDescent="0.45">
      <c r="B471" s="45" t="s">
        <v>277</v>
      </c>
      <c r="C471" s="90"/>
      <c r="D471" s="56"/>
      <c r="E471" s="80"/>
      <c r="F471" s="58"/>
      <c r="G471" s="58"/>
      <c r="H471" s="58"/>
      <c r="I471" s="58"/>
      <c r="J471" s="58"/>
      <c r="K471" s="58"/>
      <c r="L471" s="59">
        <f t="shared" si="51"/>
        <v>0</v>
      </c>
      <c r="M471" s="68"/>
      <c r="N471" s="68"/>
      <c r="O471" s="68"/>
      <c r="P471" s="68"/>
      <c r="Q471" s="99" t="e">
        <f t="shared" si="52"/>
        <v>#DIV/0!</v>
      </c>
      <c r="R471" s="100">
        <f t="shared" si="53"/>
        <v>0.43387671059875982</v>
      </c>
      <c r="S471" s="83"/>
      <c r="T471" s="83"/>
      <c r="U471" s="101">
        <f t="shared" si="54"/>
        <v>2021.2824107652905</v>
      </c>
      <c r="V471" s="45"/>
      <c r="W471" s="45"/>
      <c r="X471" s="45"/>
      <c r="Y471" s="45"/>
      <c r="Z471" s="45"/>
      <c r="AA471" s="45"/>
    </row>
    <row r="472" spans="2:27" x14ac:dyDescent="0.45">
      <c r="B472" s="45" t="s">
        <v>278</v>
      </c>
      <c r="C472" s="90"/>
      <c r="D472" s="56"/>
      <c r="E472" s="84"/>
      <c r="F472" s="58"/>
      <c r="G472" s="58"/>
      <c r="H472" s="58"/>
      <c r="I472" s="58"/>
      <c r="J472" s="58"/>
      <c r="K472" s="58"/>
      <c r="L472" s="59">
        <f t="shared" si="51"/>
        <v>0</v>
      </c>
      <c r="M472" s="68"/>
      <c r="N472" s="68"/>
      <c r="O472" s="68"/>
      <c r="P472" s="68"/>
      <c r="Q472" s="99" t="e">
        <f t="shared" si="52"/>
        <v>#DIV/0!</v>
      </c>
      <c r="R472" s="100">
        <f t="shared" si="53"/>
        <v>0.43387671059875982</v>
      </c>
      <c r="S472" s="83"/>
      <c r="T472" s="83"/>
      <c r="U472" s="101">
        <f t="shared" si="54"/>
        <v>2021.2824107652905</v>
      </c>
      <c r="V472" s="45"/>
      <c r="W472" s="45"/>
      <c r="X472" s="45"/>
      <c r="Y472" s="45"/>
      <c r="Z472" s="45"/>
      <c r="AA472" s="45"/>
    </row>
    <row r="473" spans="2:27" x14ac:dyDescent="0.45">
      <c r="B473" s="45" t="s">
        <v>279</v>
      </c>
      <c r="C473" s="90"/>
      <c r="D473" s="56"/>
      <c r="E473" s="57"/>
      <c r="F473" s="58"/>
      <c r="G473" s="58"/>
      <c r="H473" s="58"/>
      <c r="I473" s="58"/>
      <c r="J473" s="58"/>
      <c r="K473" s="58"/>
      <c r="L473" s="59">
        <f t="shared" si="51"/>
        <v>0</v>
      </c>
      <c r="M473" s="68"/>
      <c r="N473" s="68"/>
      <c r="O473" s="68"/>
      <c r="P473" s="68"/>
      <c r="Q473" s="99" t="e">
        <f t="shared" si="52"/>
        <v>#DIV/0!</v>
      </c>
      <c r="R473" s="100">
        <f t="shared" si="53"/>
        <v>0.43387671059875982</v>
      </c>
      <c r="S473" s="83"/>
      <c r="T473" s="83"/>
      <c r="U473" s="101">
        <f t="shared" si="54"/>
        <v>2021.2824107652905</v>
      </c>
      <c r="V473" s="45"/>
      <c r="W473" s="45"/>
      <c r="X473" s="45"/>
      <c r="Y473" s="45"/>
      <c r="Z473" s="45"/>
      <c r="AA473" s="45"/>
    </row>
    <row r="474" spans="2:27" x14ac:dyDescent="0.45">
      <c r="B474" s="45" t="s">
        <v>280</v>
      </c>
      <c r="C474" s="90"/>
      <c r="D474" s="56"/>
      <c r="E474" s="80"/>
      <c r="F474" s="58"/>
      <c r="G474" s="58"/>
      <c r="H474" s="58"/>
      <c r="I474" s="58"/>
      <c r="J474" s="58"/>
      <c r="K474" s="58"/>
      <c r="L474" s="59">
        <f t="shared" si="51"/>
        <v>0</v>
      </c>
      <c r="M474" s="68"/>
      <c r="N474" s="68"/>
      <c r="O474" s="68"/>
      <c r="P474" s="68"/>
      <c r="Q474" s="99" t="e">
        <f t="shared" si="52"/>
        <v>#DIV/0!</v>
      </c>
      <c r="R474" s="100">
        <f t="shared" si="53"/>
        <v>0.43387671059875982</v>
      </c>
      <c r="S474" s="83"/>
      <c r="T474" s="83"/>
      <c r="U474" s="101">
        <f t="shared" si="54"/>
        <v>2021.2824107652905</v>
      </c>
      <c r="V474" s="45"/>
      <c r="W474" s="45"/>
      <c r="X474" s="45"/>
      <c r="Y474" s="45"/>
      <c r="Z474" s="45"/>
      <c r="AA474" s="45"/>
    </row>
    <row r="475" spans="2:27" x14ac:dyDescent="0.45">
      <c r="B475" s="45" t="s">
        <v>281</v>
      </c>
      <c r="C475" s="90"/>
      <c r="D475" s="56"/>
      <c r="E475" s="84"/>
      <c r="F475" s="58"/>
      <c r="G475" s="58"/>
      <c r="H475" s="58"/>
      <c r="I475" s="58"/>
      <c r="J475" s="58"/>
      <c r="K475" s="58"/>
      <c r="L475" s="59">
        <f t="shared" si="51"/>
        <v>0</v>
      </c>
      <c r="M475" s="68"/>
      <c r="N475" s="68"/>
      <c r="O475" s="68"/>
      <c r="P475" s="68"/>
      <c r="Q475" s="99" t="e">
        <f t="shared" si="52"/>
        <v>#DIV/0!</v>
      </c>
      <c r="R475" s="100">
        <f t="shared" si="53"/>
        <v>0.43387671059875982</v>
      </c>
      <c r="S475" s="83"/>
      <c r="T475" s="83"/>
      <c r="U475" s="101">
        <f t="shared" si="54"/>
        <v>2021.2824107652905</v>
      </c>
      <c r="V475" s="45"/>
      <c r="W475" s="45"/>
      <c r="X475" s="45"/>
      <c r="Y475" s="45"/>
      <c r="Z475" s="45"/>
      <c r="AA475" s="45"/>
    </row>
    <row r="476" spans="2:27" x14ac:dyDescent="0.45">
      <c r="B476" s="45" t="s">
        <v>282</v>
      </c>
      <c r="C476" s="90"/>
      <c r="D476" s="56"/>
      <c r="E476" s="57"/>
      <c r="F476" s="58"/>
      <c r="G476" s="58"/>
      <c r="H476" s="58"/>
      <c r="I476" s="58"/>
      <c r="J476" s="58"/>
      <c r="K476" s="58"/>
      <c r="L476" s="59">
        <f t="shared" si="51"/>
        <v>0</v>
      </c>
      <c r="M476" s="68"/>
      <c r="N476" s="68"/>
      <c r="O476" s="68"/>
      <c r="P476" s="68"/>
      <c r="Q476" s="99" t="e">
        <f t="shared" si="52"/>
        <v>#DIV/0!</v>
      </c>
      <c r="R476" s="100">
        <f t="shared" si="53"/>
        <v>0.43387671059875982</v>
      </c>
      <c r="S476" s="83"/>
      <c r="T476" s="83"/>
      <c r="U476" s="101">
        <f t="shared" si="54"/>
        <v>2021.2824107652905</v>
      </c>
      <c r="V476" s="45"/>
      <c r="W476" s="45"/>
      <c r="X476" s="45"/>
      <c r="Y476" s="45"/>
      <c r="Z476" s="45"/>
      <c r="AA476" s="45"/>
    </row>
    <row r="477" spans="2:27" x14ac:dyDescent="0.45">
      <c r="B477" s="45" t="s">
        <v>283</v>
      </c>
      <c r="C477" s="90"/>
      <c r="D477" s="56"/>
      <c r="E477" s="80"/>
      <c r="F477" s="58"/>
      <c r="G477" s="58"/>
      <c r="H477" s="58"/>
      <c r="I477" s="58"/>
      <c r="J477" s="58"/>
      <c r="K477" s="58"/>
      <c r="L477" s="59">
        <f t="shared" si="51"/>
        <v>0</v>
      </c>
      <c r="M477" s="68"/>
      <c r="N477" s="68"/>
      <c r="O477" s="68"/>
      <c r="P477" s="68"/>
      <c r="Q477" s="99" t="e">
        <f t="shared" si="52"/>
        <v>#DIV/0!</v>
      </c>
      <c r="R477" s="100">
        <f t="shared" si="53"/>
        <v>0.43387671059875982</v>
      </c>
      <c r="S477" s="83"/>
      <c r="T477" s="83"/>
      <c r="U477" s="101">
        <f t="shared" si="54"/>
        <v>2021.2824107652905</v>
      </c>
      <c r="V477" s="45"/>
      <c r="W477" s="45"/>
      <c r="X477" s="45"/>
      <c r="Y477" s="45"/>
      <c r="Z477" s="45"/>
      <c r="AA477" s="45"/>
    </row>
    <row r="478" spans="2:27" x14ac:dyDescent="0.45">
      <c r="B478" s="45" t="s">
        <v>284</v>
      </c>
      <c r="C478" s="90"/>
      <c r="D478" s="56"/>
      <c r="E478" s="84"/>
      <c r="F478" s="58"/>
      <c r="G478" s="58"/>
      <c r="H478" s="58"/>
      <c r="I478" s="58"/>
      <c r="J478" s="58"/>
      <c r="K478" s="58"/>
      <c r="L478" s="59">
        <f t="shared" si="51"/>
        <v>0</v>
      </c>
      <c r="M478" s="68"/>
      <c r="N478" s="68"/>
      <c r="O478" s="68"/>
      <c r="P478" s="68"/>
      <c r="Q478" s="99" t="e">
        <f t="shared" si="52"/>
        <v>#DIV/0!</v>
      </c>
      <c r="R478" s="100">
        <f t="shared" si="53"/>
        <v>0.43387671059875982</v>
      </c>
      <c r="S478" s="83"/>
      <c r="T478" s="83"/>
      <c r="U478" s="101">
        <f t="shared" si="54"/>
        <v>2021.2824107652905</v>
      </c>
      <c r="V478" s="45"/>
      <c r="W478" s="45"/>
      <c r="X478" s="45"/>
      <c r="Y478" s="45"/>
      <c r="Z478" s="45"/>
      <c r="AA478" s="45"/>
    </row>
    <row r="479" spans="2:27" x14ac:dyDescent="0.45">
      <c r="B479" s="45" t="s">
        <v>285</v>
      </c>
      <c r="C479" s="90"/>
      <c r="D479" s="56"/>
      <c r="E479" s="57"/>
      <c r="F479" s="58"/>
      <c r="G479" s="58"/>
      <c r="H479" s="58"/>
      <c r="I479" s="58"/>
      <c r="J479" s="58"/>
      <c r="K479" s="58"/>
      <c r="L479" s="59">
        <f t="shared" si="51"/>
        <v>0</v>
      </c>
      <c r="M479" s="68"/>
      <c r="N479" s="68"/>
      <c r="O479" s="68"/>
      <c r="P479" s="68"/>
      <c r="Q479" s="99" t="e">
        <f t="shared" si="52"/>
        <v>#DIV/0!</v>
      </c>
      <c r="R479" s="100">
        <f t="shared" si="53"/>
        <v>0.43387671059875982</v>
      </c>
      <c r="S479" s="83"/>
      <c r="T479" s="83"/>
      <c r="U479" s="101">
        <f t="shared" si="54"/>
        <v>2021.2824107652905</v>
      </c>
      <c r="V479" s="45"/>
      <c r="W479" s="45"/>
      <c r="X479" s="45"/>
      <c r="Y479" s="45"/>
      <c r="Z479" s="45"/>
      <c r="AA479" s="45"/>
    </row>
    <row r="480" spans="2:27" x14ac:dyDescent="0.45">
      <c r="B480" s="45" t="s">
        <v>286</v>
      </c>
      <c r="C480" s="90"/>
      <c r="D480" s="56"/>
      <c r="E480" s="80"/>
      <c r="F480" s="58"/>
      <c r="G480" s="58"/>
      <c r="H480" s="58"/>
      <c r="I480" s="58"/>
      <c r="J480" s="58"/>
      <c r="K480" s="58"/>
      <c r="L480" s="59">
        <f t="shared" si="51"/>
        <v>0</v>
      </c>
      <c r="M480" s="68"/>
      <c r="N480" s="68"/>
      <c r="O480" s="68"/>
      <c r="P480" s="68"/>
      <c r="Q480" s="99" t="e">
        <f t="shared" si="52"/>
        <v>#DIV/0!</v>
      </c>
      <c r="R480" s="100">
        <f t="shared" si="53"/>
        <v>0.43387671059875982</v>
      </c>
      <c r="S480" s="83"/>
      <c r="T480" s="83"/>
      <c r="U480" s="101">
        <f t="shared" si="54"/>
        <v>2021.2824107652905</v>
      </c>
      <c r="V480" s="45"/>
      <c r="W480" s="45"/>
      <c r="X480" s="45"/>
      <c r="Y480" s="45"/>
      <c r="Z480" s="45"/>
      <c r="AA480" s="45"/>
    </row>
    <row r="481" spans="2:27" x14ac:dyDescent="0.45">
      <c r="B481" s="45" t="s">
        <v>287</v>
      </c>
      <c r="C481" s="90"/>
      <c r="D481" s="56"/>
      <c r="E481" s="84"/>
      <c r="F481" s="58"/>
      <c r="G481" s="58"/>
      <c r="H481" s="58"/>
      <c r="I481" s="58"/>
      <c r="J481" s="58"/>
      <c r="K481" s="58"/>
      <c r="L481" s="59">
        <f t="shared" si="51"/>
        <v>0</v>
      </c>
      <c r="M481" s="68"/>
      <c r="N481" s="68"/>
      <c r="O481" s="68"/>
      <c r="P481" s="68"/>
      <c r="Q481" s="99" t="e">
        <f t="shared" si="52"/>
        <v>#DIV/0!</v>
      </c>
      <c r="R481" s="100">
        <f t="shared" si="53"/>
        <v>0.43387671059875982</v>
      </c>
      <c r="S481" s="83"/>
      <c r="T481" s="83"/>
      <c r="U481" s="101">
        <f t="shared" si="54"/>
        <v>2021.2824107652905</v>
      </c>
      <c r="V481" s="45"/>
      <c r="W481" s="45"/>
      <c r="X481" s="45"/>
      <c r="Y481" s="45"/>
      <c r="Z481" s="45"/>
      <c r="AA481" s="45"/>
    </row>
    <row r="482" spans="2:27" x14ac:dyDescent="0.45">
      <c r="B482" s="45" t="s">
        <v>288</v>
      </c>
      <c r="C482" s="90"/>
      <c r="D482" s="56"/>
      <c r="E482" s="57"/>
      <c r="F482" s="58"/>
      <c r="G482" s="58"/>
      <c r="H482" s="58"/>
      <c r="I482" s="58"/>
      <c r="J482" s="58"/>
      <c r="K482" s="58"/>
      <c r="L482" s="59">
        <f t="shared" si="51"/>
        <v>0</v>
      </c>
      <c r="M482" s="68"/>
      <c r="N482" s="68"/>
      <c r="O482" s="68"/>
      <c r="P482" s="68"/>
      <c r="Q482" s="99" t="e">
        <f t="shared" si="52"/>
        <v>#DIV/0!</v>
      </c>
      <c r="R482" s="100">
        <f t="shared" si="53"/>
        <v>0.43387671059875982</v>
      </c>
      <c r="S482" s="83"/>
      <c r="T482" s="83"/>
      <c r="U482" s="101">
        <f t="shared" si="54"/>
        <v>2021.2824107652905</v>
      </c>
      <c r="V482" s="45"/>
      <c r="W482" s="45"/>
      <c r="X482" s="45"/>
      <c r="Y482" s="45"/>
      <c r="Z482" s="45"/>
      <c r="AA482" s="45"/>
    </row>
    <row r="483" spans="2:27" x14ac:dyDescent="0.45">
      <c r="B483" s="45" t="s">
        <v>289</v>
      </c>
      <c r="C483" s="90"/>
      <c r="D483" s="56"/>
      <c r="E483" s="80"/>
      <c r="F483" s="58"/>
      <c r="G483" s="58"/>
      <c r="H483" s="58"/>
      <c r="I483" s="58"/>
      <c r="J483" s="58"/>
      <c r="K483" s="58"/>
      <c r="L483" s="59">
        <f t="shared" si="51"/>
        <v>0</v>
      </c>
      <c r="M483" s="68"/>
      <c r="N483" s="68"/>
      <c r="O483" s="68"/>
      <c r="P483" s="68"/>
      <c r="Q483" s="99" t="e">
        <f t="shared" si="52"/>
        <v>#DIV/0!</v>
      </c>
      <c r="R483" s="100">
        <f t="shared" si="53"/>
        <v>0.43387671059875982</v>
      </c>
      <c r="S483" s="83"/>
      <c r="T483" s="83"/>
      <c r="U483" s="101">
        <f t="shared" si="54"/>
        <v>2021.2824107652905</v>
      </c>
      <c r="V483" s="45"/>
      <c r="W483" s="45"/>
      <c r="X483" s="45"/>
      <c r="Y483" s="45"/>
      <c r="Z483" s="45"/>
      <c r="AA483" s="45"/>
    </row>
    <row r="484" spans="2:27" x14ac:dyDescent="0.45">
      <c r="B484" s="45" t="s">
        <v>290</v>
      </c>
      <c r="C484" s="90"/>
      <c r="D484" s="56"/>
      <c r="E484" s="84"/>
      <c r="F484" s="58"/>
      <c r="G484" s="58"/>
      <c r="H484" s="58"/>
      <c r="I484" s="58"/>
      <c r="J484" s="58"/>
      <c r="K484" s="58"/>
      <c r="L484" s="59">
        <f t="shared" si="51"/>
        <v>0</v>
      </c>
      <c r="M484" s="68"/>
      <c r="N484" s="68"/>
      <c r="O484" s="68"/>
      <c r="P484" s="68"/>
      <c r="Q484" s="99" t="e">
        <f t="shared" si="52"/>
        <v>#DIV/0!</v>
      </c>
      <c r="R484" s="100">
        <f t="shared" si="53"/>
        <v>0.43387671059875982</v>
      </c>
      <c r="S484" s="83"/>
      <c r="T484" s="83"/>
      <c r="U484" s="101">
        <f t="shared" si="54"/>
        <v>2021.2824107652905</v>
      </c>
      <c r="V484" s="45"/>
      <c r="W484" s="45"/>
      <c r="X484" s="45"/>
      <c r="Y484" s="45"/>
      <c r="Z484" s="45"/>
      <c r="AA484" s="45"/>
    </row>
    <row r="485" spans="2:27" x14ac:dyDescent="0.45">
      <c r="B485" s="45" t="s">
        <v>291</v>
      </c>
      <c r="C485" s="90"/>
      <c r="D485" s="56"/>
      <c r="E485" s="57"/>
      <c r="F485" s="58"/>
      <c r="G485" s="58"/>
      <c r="H485" s="58"/>
      <c r="I485" s="58"/>
      <c r="J485" s="58"/>
      <c r="K485" s="58"/>
      <c r="L485" s="59">
        <f t="shared" si="51"/>
        <v>0</v>
      </c>
      <c r="M485" s="68"/>
      <c r="N485" s="68"/>
      <c r="O485" s="68"/>
      <c r="P485" s="68"/>
      <c r="Q485" s="99" t="e">
        <f t="shared" si="52"/>
        <v>#DIV/0!</v>
      </c>
      <c r="R485" s="100">
        <f t="shared" si="53"/>
        <v>0.43387671059875982</v>
      </c>
      <c r="S485" s="83"/>
      <c r="T485" s="83"/>
      <c r="U485" s="101">
        <f t="shared" si="54"/>
        <v>2021.2824107652905</v>
      </c>
      <c r="V485" s="45"/>
      <c r="W485" s="45"/>
      <c r="X485" s="45"/>
      <c r="Y485" s="45"/>
      <c r="Z485" s="45"/>
      <c r="AA485" s="45"/>
    </row>
    <row r="486" spans="2:27" x14ac:dyDescent="0.45">
      <c r="B486" s="45" t="s">
        <v>292</v>
      </c>
      <c r="C486" s="90"/>
      <c r="D486" s="56"/>
      <c r="E486" s="80"/>
      <c r="F486" s="58"/>
      <c r="G486" s="58"/>
      <c r="H486" s="58"/>
      <c r="I486" s="58"/>
      <c r="J486" s="58"/>
      <c r="K486" s="58"/>
      <c r="L486" s="59">
        <f t="shared" si="51"/>
        <v>0</v>
      </c>
      <c r="M486" s="68"/>
      <c r="N486" s="68"/>
      <c r="O486" s="68"/>
      <c r="P486" s="68"/>
      <c r="Q486" s="99" t="e">
        <f t="shared" si="52"/>
        <v>#DIV/0!</v>
      </c>
      <c r="R486" s="100">
        <f t="shared" si="53"/>
        <v>0.43387671059875982</v>
      </c>
      <c r="S486" s="83"/>
      <c r="T486" s="83"/>
      <c r="U486" s="101">
        <f t="shared" si="54"/>
        <v>2021.2824107652905</v>
      </c>
      <c r="V486" s="45"/>
      <c r="W486" s="45"/>
      <c r="X486" s="45"/>
      <c r="Y486" s="45"/>
      <c r="Z486" s="45"/>
      <c r="AA486" s="45"/>
    </row>
    <row r="487" spans="2:27" x14ac:dyDescent="0.45">
      <c r="B487" s="45" t="s">
        <v>293</v>
      </c>
      <c r="C487" s="90"/>
      <c r="D487" s="56"/>
      <c r="E487" s="84"/>
      <c r="F487" s="58"/>
      <c r="G487" s="58"/>
      <c r="H487" s="58"/>
      <c r="I487" s="58"/>
      <c r="J487" s="58"/>
      <c r="K487" s="58"/>
      <c r="L487" s="59">
        <f t="shared" si="51"/>
        <v>0</v>
      </c>
      <c r="M487" s="68"/>
      <c r="N487" s="68"/>
      <c r="O487" s="68"/>
      <c r="P487" s="68"/>
      <c r="Q487" s="99" t="e">
        <f t="shared" si="52"/>
        <v>#DIV/0!</v>
      </c>
      <c r="R487" s="100">
        <f t="shared" si="53"/>
        <v>0.43387671059875982</v>
      </c>
      <c r="S487" s="83"/>
      <c r="T487" s="83"/>
      <c r="U487" s="101">
        <f t="shared" si="54"/>
        <v>2021.2824107652905</v>
      </c>
      <c r="V487" s="45"/>
      <c r="W487" s="45"/>
      <c r="X487" s="45"/>
      <c r="Y487" s="45"/>
      <c r="Z487" s="45"/>
      <c r="AA487" s="45"/>
    </row>
    <row r="488" spans="2:27" x14ac:dyDescent="0.45">
      <c r="B488" s="45" t="s">
        <v>294</v>
      </c>
      <c r="C488" s="90"/>
      <c r="D488" s="56"/>
      <c r="E488" s="57"/>
      <c r="F488" s="58"/>
      <c r="G488" s="58"/>
      <c r="H488" s="58"/>
      <c r="I488" s="58"/>
      <c r="J488" s="58"/>
      <c r="K488" s="58"/>
      <c r="L488" s="59">
        <f t="shared" si="51"/>
        <v>0</v>
      </c>
      <c r="M488" s="68"/>
      <c r="N488" s="68"/>
      <c r="O488" s="68"/>
      <c r="P488" s="68"/>
      <c r="Q488" s="99" t="e">
        <f t="shared" si="52"/>
        <v>#DIV/0!</v>
      </c>
      <c r="R488" s="100">
        <f t="shared" si="53"/>
        <v>0.43387671059875982</v>
      </c>
      <c r="S488" s="83"/>
      <c r="T488" s="83"/>
      <c r="U488" s="101">
        <f t="shared" si="54"/>
        <v>2021.2824107652905</v>
      </c>
      <c r="V488" s="45"/>
      <c r="W488" s="45"/>
      <c r="X488" s="45"/>
      <c r="Y488" s="45"/>
      <c r="Z488" s="45"/>
      <c r="AA488" s="45"/>
    </row>
    <row r="489" spans="2:27" x14ac:dyDescent="0.45">
      <c r="B489" s="45" t="s">
        <v>295</v>
      </c>
      <c r="C489" s="90"/>
      <c r="D489" s="56"/>
      <c r="E489" s="80"/>
      <c r="F489" s="58"/>
      <c r="G489" s="58"/>
      <c r="H489" s="58"/>
      <c r="I489" s="58"/>
      <c r="J489" s="58"/>
      <c r="K489" s="58"/>
      <c r="L489" s="59">
        <f t="shared" si="51"/>
        <v>0</v>
      </c>
      <c r="M489" s="68"/>
      <c r="N489" s="68"/>
      <c r="O489" s="68"/>
      <c r="P489" s="68"/>
      <c r="Q489" s="99" t="e">
        <f t="shared" si="52"/>
        <v>#DIV/0!</v>
      </c>
      <c r="R489" s="100">
        <f t="shared" si="53"/>
        <v>0.43387671059875982</v>
      </c>
      <c r="S489" s="83"/>
      <c r="T489" s="83"/>
      <c r="U489" s="101">
        <f t="shared" si="54"/>
        <v>2021.2824107652905</v>
      </c>
      <c r="V489" s="45"/>
      <c r="W489" s="45"/>
      <c r="X489" s="45"/>
      <c r="Y489" s="45"/>
      <c r="Z489" s="45"/>
      <c r="AA489" s="45"/>
    </row>
    <row r="490" spans="2:27" x14ac:dyDescent="0.45">
      <c r="B490" s="45" t="s">
        <v>296</v>
      </c>
      <c r="C490" s="90"/>
      <c r="D490" s="56"/>
      <c r="E490" s="84"/>
      <c r="F490" s="58"/>
      <c r="G490" s="58"/>
      <c r="H490" s="58"/>
      <c r="I490" s="58"/>
      <c r="J490" s="58"/>
      <c r="K490" s="58"/>
      <c r="L490" s="59">
        <f t="shared" si="51"/>
        <v>0</v>
      </c>
      <c r="M490" s="68"/>
      <c r="N490" s="68"/>
      <c r="O490" s="68"/>
      <c r="P490" s="68"/>
      <c r="Q490" s="99" t="e">
        <f t="shared" si="52"/>
        <v>#DIV/0!</v>
      </c>
      <c r="R490" s="100">
        <f t="shared" si="53"/>
        <v>0.43387671059875982</v>
      </c>
      <c r="S490" s="83"/>
      <c r="T490" s="83"/>
      <c r="U490" s="101">
        <f t="shared" si="54"/>
        <v>2021.2824107652905</v>
      </c>
      <c r="V490" s="45"/>
      <c r="W490" s="45"/>
      <c r="X490" s="45"/>
      <c r="Y490" s="45"/>
      <c r="Z490" s="45"/>
      <c r="AA490" s="45"/>
    </row>
    <row r="491" spans="2:27" x14ac:dyDescent="0.45">
      <c r="B491" s="45" t="s">
        <v>297</v>
      </c>
      <c r="C491" s="90"/>
      <c r="D491" s="56"/>
      <c r="E491" s="57"/>
      <c r="F491" s="58"/>
      <c r="G491" s="58"/>
      <c r="H491" s="58"/>
      <c r="I491" s="58"/>
      <c r="J491" s="58"/>
      <c r="K491" s="58"/>
      <c r="L491" s="59">
        <f t="shared" si="51"/>
        <v>0</v>
      </c>
      <c r="M491" s="68"/>
      <c r="N491" s="68"/>
      <c r="O491" s="68"/>
      <c r="P491" s="68"/>
      <c r="Q491" s="99" t="e">
        <f t="shared" si="52"/>
        <v>#DIV/0!</v>
      </c>
      <c r="R491" s="100">
        <f t="shared" si="53"/>
        <v>0.43387671059875982</v>
      </c>
      <c r="S491" s="83"/>
      <c r="T491" s="83"/>
      <c r="U491" s="101">
        <f t="shared" si="54"/>
        <v>2021.2824107652905</v>
      </c>
      <c r="V491" s="45"/>
      <c r="W491" s="45"/>
      <c r="X491" s="45"/>
      <c r="Y491" s="45"/>
      <c r="Z491" s="45"/>
      <c r="AA491" s="45"/>
    </row>
    <row r="492" spans="2:27" x14ac:dyDescent="0.45">
      <c r="B492" s="45" t="s">
        <v>298</v>
      </c>
      <c r="C492" s="90"/>
      <c r="D492" s="56"/>
      <c r="E492" s="80"/>
      <c r="F492" s="58"/>
      <c r="G492" s="58"/>
      <c r="H492" s="58"/>
      <c r="I492" s="58"/>
      <c r="J492" s="58"/>
      <c r="K492" s="58"/>
      <c r="L492" s="59">
        <f t="shared" si="51"/>
        <v>0</v>
      </c>
      <c r="M492" s="68"/>
      <c r="N492" s="68"/>
      <c r="O492" s="68"/>
      <c r="P492" s="68"/>
      <c r="Q492" s="99" t="e">
        <f t="shared" si="52"/>
        <v>#DIV/0!</v>
      </c>
      <c r="R492" s="100">
        <f t="shared" si="53"/>
        <v>0.43387671059875982</v>
      </c>
      <c r="S492" s="83"/>
      <c r="T492" s="83"/>
      <c r="U492" s="101">
        <f t="shared" si="54"/>
        <v>2021.2824107652905</v>
      </c>
      <c r="V492" s="45"/>
      <c r="W492" s="45"/>
      <c r="X492" s="45"/>
      <c r="Y492" s="45"/>
      <c r="Z492" s="45"/>
      <c r="AA492" s="45"/>
    </row>
    <row r="493" spans="2:27" x14ac:dyDescent="0.45">
      <c r="B493" s="45" t="s">
        <v>299</v>
      </c>
      <c r="C493" s="90"/>
      <c r="D493" s="56"/>
      <c r="E493" s="84"/>
      <c r="F493" s="58"/>
      <c r="G493" s="58"/>
      <c r="H493" s="58"/>
      <c r="I493" s="58"/>
      <c r="J493" s="58"/>
      <c r="K493" s="58"/>
      <c r="L493" s="59">
        <f t="shared" si="51"/>
        <v>0</v>
      </c>
      <c r="M493" s="68"/>
      <c r="N493" s="68"/>
      <c r="O493" s="68"/>
      <c r="P493" s="68"/>
      <c r="Q493" s="99" t="e">
        <f t="shared" si="52"/>
        <v>#DIV/0!</v>
      </c>
      <c r="R493" s="100">
        <f t="shared" si="53"/>
        <v>0.43387671059875982</v>
      </c>
      <c r="S493" s="83"/>
      <c r="T493" s="83"/>
      <c r="U493" s="101">
        <f t="shared" si="54"/>
        <v>2021.2824107652905</v>
      </c>
      <c r="V493" s="45"/>
      <c r="W493" s="45"/>
      <c r="X493" s="45"/>
      <c r="Y493" s="45"/>
      <c r="Z493" s="45"/>
      <c r="AA493" s="45"/>
    </row>
    <row r="494" spans="2:27" x14ac:dyDescent="0.45">
      <c r="B494" s="45" t="s">
        <v>300</v>
      </c>
      <c r="C494" s="90"/>
      <c r="D494" s="56"/>
      <c r="E494" s="57"/>
      <c r="F494" s="58"/>
      <c r="G494" s="58"/>
      <c r="H494" s="58"/>
      <c r="I494" s="58"/>
      <c r="J494" s="58"/>
      <c r="K494" s="58"/>
      <c r="L494" s="59">
        <f t="shared" si="51"/>
        <v>0</v>
      </c>
      <c r="M494" s="68"/>
      <c r="N494" s="68"/>
      <c r="O494" s="68"/>
      <c r="P494" s="68"/>
      <c r="Q494" s="99" t="e">
        <f t="shared" si="52"/>
        <v>#DIV/0!</v>
      </c>
      <c r="R494" s="100">
        <f t="shared" si="53"/>
        <v>0.43387671059875982</v>
      </c>
      <c r="S494" s="83"/>
      <c r="T494" s="83"/>
      <c r="U494" s="101">
        <f t="shared" si="54"/>
        <v>2021.2824107652905</v>
      </c>
      <c r="V494" s="45"/>
      <c r="W494" s="45"/>
      <c r="X494" s="45"/>
      <c r="Y494" s="45"/>
      <c r="Z494" s="45"/>
      <c r="AA494" s="45"/>
    </row>
    <row r="495" spans="2:27" x14ac:dyDescent="0.45">
      <c r="B495" s="45" t="s">
        <v>301</v>
      </c>
      <c r="C495" s="90"/>
      <c r="D495" s="56"/>
      <c r="E495" s="80"/>
      <c r="F495" s="58"/>
      <c r="G495" s="58"/>
      <c r="H495" s="58"/>
      <c r="I495" s="58"/>
      <c r="J495" s="58"/>
      <c r="K495" s="58"/>
      <c r="L495" s="59">
        <f t="shared" si="51"/>
        <v>0</v>
      </c>
      <c r="M495" s="68"/>
      <c r="N495" s="68"/>
      <c r="O495" s="68"/>
      <c r="P495" s="68"/>
      <c r="Q495" s="99" t="e">
        <f t="shared" si="52"/>
        <v>#DIV/0!</v>
      </c>
      <c r="R495" s="100">
        <f t="shared" si="53"/>
        <v>0.43387671059875982</v>
      </c>
      <c r="S495" s="83"/>
      <c r="T495" s="83"/>
      <c r="U495" s="101">
        <f t="shared" si="54"/>
        <v>2021.2824107652905</v>
      </c>
      <c r="V495" s="45"/>
      <c r="W495" s="45"/>
      <c r="X495" s="45"/>
      <c r="Y495" s="45"/>
      <c r="Z495" s="45"/>
      <c r="AA495" s="45"/>
    </row>
    <row r="496" spans="2:27" x14ac:dyDescent="0.45">
      <c r="B496" s="45" t="s">
        <v>302</v>
      </c>
      <c r="C496" s="90"/>
      <c r="D496" s="56"/>
      <c r="E496" s="84"/>
      <c r="F496" s="58"/>
      <c r="G496" s="58"/>
      <c r="H496" s="58"/>
      <c r="I496" s="58"/>
      <c r="J496" s="58"/>
      <c r="K496" s="58"/>
      <c r="L496" s="59">
        <f t="shared" si="51"/>
        <v>0</v>
      </c>
      <c r="M496" s="68"/>
      <c r="N496" s="68"/>
      <c r="O496" s="68"/>
      <c r="P496" s="68"/>
      <c r="Q496" s="99" t="e">
        <f t="shared" si="52"/>
        <v>#DIV/0!</v>
      </c>
      <c r="R496" s="100">
        <f t="shared" si="53"/>
        <v>0.43387671059875982</v>
      </c>
      <c r="S496" s="83"/>
      <c r="T496" s="83"/>
      <c r="U496" s="101">
        <f t="shared" si="54"/>
        <v>2021.2824107652905</v>
      </c>
      <c r="V496" s="45"/>
      <c r="W496" s="45"/>
      <c r="X496" s="45"/>
      <c r="Y496" s="45"/>
      <c r="Z496" s="45"/>
      <c r="AA496" s="45"/>
    </row>
    <row r="497" spans="2:27" x14ac:dyDescent="0.45">
      <c r="B497" s="45" t="s">
        <v>303</v>
      </c>
      <c r="C497" s="90"/>
      <c r="D497" s="56"/>
      <c r="E497" s="57"/>
      <c r="F497" s="58"/>
      <c r="G497" s="58"/>
      <c r="H497" s="58"/>
      <c r="I497" s="58"/>
      <c r="J497" s="58"/>
      <c r="K497" s="58"/>
      <c r="L497" s="59">
        <f t="shared" si="51"/>
        <v>0</v>
      </c>
      <c r="M497" s="68"/>
      <c r="N497" s="68"/>
      <c r="O497" s="68"/>
      <c r="P497" s="68"/>
      <c r="Q497" s="99" t="e">
        <f t="shared" si="52"/>
        <v>#DIV/0!</v>
      </c>
      <c r="R497" s="100">
        <f t="shared" si="53"/>
        <v>0.43387671059875982</v>
      </c>
      <c r="S497" s="83"/>
      <c r="T497" s="83"/>
      <c r="U497" s="101">
        <f t="shared" si="54"/>
        <v>2021.2824107652905</v>
      </c>
      <c r="V497" s="45"/>
      <c r="W497" s="45"/>
      <c r="X497" s="45"/>
      <c r="Y497" s="45"/>
      <c r="Z497" s="45"/>
      <c r="AA497" s="45"/>
    </row>
    <row r="498" spans="2:27" x14ac:dyDescent="0.45">
      <c r="B498" s="45" t="s">
        <v>304</v>
      </c>
      <c r="C498" s="90"/>
      <c r="D498" s="56"/>
      <c r="E498" s="80"/>
      <c r="F498" s="58"/>
      <c r="G498" s="58"/>
      <c r="H498" s="58"/>
      <c r="I498" s="58"/>
      <c r="J498" s="58"/>
      <c r="K498" s="58"/>
      <c r="L498" s="59">
        <f t="shared" si="51"/>
        <v>0</v>
      </c>
      <c r="M498" s="68"/>
      <c r="N498" s="68"/>
      <c r="O498" s="68"/>
      <c r="P498" s="68"/>
      <c r="Q498" s="99" t="e">
        <f t="shared" si="52"/>
        <v>#DIV/0!</v>
      </c>
      <c r="R498" s="100">
        <f t="shared" si="53"/>
        <v>0.43387671059875982</v>
      </c>
      <c r="S498" s="83"/>
      <c r="T498" s="83"/>
      <c r="U498" s="101">
        <f t="shared" si="54"/>
        <v>2021.2824107652905</v>
      </c>
      <c r="V498" s="45"/>
      <c r="W498" s="45"/>
      <c r="X498" s="45"/>
      <c r="Y498" s="45"/>
      <c r="Z498" s="45"/>
      <c r="AA498" s="45"/>
    </row>
    <row r="499" spans="2:27" x14ac:dyDescent="0.45">
      <c r="B499" s="45" t="s">
        <v>305</v>
      </c>
      <c r="C499" s="90"/>
      <c r="D499" s="56"/>
      <c r="E499" s="84"/>
      <c r="F499" s="58"/>
      <c r="G499" s="58"/>
      <c r="H499" s="58"/>
      <c r="I499" s="58"/>
      <c r="J499" s="58"/>
      <c r="K499" s="58"/>
      <c r="L499" s="59">
        <f t="shared" si="51"/>
        <v>0</v>
      </c>
      <c r="M499" s="68"/>
      <c r="N499" s="68"/>
      <c r="O499" s="68"/>
      <c r="P499" s="68"/>
      <c r="Q499" s="99" t="e">
        <f t="shared" si="52"/>
        <v>#DIV/0!</v>
      </c>
      <c r="R499" s="100">
        <f t="shared" si="53"/>
        <v>0.43387671059875982</v>
      </c>
      <c r="S499" s="83"/>
      <c r="T499" s="83"/>
      <c r="U499" s="101">
        <f t="shared" si="54"/>
        <v>2021.2824107652905</v>
      </c>
      <c r="V499" s="45"/>
      <c r="W499" s="45"/>
      <c r="X499" s="45"/>
      <c r="Y499" s="45"/>
      <c r="Z499" s="45"/>
      <c r="AA499" s="45"/>
    </row>
    <row r="500" spans="2:27" x14ac:dyDescent="0.45">
      <c r="B500" s="45" t="s">
        <v>306</v>
      </c>
      <c r="C500" s="90"/>
      <c r="D500" s="56"/>
      <c r="E500" s="57"/>
      <c r="F500" s="58"/>
      <c r="G500" s="58"/>
      <c r="H500" s="58"/>
      <c r="I500" s="58"/>
      <c r="J500" s="58"/>
      <c r="K500" s="58"/>
      <c r="L500" s="59">
        <f t="shared" si="51"/>
        <v>0</v>
      </c>
      <c r="M500" s="68"/>
      <c r="N500" s="68"/>
      <c r="O500" s="68"/>
      <c r="P500" s="68"/>
      <c r="Q500" s="99" t="e">
        <f t="shared" si="52"/>
        <v>#DIV/0!</v>
      </c>
      <c r="R500" s="100">
        <f t="shared" si="53"/>
        <v>0.43387671059875982</v>
      </c>
      <c r="S500" s="83"/>
      <c r="T500" s="83"/>
      <c r="U500" s="101">
        <f t="shared" si="54"/>
        <v>2021.2824107652905</v>
      </c>
      <c r="V500" s="45"/>
      <c r="W500" s="45"/>
      <c r="X500" s="45"/>
      <c r="Y500" s="45"/>
      <c r="Z500" s="45"/>
      <c r="AA500" s="45"/>
    </row>
    <row r="501" spans="2:27" x14ac:dyDescent="0.45">
      <c r="B501" s="45" t="s">
        <v>307</v>
      </c>
      <c r="C501" s="90"/>
      <c r="D501" s="56"/>
      <c r="E501" s="80"/>
      <c r="F501" s="58"/>
      <c r="G501" s="58"/>
      <c r="H501" s="58"/>
      <c r="I501" s="58"/>
      <c r="J501" s="58"/>
      <c r="K501" s="58"/>
      <c r="L501" s="59">
        <f t="shared" si="51"/>
        <v>0</v>
      </c>
      <c r="M501" s="68"/>
      <c r="N501" s="68"/>
      <c r="O501" s="68"/>
      <c r="P501" s="68"/>
      <c r="Q501" s="99" t="e">
        <f t="shared" si="52"/>
        <v>#DIV/0!</v>
      </c>
      <c r="R501" s="100">
        <f t="shared" si="53"/>
        <v>0.43387671059875982</v>
      </c>
      <c r="S501" s="83"/>
      <c r="T501" s="83"/>
      <c r="U501" s="101">
        <f t="shared" si="54"/>
        <v>2021.2824107652905</v>
      </c>
      <c r="V501" s="45"/>
      <c r="W501" s="45"/>
      <c r="X501" s="45"/>
      <c r="Y501" s="45"/>
      <c r="Z501" s="45"/>
      <c r="AA501" s="45"/>
    </row>
    <row r="502" spans="2:27" x14ac:dyDescent="0.45">
      <c r="B502" s="45" t="s">
        <v>308</v>
      </c>
      <c r="C502" s="90"/>
      <c r="D502" s="56"/>
      <c r="E502" s="84"/>
      <c r="F502" s="58"/>
      <c r="G502" s="58"/>
      <c r="H502" s="58"/>
      <c r="I502" s="58"/>
      <c r="J502" s="58"/>
      <c r="K502" s="58"/>
      <c r="L502" s="59">
        <f t="shared" si="51"/>
        <v>0</v>
      </c>
      <c r="M502" s="68"/>
      <c r="N502" s="68"/>
      <c r="O502" s="68"/>
      <c r="P502" s="68"/>
      <c r="Q502" s="99" t="e">
        <f t="shared" si="52"/>
        <v>#DIV/0!</v>
      </c>
      <c r="R502" s="100">
        <f t="shared" si="53"/>
        <v>0.43387671059875982</v>
      </c>
      <c r="S502" s="83"/>
      <c r="T502" s="83"/>
      <c r="U502" s="101">
        <f t="shared" si="54"/>
        <v>2021.2824107652905</v>
      </c>
      <c r="V502" s="45"/>
      <c r="W502" s="45"/>
      <c r="X502" s="45"/>
      <c r="Y502" s="45"/>
      <c r="Z502" s="45"/>
      <c r="AA502" s="45"/>
    </row>
    <row r="503" spans="2:27" x14ac:dyDescent="0.45">
      <c r="B503" s="45" t="s">
        <v>309</v>
      </c>
      <c r="C503" s="90"/>
      <c r="D503" s="56"/>
      <c r="E503" s="57"/>
      <c r="F503" s="58"/>
      <c r="G503" s="58"/>
      <c r="H503" s="58"/>
      <c r="I503" s="58"/>
      <c r="J503" s="58"/>
      <c r="K503" s="58"/>
      <c r="L503" s="59">
        <f t="shared" si="51"/>
        <v>0</v>
      </c>
      <c r="M503" s="68"/>
      <c r="N503" s="68"/>
      <c r="O503" s="68"/>
      <c r="P503" s="68"/>
      <c r="Q503" s="99" t="e">
        <f t="shared" si="52"/>
        <v>#DIV/0!</v>
      </c>
      <c r="R503" s="100">
        <f t="shared" si="53"/>
        <v>0.43387671059875982</v>
      </c>
      <c r="S503" s="83"/>
      <c r="T503" s="83"/>
      <c r="U503" s="101">
        <f t="shared" si="54"/>
        <v>2021.2824107652905</v>
      </c>
      <c r="V503" s="45"/>
      <c r="W503" s="45"/>
      <c r="X503" s="45"/>
      <c r="Y503" s="45"/>
      <c r="Z503" s="45"/>
      <c r="AA503" s="45"/>
    </row>
    <row r="504" spans="2:27" x14ac:dyDescent="0.45">
      <c r="B504" s="45" t="s">
        <v>310</v>
      </c>
      <c r="C504" s="90"/>
      <c r="D504" s="56"/>
      <c r="E504" s="80"/>
      <c r="F504" s="58"/>
      <c r="G504" s="58"/>
      <c r="H504" s="58"/>
      <c r="I504" s="58"/>
      <c r="J504" s="58"/>
      <c r="K504" s="58"/>
      <c r="L504" s="59">
        <f t="shared" si="51"/>
        <v>0</v>
      </c>
      <c r="M504" s="68"/>
      <c r="N504" s="68"/>
      <c r="O504" s="68"/>
      <c r="P504" s="68"/>
      <c r="Q504" s="99" t="e">
        <f t="shared" si="52"/>
        <v>#DIV/0!</v>
      </c>
      <c r="R504" s="100">
        <f t="shared" si="53"/>
        <v>0.43387671059875982</v>
      </c>
      <c r="S504" s="83"/>
      <c r="T504" s="83"/>
      <c r="U504" s="101">
        <f t="shared" si="54"/>
        <v>2021.2824107652905</v>
      </c>
      <c r="V504" s="45"/>
      <c r="W504" s="45"/>
      <c r="X504" s="45"/>
      <c r="Y504" s="45"/>
      <c r="Z504" s="45"/>
      <c r="AA504" s="45"/>
    </row>
    <row r="505" spans="2:27" x14ac:dyDescent="0.45">
      <c r="B505" s="45" t="s">
        <v>311</v>
      </c>
      <c r="C505" s="90"/>
      <c r="D505" s="56"/>
      <c r="E505" s="84"/>
      <c r="F505" s="58"/>
      <c r="G505" s="58"/>
      <c r="H505" s="58"/>
      <c r="I505" s="58"/>
      <c r="J505" s="58"/>
      <c r="K505" s="58"/>
      <c r="L505" s="59">
        <f t="shared" si="51"/>
        <v>0</v>
      </c>
      <c r="M505" s="68"/>
      <c r="N505" s="68"/>
      <c r="O505" s="68"/>
      <c r="P505" s="68"/>
      <c r="Q505" s="99" t="e">
        <f t="shared" si="52"/>
        <v>#DIV/0!</v>
      </c>
      <c r="R505" s="100">
        <f t="shared" si="53"/>
        <v>0.43387671059875982</v>
      </c>
      <c r="S505" s="83"/>
      <c r="T505" s="83"/>
      <c r="U505" s="101">
        <f t="shared" si="54"/>
        <v>2021.2824107652905</v>
      </c>
      <c r="V505" s="45"/>
      <c r="W505" s="45"/>
      <c r="X505" s="45"/>
      <c r="Y505" s="45"/>
      <c r="Z505" s="45"/>
      <c r="AA505" s="45"/>
    </row>
    <row r="506" spans="2:27" x14ac:dyDescent="0.45">
      <c r="B506" s="45" t="s">
        <v>312</v>
      </c>
      <c r="C506" s="90"/>
      <c r="D506" s="56"/>
      <c r="E506" s="57"/>
      <c r="F506" s="58"/>
      <c r="G506" s="58"/>
      <c r="H506" s="58"/>
      <c r="I506" s="58"/>
      <c r="J506" s="58"/>
      <c r="K506" s="58"/>
      <c r="L506" s="59">
        <f t="shared" si="51"/>
        <v>0</v>
      </c>
      <c r="M506" s="68"/>
      <c r="N506" s="68"/>
      <c r="O506" s="68"/>
      <c r="P506" s="68"/>
      <c r="Q506" s="99" t="e">
        <f t="shared" si="52"/>
        <v>#DIV/0!</v>
      </c>
      <c r="R506" s="100">
        <f t="shared" si="53"/>
        <v>0.43387671059875982</v>
      </c>
      <c r="S506" s="83"/>
      <c r="T506" s="83"/>
      <c r="U506" s="101">
        <f t="shared" si="54"/>
        <v>2021.2824107652905</v>
      </c>
      <c r="V506" s="45"/>
      <c r="W506" s="45"/>
      <c r="X506" s="45"/>
      <c r="Y506" s="45"/>
      <c r="Z506" s="45"/>
      <c r="AA506" s="45"/>
    </row>
    <row r="507" spans="2:27" x14ac:dyDescent="0.45">
      <c r="B507" s="45" t="s">
        <v>313</v>
      </c>
      <c r="C507" s="90"/>
      <c r="D507" s="56"/>
      <c r="E507" s="80"/>
      <c r="F507" s="58"/>
      <c r="G507" s="58"/>
      <c r="H507" s="58"/>
      <c r="I507" s="58"/>
      <c r="J507" s="58"/>
      <c r="K507" s="58"/>
      <c r="L507" s="59">
        <f t="shared" si="51"/>
        <v>0</v>
      </c>
      <c r="M507" s="68"/>
      <c r="N507" s="68"/>
      <c r="O507" s="68"/>
      <c r="P507" s="68"/>
      <c r="Q507" s="99" t="e">
        <f t="shared" si="52"/>
        <v>#DIV/0!</v>
      </c>
      <c r="R507" s="100">
        <f t="shared" si="53"/>
        <v>0.43387671059875982</v>
      </c>
      <c r="S507" s="83"/>
      <c r="T507" s="83"/>
      <c r="U507" s="101">
        <f t="shared" si="54"/>
        <v>2021.2824107652905</v>
      </c>
      <c r="V507" s="45"/>
      <c r="W507" s="45"/>
      <c r="X507" s="45"/>
      <c r="Y507" s="45"/>
      <c r="Z507" s="45"/>
      <c r="AA507" s="45"/>
    </row>
    <row r="508" spans="2:27" x14ac:dyDescent="0.45">
      <c r="B508" s="45" t="s">
        <v>314</v>
      </c>
      <c r="C508" s="90"/>
      <c r="D508" s="56"/>
      <c r="E508" s="84"/>
      <c r="F508" s="58"/>
      <c r="G508" s="58"/>
      <c r="H508" s="58"/>
      <c r="I508" s="58"/>
      <c r="J508" s="58"/>
      <c r="K508" s="58"/>
      <c r="L508" s="59">
        <f t="shared" si="51"/>
        <v>0</v>
      </c>
      <c r="M508" s="68"/>
      <c r="N508" s="68"/>
      <c r="O508" s="68"/>
      <c r="P508" s="68"/>
      <c r="Q508" s="99" t="e">
        <f t="shared" si="52"/>
        <v>#DIV/0!</v>
      </c>
      <c r="R508" s="100">
        <f t="shared" si="53"/>
        <v>0.43387671059875982</v>
      </c>
      <c r="S508" s="83"/>
      <c r="T508" s="83"/>
      <c r="U508" s="101">
        <f t="shared" si="54"/>
        <v>2021.2824107652905</v>
      </c>
      <c r="V508" s="45"/>
      <c r="W508" s="45"/>
      <c r="X508" s="45"/>
      <c r="Y508" s="45"/>
      <c r="Z508" s="45"/>
      <c r="AA508" s="45"/>
    </row>
    <row r="509" spans="2:27" x14ac:dyDescent="0.45">
      <c r="B509" s="45" t="s">
        <v>315</v>
      </c>
      <c r="C509" s="90"/>
      <c r="D509" s="56"/>
      <c r="E509" s="57"/>
      <c r="F509" s="58"/>
      <c r="G509" s="58"/>
      <c r="H509" s="58"/>
      <c r="I509" s="58"/>
      <c r="J509" s="58"/>
      <c r="K509" s="58"/>
      <c r="L509" s="59">
        <f t="shared" si="51"/>
        <v>0</v>
      </c>
      <c r="M509" s="68"/>
      <c r="N509" s="68"/>
      <c r="O509" s="68"/>
      <c r="P509" s="68"/>
      <c r="Q509" s="99" t="e">
        <f t="shared" si="52"/>
        <v>#DIV/0!</v>
      </c>
      <c r="R509" s="100">
        <f t="shared" si="53"/>
        <v>0.43387671059875982</v>
      </c>
      <c r="S509" s="83"/>
      <c r="T509" s="83"/>
      <c r="U509" s="101">
        <f t="shared" si="54"/>
        <v>2021.2824107652905</v>
      </c>
      <c r="V509" s="45"/>
      <c r="W509" s="45"/>
      <c r="X509" s="45"/>
      <c r="Y509" s="45"/>
      <c r="Z509" s="45"/>
      <c r="AA509" s="45"/>
    </row>
    <row r="510" spans="2:27" x14ac:dyDescent="0.45">
      <c r="B510" s="45" t="s">
        <v>316</v>
      </c>
      <c r="C510" s="90"/>
      <c r="D510" s="56"/>
      <c r="E510" s="80"/>
      <c r="F510" s="58"/>
      <c r="G510" s="58"/>
      <c r="H510" s="58"/>
      <c r="I510" s="58"/>
      <c r="J510" s="58"/>
      <c r="K510" s="58"/>
      <c r="L510" s="59">
        <f t="shared" si="51"/>
        <v>0</v>
      </c>
      <c r="M510" s="68"/>
      <c r="N510" s="68"/>
      <c r="O510" s="68"/>
      <c r="P510" s="68"/>
      <c r="Q510" s="99" t="e">
        <f t="shared" si="52"/>
        <v>#DIV/0!</v>
      </c>
      <c r="R510" s="100">
        <f t="shared" si="53"/>
        <v>0.43387671059875982</v>
      </c>
      <c r="S510" s="83"/>
      <c r="T510" s="83"/>
      <c r="U510" s="101">
        <f t="shared" si="54"/>
        <v>2021.2824107652905</v>
      </c>
      <c r="V510" s="45"/>
      <c r="W510" s="45"/>
      <c r="X510" s="45"/>
      <c r="Y510" s="45"/>
      <c r="Z510" s="45"/>
      <c r="AA510" s="45"/>
    </row>
    <row r="511" spans="2:27" x14ac:dyDescent="0.45">
      <c r="B511" s="45" t="s">
        <v>317</v>
      </c>
      <c r="C511" s="90"/>
      <c r="D511" s="56"/>
      <c r="E511" s="84"/>
      <c r="F511" s="58"/>
      <c r="G511" s="58"/>
      <c r="H511" s="58"/>
      <c r="I511" s="58"/>
      <c r="J511" s="58"/>
      <c r="K511" s="58"/>
      <c r="L511" s="59">
        <f t="shared" si="51"/>
        <v>0</v>
      </c>
      <c r="M511" s="68"/>
      <c r="N511" s="68"/>
      <c r="O511" s="68"/>
      <c r="P511" s="68"/>
      <c r="Q511" s="99" t="e">
        <f t="shared" si="52"/>
        <v>#DIV/0!</v>
      </c>
      <c r="R511" s="100">
        <f t="shared" si="53"/>
        <v>0.43387671059875982</v>
      </c>
      <c r="S511" s="83"/>
      <c r="T511" s="83"/>
      <c r="U511" s="101">
        <f t="shared" si="54"/>
        <v>2021.2824107652905</v>
      </c>
      <c r="V511" s="45"/>
      <c r="W511" s="45"/>
      <c r="X511" s="45"/>
      <c r="Y511" s="45"/>
      <c r="Z511" s="45"/>
      <c r="AA511" s="45"/>
    </row>
    <row r="512" spans="2:27" x14ac:dyDescent="0.45">
      <c r="B512" s="45" t="s">
        <v>318</v>
      </c>
      <c r="C512" s="90"/>
      <c r="D512" s="56"/>
      <c r="E512" s="57"/>
      <c r="F512" s="58"/>
      <c r="G512" s="58"/>
      <c r="H512" s="58"/>
      <c r="I512" s="58"/>
      <c r="J512" s="58"/>
      <c r="K512" s="58"/>
      <c r="L512" s="59">
        <f t="shared" si="51"/>
        <v>0</v>
      </c>
      <c r="M512" s="68"/>
      <c r="N512" s="68"/>
      <c r="O512" s="68"/>
      <c r="P512" s="68"/>
      <c r="Q512" s="99" t="e">
        <f t="shared" si="52"/>
        <v>#DIV/0!</v>
      </c>
      <c r="R512" s="100">
        <f t="shared" si="53"/>
        <v>0.43387671059875982</v>
      </c>
      <c r="S512" s="83"/>
      <c r="T512" s="83"/>
      <c r="U512" s="101">
        <f t="shared" si="54"/>
        <v>2021.2824107652905</v>
      </c>
      <c r="V512" s="45"/>
      <c r="W512" s="45"/>
      <c r="X512" s="45"/>
      <c r="Y512" s="45"/>
      <c r="Z512" s="45"/>
      <c r="AA512" s="45"/>
    </row>
    <row r="513" spans="2:27" x14ac:dyDescent="0.45">
      <c r="B513" s="45" t="s">
        <v>319</v>
      </c>
      <c r="C513" s="90"/>
      <c r="D513" s="56"/>
      <c r="E513" s="80"/>
      <c r="F513" s="58"/>
      <c r="G513" s="58"/>
      <c r="H513" s="58"/>
      <c r="I513" s="58"/>
      <c r="J513" s="58"/>
      <c r="K513" s="58"/>
      <c r="L513" s="59">
        <f t="shared" si="51"/>
        <v>0</v>
      </c>
      <c r="M513" s="68"/>
      <c r="N513" s="68"/>
      <c r="O513" s="68"/>
      <c r="P513" s="68"/>
      <c r="Q513" s="99" t="e">
        <f t="shared" si="52"/>
        <v>#DIV/0!</v>
      </c>
      <c r="R513" s="100">
        <f t="shared" si="53"/>
        <v>0.43387671059875982</v>
      </c>
      <c r="S513" s="83"/>
      <c r="T513" s="83"/>
      <c r="U513" s="101">
        <f t="shared" si="54"/>
        <v>2021.2824107652905</v>
      </c>
      <c r="V513" s="45"/>
      <c r="W513" s="45"/>
      <c r="X513" s="45"/>
      <c r="Y513" s="45"/>
      <c r="Z513" s="45"/>
      <c r="AA513" s="45"/>
    </row>
    <row r="514" spans="2:27" x14ac:dyDescent="0.45">
      <c r="B514" s="45" t="s">
        <v>320</v>
      </c>
      <c r="C514" s="90"/>
      <c r="D514" s="56"/>
      <c r="E514" s="84"/>
      <c r="F514" s="58"/>
      <c r="G514" s="58"/>
      <c r="H514" s="58"/>
      <c r="I514" s="58"/>
      <c r="J514" s="58"/>
      <c r="K514" s="58"/>
      <c r="L514" s="59">
        <f t="shared" si="51"/>
        <v>0</v>
      </c>
      <c r="M514" s="68"/>
      <c r="N514" s="68"/>
      <c r="O514" s="68"/>
      <c r="P514" s="68"/>
      <c r="Q514" s="99" t="e">
        <f t="shared" si="52"/>
        <v>#DIV/0!</v>
      </c>
      <c r="R514" s="100">
        <f t="shared" si="53"/>
        <v>0.43387671059875982</v>
      </c>
      <c r="S514" s="83"/>
      <c r="T514" s="83"/>
      <c r="U514" s="101">
        <f t="shared" si="54"/>
        <v>2021.2824107652905</v>
      </c>
      <c r="V514" s="45"/>
      <c r="W514" s="45"/>
      <c r="X514" s="45"/>
      <c r="Y514" s="45"/>
      <c r="Z514" s="45"/>
      <c r="AA514" s="45"/>
    </row>
    <row r="515" spans="2:27" x14ac:dyDescent="0.45">
      <c r="B515" s="45" t="s">
        <v>321</v>
      </c>
      <c r="C515" s="90"/>
      <c r="D515" s="56"/>
      <c r="E515" s="80"/>
      <c r="F515" s="58"/>
      <c r="G515" s="58"/>
      <c r="H515" s="58"/>
      <c r="I515" s="58"/>
      <c r="J515" s="58"/>
      <c r="K515" s="58"/>
      <c r="L515" s="59">
        <f t="shared" si="51"/>
        <v>0</v>
      </c>
      <c r="M515" s="68"/>
      <c r="N515" s="68"/>
      <c r="O515" s="68"/>
      <c r="P515" s="68"/>
      <c r="Q515" s="99" t="e">
        <f t="shared" si="52"/>
        <v>#DIV/0!</v>
      </c>
      <c r="R515" s="100">
        <f t="shared" si="53"/>
        <v>0.43387671059875982</v>
      </c>
      <c r="S515" s="83"/>
      <c r="T515" s="83"/>
      <c r="U515" s="101">
        <f t="shared" si="54"/>
        <v>2021.2824107652905</v>
      </c>
      <c r="V515" s="45"/>
      <c r="W515" s="45"/>
      <c r="X515" s="45"/>
      <c r="Y515" s="45"/>
      <c r="Z515" s="45"/>
      <c r="AA515" s="45"/>
    </row>
    <row r="516" spans="2:27" x14ac:dyDescent="0.45">
      <c r="B516" s="45" t="s">
        <v>322</v>
      </c>
      <c r="C516" s="90"/>
      <c r="D516" s="56"/>
      <c r="E516" s="84"/>
      <c r="F516" s="58"/>
      <c r="G516" s="58"/>
      <c r="H516" s="58"/>
      <c r="I516" s="58"/>
      <c r="J516" s="58"/>
      <c r="K516" s="58"/>
      <c r="L516" s="59">
        <f t="shared" si="51"/>
        <v>0</v>
      </c>
      <c r="M516" s="68"/>
      <c r="N516" s="68"/>
      <c r="O516" s="68"/>
      <c r="P516" s="68"/>
      <c r="Q516" s="99" t="e">
        <f t="shared" si="52"/>
        <v>#DIV/0!</v>
      </c>
      <c r="R516" s="100">
        <f t="shared" si="53"/>
        <v>0.43387671059875982</v>
      </c>
      <c r="S516" s="83"/>
      <c r="T516" s="83"/>
      <c r="U516" s="101">
        <f t="shared" si="54"/>
        <v>2021.2824107652905</v>
      </c>
      <c r="V516" s="45"/>
      <c r="W516" s="45"/>
      <c r="X516" s="45"/>
      <c r="Y516" s="45"/>
      <c r="Z516" s="45"/>
      <c r="AA516" s="45"/>
    </row>
    <row r="517" spans="2:27" x14ac:dyDescent="0.45">
      <c r="B517" s="45" t="s">
        <v>323</v>
      </c>
      <c r="C517" s="90"/>
      <c r="D517" s="56"/>
      <c r="E517" s="57"/>
      <c r="F517" s="58"/>
      <c r="G517" s="58"/>
      <c r="H517" s="58"/>
      <c r="I517" s="58"/>
      <c r="J517" s="58"/>
      <c r="K517" s="58"/>
      <c r="L517" s="59">
        <f t="shared" si="51"/>
        <v>0</v>
      </c>
      <c r="M517" s="68"/>
      <c r="N517" s="68"/>
      <c r="O517" s="68"/>
      <c r="P517" s="68"/>
      <c r="Q517" s="99" t="e">
        <f t="shared" si="52"/>
        <v>#DIV/0!</v>
      </c>
      <c r="R517" s="100">
        <f t="shared" si="53"/>
        <v>0.43387671059875982</v>
      </c>
      <c r="S517" s="83"/>
      <c r="T517" s="83"/>
      <c r="U517" s="101">
        <f t="shared" si="54"/>
        <v>2021.2824107652905</v>
      </c>
      <c r="V517" s="45"/>
      <c r="W517" s="45"/>
      <c r="X517" s="45"/>
      <c r="Y517" s="45"/>
      <c r="Z517" s="45"/>
      <c r="AA517" s="45"/>
    </row>
    <row r="518" spans="2:27" x14ac:dyDescent="0.45">
      <c r="B518" s="45" t="s">
        <v>324</v>
      </c>
      <c r="C518" s="90"/>
      <c r="D518" s="56"/>
      <c r="E518" s="80"/>
      <c r="F518" s="58"/>
      <c r="G518" s="58"/>
      <c r="H518" s="58"/>
      <c r="I518" s="58"/>
      <c r="J518" s="58"/>
      <c r="K518" s="58"/>
      <c r="L518" s="59">
        <f t="shared" si="51"/>
        <v>0</v>
      </c>
      <c r="M518" s="68"/>
      <c r="N518" s="68"/>
      <c r="O518" s="68"/>
      <c r="P518" s="68"/>
      <c r="Q518" s="99" t="e">
        <f t="shared" si="52"/>
        <v>#DIV/0!</v>
      </c>
      <c r="R518" s="100">
        <f t="shared" si="53"/>
        <v>0.43387671059875982</v>
      </c>
      <c r="S518" s="83"/>
      <c r="T518" s="83"/>
      <c r="U518" s="101">
        <f t="shared" si="54"/>
        <v>2021.2824107652905</v>
      </c>
      <c r="V518" s="45"/>
      <c r="W518" s="45"/>
      <c r="X518" s="45"/>
      <c r="Y518" s="45"/>
      <c r="Z518" s="45"/>
      <c r="AA518" s="45"/>
    </row>
    <row r="519" spans="2:27" x14ac:dyDescent="0.45">
      <c r="B519" s="45" t="s">
        <v>325</v>
      </c>
      <c r="C519" s="90"/>
      <c r="D519" s="56"/>
      <c r="E519" s="84"/>
      <c r="F519" s="58"/>
      <c r="G519" s="58"/>
      <c r="H519" s="58"/>
      <c r="I519" s="58"/>
      <c r="J519" s="58"/>
      <c r="K519" s="58"/>
      <c r="L519" s="59">
        <f t="shared" si="51"/>
        <v>0</v>
      </c>
      <c r="M519" s="68"/>
      <c r="N519" s="68"/>
      <c r="O519" s="68"/>
      <c r="P519" s="68"/>
      <c r="Q519" s="99" t="e">
        <f t="shared" si="52"/>
        <v>#DIV/0!</v>
      </c>
      <c r="R519" s="100">
        <f t="shared" si="53"/>
        <v>0.43387671059875982</v>
      </c>
      <c r="S519" s="83"/>
      <c r="T519" s="83"/>
      <c r="U519" s="101">
        <f t="shared" si="54"/>
        <v>2021.2824107652905</v>
      </c>
      <c r="V519" s="45"/>
      <c r="W519" s="45"/>
      <c r="X519" s="45"/>
      <c r="Y519" s="45"/>
      <c r="Z519" s="45"/>
      <c r="AA519" s="45"/>
    </row>
    <row r="520" spans="2:27" x14ac:dyDescent="0.45">
      <c r="B520" s="45" t="s">
        <v>326</v>
      </c>
      <c r="C520" s="90"/>
      <c r="D520" s="56"/>
      <c r="E520" s="57"/>
      <c r="F520" s="58"/>
      <c r="G520" s="58"/>
      <c r="H520" s="58"/>
      <c r="I520" s="58"/>
      <c r="J520" s="58"/>
      <c r="K520" s="58"/>
      <c r="L520" s="59">
        <f t="shared" si="51"/>
        <v>0</v>
      </c>
      <c r="M520" s="68"/>
      <c r="N520" s="68"/>
      <c r="O520" s="68"/>
      <c r="P520" s="68"/>
      <c r="Q520" s="99" t="e">
        <f t="shared" si="52"/>
        <v>#DIV/0!</v>
      </c>
      <c r="R520" s="100">
        <f t="shared" si="53"/>
        <v>0.43387671059875982</v>
      </c>
      <c r="S520" s="83"/>
      <c r="T520" s="83"/>
      <c r="U520" s="101">
        <f t="shared" si="54"/>
        <v>2021.2824107652905</v>
      </c>
      <c r="V520" s="45"/>
      <c r="W520" s="45"/>
      <c r="X520" s="45"/>
      <c r="Y520" s="45"/>
      <c r="Z520" s="45"/>
      <c r="AA520" s="45"/>
    </row>
    <row r="521" spans="2:27" x14ac:dyDescent="0.45">
      <c r="B521" s="45" t="s">
        <v>327</v>
      </c>
      <c r="C521" s="90"/>
      <c r="D521" s="56"/>
      <c r="E521" s="80"/>
      <c r="F521" s="58"/>
      <c r="G521" s="58"/>
      <c r="H521" s="58"/>
      <c r="I521" s="58"/>
      <c r="J521" s="58"/>
      <c r="K521" s="58"/>
      <c r="L521" s="59">
        <f t="shared" si="51"/>
        <v>0</v>
      </c>
      <c r="M521" s="68"/>
      <c r="N521" s="68"/>
      <c r="O521" s="68"/>
      <c r="P521" s="68"/>
      <c r="Q521" s="99" t="e">
        <f t="shared" si="52"/>
        <v>#DIV/0!</v>
      </c>
      <c r="R521" s="100">
        <f t="shared" si="53"/>
        <v>0.43387671059875982</v>
      </c>
      <c r="S521" s="83"/>
      <c r="T521" s="83"/>
      <c r="U521" s="101">
        <f t="shared" si="54"/>
        <v>2021.2824107652905</v>
      </c>
      <c r="V521" s="45"/>
      <c r="W521" s="45"/>
      <c r="X521" s="45"/>
      <c r="Y521" s="45"/>
      <c r="Z521" s="45"/>
      <c r="AA521" s="45"/>
    </row>
    <row r="522" spans="2:27" x14ac:dyDescent="0.45">
      <c r="B522" s="45" t="s">
        <v>328</v>
      </c>
      <c r="C522" s="90"/>
      <c r="D522" s="56"/>
      <c r="E522" s="84"/>
      <c r="F522" s="58"/>
      <c r="G522" s="58"/>
      <c r="H522" s="58"/>
      <c r="I522" s="58"/>
      <c r="J522" s="58"/>
      <c r="K522" s="58"/>
      <c r="L522" s="59">
        <f t="shared" si="51"/>
        <v>0</v>
      </c>
      <c r="M522" s="68"/>
      <c r="N522" s="68"/>
      <c r="O522" s="68"/>
      <c r="P522" s="68"/>
      <c r="Q522" s="99" t="e">
        <f t="shared" si="52"/>
        <v>#DIV/0!</v>
      </c>
      <c r="R522" s="100">
        <f t="shared" si="53"/>
        <v>0.43387671059875982</v>
      </c>
      <c r="S522" s="83"/>
      <c r="T522" s="83"/>
      <c r="U522" s="101">
        <f t="shared" si="54"/>
        <v>2021.2824107652905</v>
      </c>
      <c r="V522" s="45"/>
      <c r="W522" s="45"/>
      <c r="X522" s="45"/>
      <c r="Y522" s="45"/>
      <c r="Z522" s="45"/>
      <c r="AA522" s="45"/>
    </row>
    <row r="523" spans="2:27" x14ac:dyDescent="0.45">
      <c r="B523" s="45" t="s">
        <v>329</v>
      </c>
      <c r="C523" s="90"/>
      <c r="D523" s="56"/>
      <c r="E523" s="57"/>
      <c r="F523" s="58"/>
      <c r="G523" s="58"/>
      <c r="H523" s="58"/>
      <c r="I523" s="58"/>
      <c r="J523" s="58"/>
      <c r="K523" s="58"/>
      <c r="L523" s="59">
        <f t="shared" si="51"/>
        <v>0</v>
      </c>
      <c r="M523" s="68"/>
      <c r="N523" s="68"/>
      <c r="O523" s="68"/>
      <c r="P523" s="68"/>
      <c r="Q523" s="99" t="e">
        <f t="shared" si="52"/>
        <v>#DIV/0!</v>
      </c>
      <c r="R523" s="100">
        <f t="shared" si="53"/>
        <v>0.43387671059875982</v>
      </c>
      <c r="S523" s="83"/>
      <c r="T523" s="83"/>
      <c r="U523" s="101">
        <f t="shared" si="54"/>
        <v>2021.2824107652905</v>
      </c>
      <c r="V523" s="45"/>
      <c r="W523" s="45"/>
      <c r="X523" s="45"/>
      <c r="Y523" s="45"/>
      <c r="Z523" s="45"/>
      <c r="AA523" s="45"/>
    </row>
    <row r="524" spans="2:27" x14ac:dyDescent="0.45">
      <c r="B524" s="45" t="s">
        <v>330</v>
      </c>
      <c r="C524" s="90"/>
      <c r="D524" s="56"/>
      <c r="E524" s="80"/>
      <c r="F524" s="58"/>
      <c r="G524" s="58"/>
      <c r="H524" s="58"/>
      <c r="I524" s="58"/>
      <c r="J524" s="58"/>
      <c r="K524" s="58"/>
      <c r="L524" s="59">
        <f t="shared" si="51"/>
        <v>0</v>
      </c>
      <c r="M524" s="68"/>
      <c r="N524" s="68"/>
      <c r="O524" s="68"/>
      <c r="P524" s="68"/>
      <c r="Q524" s="99" t="e">
        <f t="shared" si="52"/>
        <v>#DIV/0!</v>
      </c>
      <c r="R524" s="100">
        <f t="shared" si="53"/>
        <v>0.43387671059875982</v>
      </c>
      <c r="S524" s="83"/>
      <c r="T524" s="83"/>
      <c r="U524" s="101">
        <f t="shared" si="54"/>
        <v>2021.2824107652905</v>
      </c>
      <c r="V524" s="45"/>
      <c r="W524" s="45"/>
      <c r="X524" s="45"/>
      <c r="Y524" s="45"/>
      <c r="Z524" s="45"/>
      <c r="AA524" s="45"/>
    </row>
    <row r="525" spans="2:27" x14ac:dyDescent="0.45">
      <c r="B525" s="45" t="s">
        <v>331</v>
      </c>
      <c r="C525" s="90"/>
      <c r="D525" s="56"/>
      <c r="E525" s="84"/>
      <c r="F525" s="58"/>
      <c r="G525" s="58"/>
      <c r="H525" s="58"/>
      <c r="I525" s="58"/>
      <c r="J525" s="58"/>
      <c r="K525" s="58"/>
      <c r="L525" s="59">
        <f t="shared" si="51"/>
        <v>0</v>
      </c>
      <c r="M525" s="68"/>
      <c r="N525" s="68"/>
      <c r="O525" s="68"/>
      <c r="P525" s="68"/>
      <c r="Q525" s="99" t="e">
        <f t="shared" si="52"/>
        <v>#DIV/0!</v>
      </c>
      <c r="R525" s="100">
        <f t="shared" si="53"/>
        <v>0.43387671059875982</v>
      </c>
      <c r="S525" s="83"/>
      <c r="T525" s="83"/>
      <c r="U525" s="101">
        <f t="shared" si="54"/>
        <v>2021.2824107652905</v>
      </c>
      <c r="V525" s="45"/>
      <c r="W525" s="45"/>
      <c r="X525" s="45"/>
      <c r="Y525" s="45"/>
      <c r="Z525" s="45"/>
      <c r="AA525" s="45"/>
    </row>
    <row r="526" spans="2:27" x14ac:dyDescent="0.45">
      <c r="B526" s="45" t="s">
        <v>332</v>
      </c>
      <c r="C526" s="90"/>
      <c r="D526" s="56"/>
      <c r="E526" s="57"/>
      <c r="F526" s="58"/>
      <c r="G526" s="58"/>
      <c r="H526" s="58"/>
      <c r="I526" s="58"/>
      <c r="J526" s="58"/>
      <c r="K526" s="58"/>
      <c r="L526" s="59">
        <f t="shared" si="51"/>
        <v>0</v>
      </c>
      <c r="M526" s="68"/>
      <c r="N526" s="68"/>
      <c r="O526" s="68"/>
      <c r="P526" s="68"/>
      <c r="Q526" s="99" t="e">
        <f t="shared" si="52"/>
        <v>#DIV/0!</v>
      </c>
      <c r="R526" s="100">
        <f t="shared" si="53"/>
        <v>0.43387671059875982</v>
      </c>
      <c r="S526" s="83"/>
      <c r="T526" s="83"/>
      <c r="U526" s="101">
        <f t="shared" si="54"/>
        <v>2021.2824107652905</v>
      </c>
      <c r="V526" s="45"/>
      <c r="W526" s="45"/>
      <c r="X526" s="45"/>
      <c r="Y526" s="45"/>
      <c r="Z526" s="45"/>
      <c r="AA526" s="45"/>
    </row>
    <row r="527" spans="2:27" x14ac:dyDescent="0.45">
      <c r="B527" s="45" t="s">
        <v>333</v>
      </c>
      <c r="C527" s="90"/>
      <c r="D527" s="56"/>
      <c r="E527" s="80"/>
      <c r="F527" s="58"/>
      <c r="G527" s="58"/>
      <c r="H527" s="58"/>
      <c r="I527" s="58"/>
      <c r="J527" s="58"/>
      <c r="K527" s="58"/>
      <c r="L527" s="59">
        <f t="shared" si="51"/>
        <v>0</v>
      </c>
      <c r="M527" s="68"/>
      <c r="N527" s="68"/>
      <c r="O527" s="68"/>
      <c r="P527" s="68"/>
      <c r="Q527" s="99" t="e">
        <f t="shared" si="52"/>
        <v>#DIV/0!</v>
      </c>
      <c r="R527" s="100">
        <f t="shared" si="53"/>
        <v>0.43387671059875982</v>
      </c>
      <c r="S527" s="83"/>
      <c r="T527" s="83"/>
      <c r="U527" s="101">
        <f t="shared" si="54"/>
        <v>2021.2824107652905</v>
      </c>
      <c r="V527" s="45"/>
      <c r="W527" s="45"/>
      <c r="X527" s="45"/>
      <c r="Y527" s="45"/>
      <c r="Z527" s="45"/>
      <c r="AA527" s="45"/>
    </row>
    <row r="528" spans="2:27" x14ac:dyDescent="0.45">
      <c r="B528" s="45" t="s">
        <v>334</v>
      </c>
      <c r="C528" s="90"/>
      <c r="D528" s="56"/>
      <c r="E528" s="57"/>
      <c r="F528" s="58"/>
      <c r="G528" s="58"/>
      <c r="H528" s="58"/>
      <c r="I528" s="58"/>
      <c r="J528" s="58"/>
      <c r="K528" s="58"/>
      <c r="L528" s="59">
        <f t="shared" si="51"/>
        <v>0</v>
      </c>
      <c r="M528" s="68"/>
      <c r="N528" s="68"/>
      <c r="O528" s="68"/>
      <c r="P528" s="68"/>
      <c r="Q528" s="99" t="e">
        <f t="shared" si="52"/>
        <v>#DIV/0!</v>
      </c>
      <c r="R528" s="100">
        <f t="shared" si="53"/>
        <v>0.43387671059875982</v>
      </c>
      <c r="S528" s="83"/>
      <c r="T528" s="83"/>
      <c r="U528" s="101">
        <f t="shared" si="54"/>
        <v>2021.2824107652905</v>
      </c>
      <c r="V528" s="45"/>
      <c r="W528" s="45"/>
      <c r="X528" s="45"/>
      <c r="Y528" s="45"/>
      <c r="Z528" s="45"/>
      <c r="AA528" s="45"/>
    </row>
    <row r="529" spans="2:27" x14ac:dyDescent="0.45">
      <c r="B529" s="45" t="s">
        <v>335</v>
      </c>
      <c r="C529" s="90"/>
      <c r="D529" s="56"/>
      <c r="E529" s="80"/>
      <c r="F529" s="58"/>
      <c r="G529" s="58"/>
      <c r="H529" s="58"/>
      <c r="I529" s="58"/>
      <c r="J529" s="58"/>
      <c r="K529" s="58"/>
      <c r="L529" s="59">
        <f t="shared" si="51"/>
        <v>0</v>
      </c>
      <c r="M529" s="68"/>
      <c r="N529" s="68"/>
      <c r="O529" s="68"/>
      <c r="P529" s="68"/>
      <c r="Q529" s="99" t="e">
        <f t="shared" si="52"/>
        <v>#DIV/0!</v>
      </c>
      <c r="R529" s="100">
        <f t="shared" si="53"/>
        <v>0.43387671059875982</v>
      </c>
      <c r="S529" s="83"/>
      <c r="T529" s="83"/>
      <c r="U529" s="101">
        <f t="shared" si="54"/>
        <v>2021.2824107652905</v>
      </c>
      <c r="V529" s="45"/>
      <c r="W529" s="45"/>
      <c r="X529" s="45"/>
      <c r="Y529" s="45"/>
      <c r="Z529" s="45"/>
      <c r="AA529" s="45"/>
    </row>
    <row r="530" spans="2:27" x14ac:dyDescent="0.45">
      <c r="B530" s="45" t="s">
        <v>336</v>
      </c>
      <c r="C530" s="90"/>
      <c r="D530" s="56"/>
      <c r="E530" s="84"/>
      <c r="F530" s="58"/>
      <c r="G530" s="58"/>
      <c r="H530" s="58"/>
      <c r="I530" s="58"/>
      <c r="J530" s="58"/>
      <c r="K530" s="58"/>
      <c r="L530" s="59">
        <f t="shared" ref="L530:L593" si="55">1/2*((F530*I530+H530*K530+J530*G530)-(G530*H530+I530*J530+K530*F530))/0.1582*100</f>
        <v>0</v>
      </c>
      <c r="M530" s="68"/>
      <c r="N530" s="68"/>
      <c r="O530" s="68"/>
      <c r="P530" s="68"/>
      <c r="Q530" s="99" t="e">
        <f t="shared" ref="Q530:Q593" si="56">O530/P530</f>
        <v>#DIV/0!</v>
      </c>
      <c r="R530" s="100">
        <f t="shared" ref="R530:R593" si="57">SQRT(POWER(M530-$M$12,2)+POWER(N530-$N$12,2))</f>
        <v>0.43387671059875982</v>
      </c>
      <c r="S530" s="83"/>
      <c r="T530" s="83"/>
      <c r="U530" s="101">
        <f t="shared" ref="U530:U593" si="58">(-449*((M530-0.332)/(N530-0.1858))^3)+(3525*((M530-0.332)/(N530-0.1858))^2)+(-6823.3*(M530-0.332)/(N530-0.1858))+5520.33</f>
        <v>2021.2824107652905</v>
      </c>
      <c r="V530" s="45"/>
      <c r="W530" s="45"/>
      <c r="X530" s="45"/>
      <c r="Y530" s="45"/>
      <c r="Z530" s="45"/>
      <c r="AA530" s="45"/>
    </row>
    <row r="531" spans="2:27" x14ac:dyDescent="0.45">
      <c r="B531" s="45" t="s">
        <v>337</v>
      </c>
      <c r="C531" s="90"/>
      <c r="D531" s="56"/>
      <c r="E531" s="57"/>
      <c r="F531" s="58"/>
      <c r="G531" s="58"/>
      <c r="H531" s="58"/>
      <c r="I531" s="58"/>
      <c r="J531" s="58"/>
      <c r="K531" s="58"/>
      <c r="L531" s="59">
        <f t="shared" si="55"/>
        <v>0</v>
      </c>
      <c r="M531" s="68"/>
      <c r="N531" s="68"/>
      <c r="O531" s="68"/>
      <c r="P531" s="68"/>
      <c r="Q531" s="99" t="e">
        <f t="shared" si="56"/>
        <v>#DIV/0!</v>
      </c>
      <c r="R531" s="100">
        <f t="shared" si="57"/>
        <v>0.43387671059875982</v>
      </c>
      <c r="S531" s="83"/>
      <c r="T531" s="83"/>
      <c r="U531" s="101">
        <f t="shared" si="58"/>
        <v>2021.2824107652905</v>
      </c>
      <c r="V531" s="45"/>
      <c r="W531" s="45"/>
      <c r="X531" s="45"/>
      <c r="Y531" s="45"/>
      <c r="Z531" s="45"/>
      <c r="AA531" s="45"/>
    </row>
    <row r="532" spans="2:27" x14ac:dyDescent="0.45">
      <c r="B532" s="45" t="s">
        <v>338</v>
      </c>
      <c r="C532" s="90"/>
      <c r="D532" s="56"/>
      <c r="E532" s="80"/>
      <c r="F532" s="58"/>
      <c r="G532" s="58"/>
      <c r="H532" s="58"/>
      <c r="I532" s="58"/>
      <c r="J532" s="58"/>
      <c r="K532" s="58"/>
      <c r="L532" s="59">
        <f t="shared" si="55"/>
        <v>0</v>
      </c>
      <c r="M532" s="68"/>
      <c r="N532" s="68"/>
      <c r="O532" s="68"/>
      <c r="P532" s="68"/>
      <c r="Q532" s="99" t="e">
        <f t="shared" si="56"/>
        <v>#DIV/0!</v>
      </c>
      <c r="R532" s="100">
        <f t="shared" si="57"/>
        <v>0.43387671059875982</v>
      </c>
      <c r="S532" s="83"/>
      <c r="T532" s="83"/>
      <c r="U532" s="101">
        <f t="shared" si="58"/>
        <v>2021.2824107652905</v>
      </c>
      <c r="V532" s="45"/>
      <c r="W532" s="45"/>
      <c r="X532" s="45"/>
      <c r="Y532" s="45"/>
      <c r="Z532" s="45"/>
      <c r="AA532" s="45"/>
    </row>
    <row r="533" spans="2:27" x14ac:dyDescent="0.45">
      <c r="B533" s="45" t="s">
        <v>339</v>
      </c>
      <c r="C533" s="90"/>
      <c r="D533" s="56"/>
      <c r="E533" s="84"/>
      <c r="F533" s="58"/>
      <c r="G533" s="58"/>
      <c r="H533" s="58"/>
      <c r="I533" s="58"/>
      <c r="J533" s="58"/>
      <c r="K533" s="58"/>
      <c r="L533" s="59">
        <f t="shared" si="55"/>
        <v>0</v>
      </c>
      <c r="M533" s="68"/>
      <c r="N533" s="68"/>
      <c r="O533" s="68"/>
      <c r="P533" s="68"/>
      <c r="Q533" s="99" t="e">
        <f t="shared" si="56"/>
        <v>#DIV/0!</v>
      </c>
      <c r="R533" s="100">
        <f t="shared" si="57"/>
        <v>0.43387671059875982</v>
      </c>
      <c r="S533" s="83"/>
      <c r="T533" s="83"/>
      <c r="U533" s="101">
        <f t="shared" si="58"/>
        <v>2021.2824107652905</v>
      </c>
      <c r="V533" s="45"/>
      <c r="W533" s="45"/>
      <c r="X533" s="45"/>
      <c r="Y533" s="45"/>
      <c r="Z533" s="45"/>
      <c r="AA533" s="45"/>
    </row>
    <row r="534" spans="2:27" x14ac:dyDescent="0.45">
      <c r="B534" s="45" t="s">
        <v>340</v>
      </c>
      <c r="C534" s="90"/>
      <c r="D534" s="56"/>
      <c r="E534" s="57"/>
      <c r="F534" s="58"/>
      <c r="G534" s="58"/>
      <c r="H534" s="58"/>
      <c r="I534" s="58"/>
      <c r="J534" s="58"/>
      <c r="K534" s="58"/>
      <c r="L534" s="59">
        <f t="shared" si="55"/>
        <v>0</v>
      </c>
      <c r="M534" s="68"/>
      <c r="N534" s="68"/>
      <c r="O534" s="68"/>
      <c r="P534" s="68"/>
      <c r="Q534" s="99" t="e">
        <f t="shared" si="56"/>
        <v>#DIV/0!</v>
      </c>
      <c r="R534" s="100">
        <f t="shared" si="57"/>
        <v>0.43387671059875982</v>
      </c>
      <c r="S534" s="83"/>
      <c r="T534" s="83"/>
      <c r="U534" s="101">
        <f t="shared" si="58"/>
        <v>2021.2824107652905</v>
      </c>
      <c r="V534" s="45"/>
      <c r="W534" s="45"/>
      <c r="X534" s="45"/>
      <c r="Y534" s="45"/>
      <c r="Z534" s="45"/>
      <c r="AA534" s="45"/>
    </row>
    <row r="535" spans="2:27" x14ac:dyDescent="0.45">
      <c r="B535" s="45" t="s">
        <v>341</v>
      </c>
      <c r="C535" s="90"/>
      <c r="D535" s="56"/>
      <c r="E535" s="80"/>
      <c r="F535" s="58"/>
      <c r="G535" s="58"/>
      <c r="H535" s="58"/>
      <c r="I535" s="58"/>
      <c r="J535" s="58"/>
      <c r="K535" s="58"/>
      <c r="L535" s="59">
        <f t="shared" si="55"/>
        <v>0</v>
      </c>
      <c r="M535" s="68"/>
      <c r="N535" s="68"/>
      <c r="O535" s="68"/>
      <c r="P535" s="68"/>
      <c r="Q535" s="99" t="e">
        <f t="shared" si="56"/>
        <v>#DIV/0!</v>
      </c>
      <c r="R535" s="100">
        <f t="shared" si="57"/>
        <v>0.43387671059875982</v>
      </c>
      <c r="S535" s="83"/>
      <c r="T535" s="83"/>
      <c r="U535" s="101">
        <f t="shared" si="58"/>
        <v>2021.2824107652905</v>
      </c>
      <c r="V535" s="45"/>
      <c r="W535" s="45"/>
      <c r="X535" s="45"/>
      <c r="Y535" s="45"/>
      <c r="Z535" s="45"/>
      <c r="AA535" s="45"/>
    </row>
    <row r="536" spans="2:27" x14ac:dyDescent="0.45">
      <c r="B536" s="45" t="s">
        <v>342</v>
      </c>
      <c r="C536" s="90"/>
      <c r="D536" s="56"/>
      <c r="E536" s="84"/>
      <c r="F536" s="58"/>
      <c r="G536" s="58"/>
      <c r="H536" s="58"/>
      <c r="I536" s="58"/>
      <c r="J536" s="58"/>
      <c r="K536" s="58"/>
      <c r="L536" s="59">
        <f t="shared" si="55"/>
        <v>0</v>
      </c>
      <c r="M536" s="68"/>
      <c r="N536" s="68"/>
      <c r="O536" s="68"/>
      <c r="P536" s="68"/>
      <c r="Q536" s="99" t="e">
        <f t="shared" si="56"/>
        <v>#DIV/0!</v>
      </c>
      <c r="R536" s="100">
        <f t="shared" si="57"/>
        <v>0.43387671059875982</v>
      </c>
      <c r="S536" s="83"/>
      <c r="T536" s="83"/>
      <c r="U536" s="101">
        <f t="shared" si="58"/>
        <v>2021.2824107652905</v>
      </c>
      <c r="V536" s="45"/>
      <c r="W536" s="45"/>
      <c r="X536" s="45"/>
      <c r="Y536" s="45"/>
      <c r="Z536" s="45"/>
      <c r="AA536" s="45"/>
    </row>
    <row r="537" spans="2:27" x14ac:dyDescent="0.45">
      <c r="B537" s="45" t="s">
        <v>343</v>
      </c>
      <c r="C537" s="90"/>
      <c r="D537" s="56"/>
      <c r="E537" s="57"/>
      <c r="F537" s="58"/>
      <c r="G537" s="58"/>
      <c r="H537" s="58"/>
      <c r="I537" s="58"/>
      <c r="J537" s="58"/>
      <c r="K537" s="58"/>
      <c r="L537" s="59">
        <f t="shared" si="55"/>
        <v>0</v>
      </c>
      <c r="M537" s="68"/>
      <c r="N537" s="68"/>
      <c r="O537" s="68"/>
      <c r="P537" s="68"/>
      <c r="Q537" s="99" t="e">
        <f t="shared" si="56"/>
        <v>#DIV/0!</v>
      </c>
      <c r="R537" s="100">
        <f t="shared" si="57"/>
        <v>0.43387671059875982</v>
      </c>
      <c r="S537" s="83"/>
      <c r="T537" s="83"/>
      <c r="U537" s="101">
        <f t="shared" si="58"/>
        <v>2021.2824107652905</v>
      </c>
      <c r="V537" s="45"/>
      <c r="W537" s="45"/>
      <c r="X537" s="45"/>
      <c r="Y537" s="45"/>
      <c r="Z537" s="45"/>
      <c r="AA537" s="45"/>
    </row>
    <row r="538" spans="2:27" x14ac:dyDescent="0.45">
      <c r="B538" s="45" t="s">
        <v>344</v>
      </c>
      <c r="C538" s="90"/>
      <c r="D538" s="56"/>
      <c r="E538" s="80"/>
      <c r="F538" s="58"/>
      <c r="G538" s="58"/>
      <c r="H538" s="58"/>
      <c r="I538" s="58"/>
      <c r="J538" s="58"/>
      <c r="K538" s="58"/>
      <c r="L538" s="59">
        <f t="shared" si="55"/>
        <v>0</v>
      </c>
      <c r="M538" s="68"/>
      <c r="N538" s="68"/>
      <c r="O538" s="68"/>
      <c r="P538" s="68"/>
      <c r="Q538" s="99" t="e">
        <f t="shared" si="56"/>
        <v>#DIV/0!</v>
      </c>
      <c r="R538" s="100">
        <f t="shared" si="57"/>
        <v>0.43387671059875982</v>
      </c>
      <c r="S538" s="83"/>
      <c r="T538" s="83"/>
      <c r="U538" s="101">
        <f t="shared" si="58"/>
        <v>2021.2824107652905</v>
      </c>
      <c r="V538" s="45"/>
      <c r="W538" s="45"/>
      <c r="X538" s="45"/>
      <c r="Y538" s="45"/>
      <c r="Z538" s="45"/>
      <c r="AA538" s="45"/>
    </row>
    <row r="539" spans="2:27" x14ac:dyDescent="0.45">
      <c r="B539" s="45" t="s">
        <v>345</v>
      </c>
      <c r="C539" s="90"/>
      <c r="D539" s="56"/>
      <c r="E539" s="84"/>
      <c r="F539" s="58"/>
      <c r="G539" s="58"/>
      <c r="H539" s="58"/>
      <c r="I539" s="58"/>
      <c r="J539" s="58"/>
      <c r="K539" s="58"/>
      <c r="L539" s="59">
        <f t="shared" si="55"/>
        <v>0</v>
      </c>
      <c r="M539" s="68"/>
      <c r="N539" s="68"/>
      <c r="O539" s="68"/>
      <c r="P539" s="68"/>
      <c r="Q539" s="99" t="e">
        <f t="shared" si="56"/>
        <v>#DIV/0!</v>
      </c>
      <c r="R539" s="100">
        <f t="shared" si="57"/>
        <v>0.43387671059875982</v>
      </c>
      <c r="S539" s="83"/>
      <c r="T539" s="83"/>
      <c r="U539" s="101">
        <f t="shared" si="58"/>
        <v>2021.2824107652905</v>
      </c>
      <c r="V539" s="45"/>
      <c r="W539" s="45"/>
      <c r="X539" s="45"/>
      <c r="Y539" s="45"/>
      <c r="Z539" s="45"/>
      <c r="AA539" s="45"/>
    </row>
    <row r="540" spans="2:27" x14ac:dyDescent="0.45">
      <c r="B540" s="45" t="s">
        <v>346</v>
      </c>
      <c r="C540" s="90"/>
      <c r="D540" s="56"/>
      <c r="E540" s="57"/>
      <c r="F540" s="58"/>
      <c r="G540" s="58"/>
      <c r="H540" s="58"/>
      <c r="I540" s="58"/>
      <c r="J540" s="58"/>
      <c r="K540" s="58"/>
      <c r="L540" s="59">
        <f t="shared" si="55"/>
        <v>0</v>
      </c>
      <c r="M540" s="68"/>
      <c r="N540" s="68"/>
      <c r="O540" s="68"/>
      <c r="P540" s="68"/>
      <c r="Q540" s="99" t="e">
        <f t="shared" si="56"/>
        <v>#DIV/0!</v>
      </c>
      <c r="R540" s="100">
        <f t="shared" si="57"/>
        <v>0.43387671059875982</v>
      </c>
      <c r="S540" s="83"/>
      <c r="T540" s="83"/>
      <c r="U540" s="101">
        <f t="shared" si="58"/>
        <v>2021.2824107652905</v>
      </c>
      <c r="V540" s="45"/>
      <c r="W540" s="45"/>
      <c r="X540" s="45"/>
      <c r="Y540" s="45"/>
      <c r="Z540" s="45"/>
      <c r="AA540" s="45"/>
    </row>
    <row r="541" spans="2:27" x14ac:dyDescent="0.45">
      <c r="B541" s="45" t="s">
        <v>347</v>
      </c>
      <c r="C541" s="90"/>
      <c r="D541" s="56"/>
      <c r="E541" s="80"/>
      <c r="F541" s="58"/>
      <c r="G541" s="58"/>
      <c r="H541" s="58"/>
      <c r="I541" s="58"/>
      <c r="J541" s="58"/>
      <c r="K541" s="58"/>
      <c r="L541" s="59">
        <f t="shared" si="55"/>
        <v>0</v>
      </c>
      <c r="M541" s="68"/>
      <c r="N541" s="68"/>
      <c r="O541" s="68"/>
      <c r="P541" s="68"/>
      <c r="Q541" s="99" t="e">
        <f t="shared" si="56"/>
        <v>#DIV/0!</v>
      </c>
      <c r="R541" s="100">
        <f t="shared" si="57"/>
        <v>0.43387671059875982</v>
      </c>
      <c r="S541" s="83"/>
      <c r="T541" s="83"/>
      <c r="U541" s="101">
        <f t="shared" si="58"/>
        <v>2021.2824107652905</v>
      </c>
      <c r="V541" s="45"/>
      <c r="W541" s="45"/>
      <c r="X541" s="45"/>
      <c r="Y541" s="45"/>
      <c r="Z541" s="45"/>
      <c r="AA541" s="45"/>
    </row>
    <row r="542" spans="2:27" x14ac:dyDescent="0.45">
      <c r="B542" s="45" t="s">
        <v>348</v>
      </c>
      <c r="C542" s="90"/>
      <c r="D542" s="56"/>
      <c r="E542" s="84"/>
      <c r="F542" s="58"/>
      <c r="G542" s="58"/>
      <c r="H542" s="58"/>
      <c r="I542" s="58"/>
      <c r="J542" s="58"/>
      <c r="K542" s="58"/>
      <c r="L542" s="59">
        <f t="shared" si="55"/>
        <v>0</v>
      </c>
      <c r="M542" s="68"/>
      <c r="N542" s="68"/>
      <c r="O542" s="68"/>
      <c r="P542" s="68"/>
      <c r="Q542" s="99" t="e">
        <f t="shared" si="56"/>
        <v>#DIV/0!</v>
      </c>
      <c r="R542" s="100">
        <f t="shared" si="57"/>
        <v>0.43387671059875982</v>
      </c>
      <c r="S542" s="83"/>
      <c r="T542" s="83"/>
      <c r="U542" s="101">
        <f t="shared" si="58"/>
        <v>2021.2824107652905</v>
      </c>
      <c r="V542" s="45"/>
      <c r="W542" s="45"/>
      <c r="X542" s="45"/>
      <c r="Y542" s="45"/>
      <c r="Z542" s="45"/>
      <c r="AA542" s="45"/>
    </row>
    <row r="543" spans="2:27" x14ac:dyDescent="0.45">
      <c r="B543" s="45" t="s">
        <v>349</v>
      </c>
      <c r="C543" s="90"/>
      <c r="D543" s="56"/>
      <c r="E543" s="57"/>
      <c r="F543" s="58"/>
      <c r="G543" s="58"/>
      <c r="H543" s="58"/>
      <c r="I543" s="58"/>
      <c r="J543" s="58"/>
      <c r="K543" s="58"/>
      <c r="L543" s="59">
        <f t="shared" si="55"/>
        <v>0</v>
      </c>
      <c r="M543" s="68"/>
      <c r="N543" s="68"/>
      <c r="O543" s="68"/>
      <c r="P543" s="68"/>
      <c r="Q543" s="99" t="e">
        <f t="shared" si="56"/>
        <v>#DIV/0!</v>
      </c>
      <c r="R543" s="100">
        <f t="shared" si="57"/>
        <v>0.43387671059875982</v>
      </c>
      <c r="S543" s="83"/>
      <c r="T543" s="83"/>
      <c r="U543" s="101">
        <f t="shared" si="58"/>
        <v>2021.2824107652905</v>
      </c>
      <c r="V543" s="45"/>
      <c r="W543" s="45"/>
      <c r="X543" s="45"/>
      <c r="Y543" s="45"/>
      <c r="Z543" s="45"/>
      <c r="AA543" s="45"/>
    </row>
    <row r="544" spans="2:27" x14ac:dyDescent="0.45">
      <c r="B544" s="45" t="s">
        <v>350</v>
      </c>
      <c r="C544" s="90"/>
      <c r="D544" s="56"/>
      <c r="E544" s="80"/>
      <c r="F544" s="58"/>
      <c r="G544" s="58"/>
      <c r="H544" s="58"/>
      <c r="I544" s="58"/>
      <c r="J544" s="58"/>
      <c r="K544" s="58"/>
      <c r="L544" s="59">
        <f t="shared" si="55"/>
        <v>0</v>
      </c>
      <c r="M544" s="68"/>
      <c r="N544" s="68"/>
      <c r="O544" s="68"/>
      <c r="P544" s="68"/>
      <c r="Q544" s="99" t="e">
        <f t="shared" si="56"/>
        <v>#DIV/0!</v>
      </c>
      <c r="R544" s="100">
        <f t="shared" si="57"/>
        <v>0.43387671059875982</v>
      </c>
      <c r="S544" s="83"/>
      <c r="T544" s="83"/>
      <c r="U544" s="101">
        <f t="shared" si="58"/>
        <v>2021.2824107652905</v>
      </c>
      <c r="V544" s="45"/>
      <c r="W544" s="45"/>
      <c r="X544" s="45"/>
      <c r="Y544" s="45"/>
      <c r="Z544" s="45"/>
      <c r="AA544" s="45"/>
    </row>
    <row r="545" spans="2:27" x14ac:dyDescent="0.45">
      <c r="B545" s="45" t="s">
        <v>351</v>
      </c>
      <c r="C545" s="90"/>
      <c r="D545" s="56"/>
      <c r="E545" s="84"/>
      <c r="F545" s="58"/>
      <c r="G545" s="58"/>
      <c r="H545" s="58"/>
      <c r="I545" s="58"/>
      <c r="J545" s="58"/>
      <c r="K545" s="58"/>
      <c r="L545" s="59">
        <f t="shared" si="55"/>
        <v>0</v>
      </c>
      <c r="M545" s="68"/>
      <c r="N545" s="68"/>
      <c r="O545" s="68"/>
      <c r="P545" s="68"/>
      <c r="Q545" s="99" t="e">
        <f t="shared" si="56"/>
        <v>#DIV/0!</v>
      </c>
      <c r="R545" s="100">
        <f t="shared" si="57"/>
        <v>0.43387671059875982</v>
      </c>
      <c r="S545" s="83"/>
      <c r="T545" s="83"/>
      <c r="U545" s="101">
        <f t="shared" si="58"/>
        <v>2021.2824107652905</v>
      </c>
      <c r="V545" s="45"/>
      <c r="W545" s="45"/>
      <c r="X545" s="45"/>
      <c r="Y545" s="45"/>
      <c r="Z545" s="45"/>
      <c r="AA545" s="45"/>
    </row>
    <row r="546" spans="2:27" x14ac:dyDescent="0.45">
      <c r="B546" s="45" t="s">
        <v>352</v>
      </c>
      <c r="C546" s="90"/>
      <c r="D546" s="56"/>
      <c r="E546" s="57"/>
      <c r="F546" s="58"/>
      <c r="G546" s="58"/>
      <c r="H546" s="58"/>
      <c r="I546" s="58"/>
      <c r="J546" s="58"/>
      <c r="K546" s="58"/>
      <c r="L546" s="59">
        <f t="shared" si="55"/>
        <v>0</v>
      </c>
      <c r="M546" s="68"/>
      <c r="N546" s="68"/>
      <c r="O546" s="68"/>
      <c r="P546" s="68"/>
      <c r="Q546" s="99" t="e">
        <f t="shared" si="56"/>
        <v>#DIV/0!</v>
      </c>
      <c r="R546" s="100">
        <f t="shared" si="57"/>
        <v>0.43387671059875982</v>
      </c>
      <c r="S546" s="83"/>
      <c r="T546" s="83"/>
      <c r="U546" s="101">
        <f t="shared" si="58"/>
        <v>2021.2824107652905</v>
      </c>
      <c r="V546" s="45"/>
      <c r="W546" s="45"/>
      <c r="X546" s="45"/>
      <c r="Y546" s="45"/>
      <c r="Z546" s="45"/>
      <c r="AA546" s="45"/>
    </row>
    <row r="547" spans="2:27" x14ac:dyDescent="0.45">
      <c r="B547" s="45" t="s">
        <v>353</v>
      </c>
      <c r="C547" s="90"/>
      <c r="D547" s="56"/>
      <c r="E547" s="80"/>
      <c r="F547" s="58"/>
      <c r="G547" s="58"/>
      <c r="H547" s="58"/>
      <c r="I547" s="58"/>
      <c r="J547" s="58"/>
      <c r="K547" s="58"/>
      <c r="L547" s="59">
        <f t="shared" si="55"/>
        <v>0</v>
      </c>
      <c r="M547" s="68"/>
      <c r="N547" s="68"/>
      <c r="O547" s="68"/>
      <c r="P547" s="68"/>
      <c r="Q547" s="99" t="e">
        <f t="shared" si="56"/>
        <v>#DIV/0!</v>
      </c>
      <c r="R547" s="100">
        <f t="shared" si="57"/>
        <v>0.43387671059875982</v>
      </c>
      <c r="S547" s="83"/>
      <c r="T547" s="83"/>
      <c r="U547" s="101">
        <f t="shared" si="58"/>
        <v>2021.2824107652905</v>
      </c>
      <c r="V547" s="45"/>
      <c r="W547" s="45"/>
      <c r="X547" s="45"/>
      <c r="Y547" s="45"/>
      <c r="Z547" s="45"/>
      <c r="AA547" s="45"/>
    </row>
    <row r="548" spans="2:27" x14ac:dyDescent="0.45">
      <c r="B548" s="45" t="s">
        <v>354</v>
      </c>
      <c r="C548" s="90"/>
      <c r="D548" s="56"/>
      <c r="E548" s="84"/>
      <c r="F548" s="58"/>
      <c r="G548" s="58"/>
      <c r="H548" s="58"/>
      <c r="I548" s="58"/>
      <c r="J548" s="58"/>
      <c r="K548" s="58"/>
      <c r="L548" s="59">
        <f t="shared" si="55"/>
        <v>0</v>
      </c>
      <c r="M548" s="68"/>
      <c r="N548" s="68"/>
      <c r="O548" s="68"/>
      <c r="P548" s="68"/>
      <c r="Q548" s="99" t="e">
        <f t="shared" si="56"/>
        <v>#DIV/0!</v>
      </c>
      <c r="R548" s="100">
        <f t="shared" si="57"/>
        <v>0.43387671059875982</v>
      </c>
      <c r="S548" s="83"/>
      <c r="T548" s="83"/>
      <c r="U548" s="101">
        <f t="shared" si="58"/>
        <v>2021.2824107652905</v>
      </c>
      <c r="V548" s="45"/>
      <c r="W548" s="45"/>
      <c r="X548" s="45"/>
      <c r="Y548" s="45"/>
      <c r="Z548" s="45"/>
      <c r="AA548" s="45"/>
    </row>
    <row r="549" spans="2:27" x14ac:dyDescent="0.45">
      <c r="B549" s="45" t="s">
        <v>355</v>
      </c>
      <c r="C549" s="90"/>
      <c r="D549" s="56"/>
      <c r="E549" s="57"/>
      <c r="F549" s="58"/>
      <c r="G549" s="58"/>
      <c r="H549" s="58"/>
      <c r="I549" s="58"/>
      <c r="J549" s="58"/>
      <c r="K549" s="58"/>
      <c r="L549" s="59">
        <f t="shared" si="55"/>
        <v>0</v>
      </c>
      <c r="M549" s="68"/>
      <c r="N549" s="68"/>
      <c r="O549" s="68"/>
      <c r="P549" s="68"/>
      <c r="Q549" s="99" t="e">
        <f t="shared" si="56"/>
        <v>#DIV/0!</v>
      </c>
      <c r="R549" s="100">
        <f t="shared" si="57"/>
        <v>0.43387671059875982</v>
      </c>
      <c r="S549" s="83"/>
      <c r="T549" s="83"/>
      <c r="U549" s="101">
        <f t="shared" si="58"/>
        <v>2021.2824107652905</v>
      </c>
      <c r="V549" s="45"/>
      <c r="W549" s="45"/>
      <c r="X549" s="45"/>
      <c r="Y549" s="45"/>
      <c r="Z549" s="45"/>
      <c r="AA549" s="45"/>
    </row>
    <row r="550" spans="2:27" x14ac:dyDescent="0.45">
      <c r="B550" s="45" t="s">
        <v>356</v>
      </c>
      <c r="C550" s="90"/>
      <c r="D550" s="56"/>
      <c r="E550" s="80"/>
      <c r="F550" s="58"/>
      <c r="G550" s="58"/>
      <c r="H550" s="58"/>
      <c r="I550" s="58"/>
      <c r="J550" s="58"/>
      <c r="K550" s="58"/>
      <c r="L550" s="59">
        <f t="shared" si="55"/>
        <v>0</v>
      </c>
      <c r="M550" s="68"/>
      <c r="N550" s="68"/>
      <c r="O550" s="68"/>
      <c r="P550" s="68"/>
      <c r="Q550" s="99" t="e">
        <f t="shared" si="56"/>
        <v>#DIV/0!</v>
      </c>
      <c r="R550" s="100">
        <f t="shared" si="57"/>
        <v>0.43387671059875982</v>
      </c>
      <c r="S550" s="83"/>
      <c r="T550" s="83"/>
      <c r="U550" s="101">
        <f t="shared" si="58"/>
        <v>2021.2824107652905</v>
      </c>
      <c r="V550" s="45"/>
      <c r="W550" s="45"/>
      <c r="X550" s="45"/>
      <c r="Y550" s="45"/>
      <c r="Z550" s="45"/>
      <c r="AA550" s="45"/>
    </row>
    <row r="551" spans="2:27" x14ac:dyDescent="0.45">
      <c r="B551" s="45" t="s">
        <v>357</v>
      </c>
      <c r="C551" s="90"/>
      <c r="D551" s="56"/>
      <c r="E551" s="84"/>
      <c r="F551" s="58"/>
      <c r="G551" s="58"/>
      <c r="H551" s="58"/>
      <c r="I551" s="58"/>
      <c r="J551" s="58"/>
      <c r="K551" s="58"/>
      <c r="L551" s="59">
        <f t="shared" si="55"/>
        <v>0</v>
      </c>
      <c r="M551" s="68"/>
      <c r="N551" s="68"/>
      <c r="O551" s="68"/>
      <c r="P551" s="68"/>
      <c r="Q551" s="99" t="e">
        <f t="shared" si="56"/>
        <v>#DIV/0!</v>
      </c>
      <c r="R551" s="100">
        <f t="shared" si="57"/>
        <v>0.43387671059875982</v>
      </c>
      <c r="S551" s="83"/>
      <c r="T551" s="83"/>
      <c r="U551" s="101">
        <f t="shared" si="58"/>
        <v>2021.2824107652905</v>
      </c>
      <c r="V551" s="45"/>
      <c r="W551" s="45"/>
      <c r="X551" s="45"/>
      <c r="Y551" s="45"/>
      <c r="Z551" s="45"/>
      <c r="AA551" s="45"/>
    </row>
    <row r="552" spans="2:27" x14ac:dyDescent="0.45">
      <c r="B552" s="45" t="s">
        <v>358</v>
      </c>
      <c r="C552" s="90"/>
      <c r="D552" s="56"/>
      <c r="E552" s="57"/>
      <c r="F552" s="58"/>
      <c r="G552" s="58"/>
      <c r="H552" s="58"/>
      <c r="I552" s="58"/>
      <c r="J552" s="58"/>
      <c r="K552" s="58"/>
      <c r="L552" s="59">
        <f t="shared" si="55"/>
        <v>0</v>
      </c>
      <c r="M552" s="68"/>
      <c r="N552" s="68"/>
      <c r="O552" s="68"/>
      <c r="P552" s="68"/>
      <c r="Q552" s="99" t="e">
        <f t="shared" si="56"/>
        <v>#DIV/0!</v>
      </c>
      <c r="R552" s="100">
        <f t="shared" si="57"/>
        <v>0.43387671059875982</v>
      </c>
      <c r="S552" s="83"/>
      <c r="T552" s="83"/>
      <c r="U552" s="101">
        <f t="shared" si="58"/>
        <v>2021.2824107652905</v>
      </c>
      <c r="V552" s="45"/>
      <c r="W552" s="45"/>
      <c r="X552" s="45"/>
      <c r="Y552" s="45"/>
      <c r="Z552" s="45"/>
      <c r="AA552" s="45"/>
    </row>
    <row r="553" spans="2:27" x14ac:dyDescent="0.45">
      <c r="B553" s="45" t="s">
        <v>359</v>
      </c>
      <c r="C553" s="90"/>
      <c r="D553" s="56"/>
      <c r="E553" s="80"/>
      <c r="F553" s="58"/>
      <c r="G553" s="58"/>
      <c r="H553" s="58"/>
      <c r="I553" s="58"/>
      <c r="J553" s="58"/>
      <c r="K553" s="58"/>
      <c r="L553" s="59">
        <f t="shared" si="55"/>
        <v>0</v>
      </c>
      <c r="M553" s="68"/>
      <c r="N553" s="68"/>
      <c r="O553" s="68"/>
      <c r="P553" s="68"/>
      <c r="Q553" s="99" t="e">
        <f t="shared" si="56"/>
        <v>#DIV/0!</v>
      </c>
      <c r="R553" s="100">
        <f t="shared" si="57"/>
        <v>0.43387671059875982</v>
      </c>
      <c r="S553" s="83"/>
      <c r="T553" s="83"/>
      <c r="U553" s="101">
        <f t="shared" si="58"/>
        <v>2021.2824107652905</v>
      </c>
      <c r="V553" s="45"/>
      <c r="W553" s="45"/>
      <c r="X553" s="45"/>
      <c r="Y553" s="45"/>
      <c r="Z553" s="45"/>
      <c r="AA553" s="45"/>
    </row>
    <row r="554" spans="2:27" x14ac:dyDescent="0.45">
      <c r="B554" s="45" t="s">
        <v>360</v>
      </c>
      <c r="C554" s="90"/>
      <c r="D554" s="56"/>
      <c r="E554" s="84"/>
      <c r="F554" s="58"/>
      <c r="G554" s="58"/>
      <c r="H554" s="58"/>
      <c r="I554" s="58"/>
      <c r="J554" s="58"/>
      <c r="K554" s="58"/>
      <c r="L554" s="59">
        <f t="shared" si="55"/>
        <v>0</v>
      </c>
      <c r="M554" s="68"/>
      <c r="N554" s="68"/>
      <c r="O554" s="68"/>
      <c r="P554" s="68"/>
      <c r="Q554" s="99" t="e">
        <f t="shared" si="56"/>
        <v>#DIV/0!</v>
      </c>
      <c r="R554" s="100">
        <f t="shared" si="57"/>
        <v>0.43387671059875982</v>
      </c>
      <c r="S554" s="83"/>
      <c r="T554" s="83"/>
      <c r="U554" s="101">
        <f t="shared" si="58"/>
        <v>2021.2824107652905</v>
      </c>
      <c r="V554" s="45"/>
      <c r="W554" s="45"/>
      <c r="X554" s="45"/>
      <c r="Y554" s="45"/>
      <c r="Z554" s="45"/>
      <c r="AA554" s="45"/>
    </row>
    <row r="555" spans="2:27" x14ac:dyDescent="0.45">
      <c r="B555" s="45" t="s">
        <v>361</v>
      </c>
      <c r="C555" s="90"/>
      <c r="D555" s="56"/>
      <c r="E555" s="57"/>
      <c r="F555" s="58"/>
      <c r="G555" s="58"/>
      <c r="H555" s="58"/>
      <c r="I555" s="58"/>
      <c r="J555" s="58"/>
      <c r="K555" s="58"/>
      <c r="L555" s="59">
        <f t="shared" si="55"/>
        <v>0</v>
      </c>
      <c r="M555" s="68"/>
      <c r="N555" s="68"/>
      <c r="O555" s="68"/>
      <c r="P555" s="68"/>
      <c r="Q555" s="99" t="e">
        <f t="shared" si="56"/>
        <v>#DIV/0!</v>
      </c>
      <c r="R555" s="100">
        <f t="shared" si="57"/>
        <v>0.43387671059875982</v>
      </c>
      <c r="S555" s="83"/>
      <c r="T555" s="83"/>
      <c r="U555" s="101">
        <f t="shared" si="58"/>
        <v>2021.2824107652905</v>
      </c>
      <c r="V555" s="45"/>
      <c r="W555" s="45"/>
      <c r="X555" s="45"/>
      <c r="Y555" s="45"/>
      <c r="Z555" s="45"/>
      <c r="AA555" s="45"/>
    </row>
    <row r="556" spans="2:27" x14ac:dyDescent="0.45">
      <c r="B556" s="45" t="s">
        <v>362</v>
      </c>
      <c r="C556" s="90"/>
      <c r="D556" s="56"/>
      <c r="E556" s="80"/>
      <c r="F556" s="58"/>
      <c r="G556" s="58"/>
      <c r="H556" s="58"/>
      <c r="I556" s="58"/>
      <c r="J556" s="58"/>
      <c r="K556" s="58"/>
      <c r="L556" s="59">
        <f t="shared" si="55"/>
        <v>0</v>
      </c>
      <c r="M556" s="68"/>
      <c r="N556" s="68"/>
      <c r="O556" s="68"/>
      <c r="P556" s="68"/>
      <c r="Q556" s="99" t="e">
        <f t="shared" si="56"/>
        <v>#DIV/0!</v>
      </c>
      <c r="R556" s="100">
        <f t="shared" si="57"/>
        <v>0.43387671059875982</v>
      </c>
      <c r="S556" s="83"/>
      <c r="T556" s="83"/>
      <c r="U556" s="101">
        <f t="shared" si="58"/>
        <v>2021.2824107652905</v>
      </c>
      <c r="V556" s="45"/>
      <c r="W556" s="45"/>
      <c r="X556" s="45"/>
      <c r="Y556" s="45"/>
      <c r="Z556" s="45"/>
      <c r="AA556" s="45"/>
    </row>
    <row r="557" spans="2:27" x14ac:dyDescent="0.45">
      <c r="B557" s="45" t="s">
        <v>363</v>
      </c>
      <c r="C557" s="90"/>
      <c r="D557" s="56"/>
      <c r="E557" s="84"/>
      <c r="F557" s="58"/>
      <c r="G557" s="58"/>
      <c r="H557" s="58"/>
      <c r="I557" s="58"/>
      <c r="J557" s="58"/>
      <c r="K557" s="58"/>
      <c r="L557" s="59">
        <f t="shared" si="55"/>
        <v>0</v>
      </c>
      <c r="M557" s="68"/>
      <c r="N557" s="68"/>
      <c r="O557" s="68"/>
      <c r="P557" s="68"/>
      <c r="Q557" s="99" t="e">
        <f t="shared" si="56"/>
        <v>#DIV/0!</v>
      </c>
      <c r="R557" s="100">
        <f t="shared" si="57"/>
        <v>0.43387671059875982</v>
      </c>
      <c r="S557" s="83"/>
      <c r="T557" s="83"/>
      <c r="U557" s="101">
        <f t="shared" si="58"/>
        <v>2021.2824107652905</v>
      </c>
      <c r="V557" s="45"/>
      <c r="W557" s="45"/>
      <c r="X557" s="45"/>
      <c r="Y557" s="45"/>
      <c r="Z557" s="45"/>
      <c r="AA557" s="45"/>
    </row>
    <row r="558" spans="2:27" x14ac:dyDescent="0.45">
      <c r="B558" s="45" t="s">
        <v>364</v>
      </c>
      <c r="C558" s="90"/>
      <c r="D558" s="56"/>
      <c r="E558" s="57"/>
      <c r="F558" s="58"/>
      <c r="G558" s="58"/>
      <c r="H558" s="58"/>
      <c r="I558" s="58"/>
      <c r="J558" s="58"/>
      <c r="K558" s="58"/>
      <c r="L558" s="59">
        <f t="shared" si="55"/>
        <v>0</v>
      </c>
      <c r="M558" s="68"/>
      <c r="N558" s="68"/>
      <c r="O558" s="68"/>
      <c r="P558" s="68"/>
      <c r="Q558" s="99" t="e">
        <f t="shared" si="56"/>
        <v>#DIV/0!</v>
      </c>
      <c r="R558" s="100">
        <f t="shared" si="57"/>
        <v>0.43387671059875982</v>
      </c>
      <c r="S558" s="83"/>
      <c r="T558" s="83"/>
      <c r="U558" s="101">
        <f t="shared" si="58"/>
        <v>2021.2824107652905</v>
      </c>
      <c r="V558" s="45"/>
      <c r="W558" s="45"/>
      <c r="X558" s="45"/>
      <c r="Y558" s="45"/>
      <c r="Z558" s="45"/>
      <c r="AA558" s="45"/>
    </row>
    <row r="559" spans="2:27" x14ac:dyDescent="0.45">
      <c r="B559" s="45" t="s">
        <v>365</v>
      </c>
      <c r="C559" s="90"/>
      <c r="D559" s="56"/>
      <c r="E559" s="80"/>
      <c r="F559" s="58"/>
      <c r="G559" s="58"/>
      <c r="H559" s="58"/>
      <c r="I559" s="58"/>
      <c r="J559" s="58"/>
      <c r="K559" s="58"/>
      <c r="L559" s="59">
        <f t="shared" si="55"/>
        <v>0</v>
      </c>
      <c r="M559" s="68"/>
      <c r="N559" s="68"/>
      <c r="O559" s="68"/>
      <c r="P559" s="68"/>
      <c r="Q559" s="99" t="e">
        <f t="shared" si="56"/>
        <v>#DIV/0!</v>
      </c>
      <c r="R559" s="100">
        <f t="shared" si="57"/>
        <v>0.43387671059875982</v>
      </c>
      <c r="S559" s="83"/>
      <c r="T559" s="83"/>
      <c r="U559" s="101">
        <f t="shared" si="58"/>
        <v>2021.2824107652905</v>
      </c>
      <c r="V559" s="45"/>
      <c r="W559" s="45"/>
      <c r="X559" s="45"/>
      <c r="Y559" s="45"/>
      <c r="Z559" s="45"/>
      <c r="AA559" s="45"/>
    </row>
    <row r="560" spans="2:27" x14ac:dyDescent="0.45">
      <c r="B560" s="45" t="s">
        <v>366</v>
      </c>
      <c r="C560" s="90"/>
      <c r="D560" s="56"/>
      <c r="E560" s="84"/>
      <c r="F560" s="58"/>
      <c r="G560" s="58"/>
      <c r="H560" s="58"/>
      <c r="I560" s="58"/>
      <c r="J560" s="58"/>
      <c r="K560" s="58"/>
      <c r="L560" s="59">
        <f t="shared" si="55"/>
        <v>0</v>
      </c>
      <c r="M560" s="68"/>
      <c r="N560" s="68"/>
      <c r="O560" s="68"/>
      <c r="P560" s="68"/>
      <c r="Q560" s="99" t="e">
        <f t="shared" si="56"/>
        <v>#DIV/0!</v>
      </c>
      <c r="R560" s="100">
        <f t="shared" si="57"/>
        <v>0.43387671059875982</v>
      </c>
      <c r="S560" s="83"/>
      <c r="T560" s="83"/>
      <c r="U560" s="101">
        <f t="shared" si="58"/>
        <v>2021.2824107652905</v>
      </c>
      <c r="V560" s="45"/>
      <c r="W560" s="45"/>
      <c r="X560" s="45"/>
      <c r="Y560" s="45"/>
      <c r="Z560" s="45"/>
      <c r="AA560" s="45"/>
    </row>
    <row r="561" spans="2:27" x14ac:dyDescent="0.45">
      <c r="B561" s="45" t="s">
        <v>367</v>
      </c>
      <c r="C561" s="90"/>
      <c r="D561" s="56"/>
      <c r="E561" s="57"/>
      <c r="F561" s="58"/>
      <c r="G561" s="58"/>
      <c r="H561" s="58"/>
      <c r="I561" s="58"/>
      <c r="J561" s="58"/>
      <c r="K561" s="58"/>
      <c r="L561" s="59">
        <f t="shared" si="55"/>
        <v>0</v>
      </c>
      <c r="M561" s="68"/>
      <c r="N561" s="68"/>
      <c r="O561" s="68"/>
      <c r="P561" s="68"/>
      <c r="Q561" s="99" t="e">
        <f t="shared" si="56"/>
        <v>#DIV/0!</v>
      </c>
      <c r="R561" s="100">
        <f t="shared" si="57"/>
        <v>0.43387671059875982</v>
      </c>
      <c r="S561" s="83"/>
      <c r="T561" s="83"/>
      <c r="U561" s="101">
        <f t="shared" si="58"/>
        <v>2021.2824107652905</v>
      </c>
      <c r="V561" s="45"/>
      <c r="W561" s="45"/>
      <c r="X561" s="45"/>
      <c r="Y561" s="45"/>
      <c r="Z561" s="45"/>
      <c r="AA561" s="45"/>
    </row>
    <row r="562" spans="2:27" x14ac:dyDescent="0.45">
      <c r="B562" s="45" t="s">
        <v>368</v>
      </c>
      <c r="C562" s="90"/>
      <c r="D562" s="56"/>
      <c r="E562" s="80"/>
      <c r="F562" s="58"/>
      <c r="G562" s="58"/>
      <c r="H562" s="58"/>
      <c r="I562" s="58"/>
      <c r="J562" s="58"/>
      <c r="K562" s="58"/>
      <c r="L562" s="59">
        <f t="shared" si="55"/>
        <v>0</v>
      </c>
      <c r="M562" s="68"/>
      <c r="N562" s="68"/>
      <c r="O562" s="68"/>
      <c r="P562" s="68"/>
      <c r="Q562" s="99" t="e">
        <f t="shared" si="56"/>
        <v>#DIV/0!</v>
      </c>
      <c r="R562" s="100">
        <f t="shared" si="57"/>
        <v>0.43387671059875982</v>
      </c>
      <c r="S562" s="83"/>
      <c r="T562" s="83"/>
      <c r="U562" s="101">
        <f t="shared" si="58"/>
        <v>2021.2824107652905</v>
      </c>
      <c r="V562" s="45"/>
      <c r="W562" s="45"/>
      <c r="X562" s="45"/>
      <c r="Y562" s="45"/>
      <c r="Z562" s="45"/>
      <c r="AA562" s="45"/>
    </row>
    <row r="563" spans="2:27" x14ac:dyDescent="0.45">
      <c r="B563" s="45" t="s">
        <v>369</v>
      </c>
      <c r="C563" s="90"/>
      <c r="D563" s="56"/>
      <c r="E563" s="84"/>
      <c r="F563" s="58"/>
      <c r="G563" s="58"/>
      <c r="H563" s="58"/>
      <c r="I563" s="58"/>
      <c r="J563" s="58"/>
      <c r="K563" s="58"/>
      <c r="L563" s="59">
        <f t="shared" si="55"/>
        <v>0</v>
      </c>
      <c r="M563" s="68"/>
      <c r="N563" s="68"/>
      <c r="O563" s="68"/>
      <c r="P563" s="68"/>
      <c r="Q563" s="99" t="e">
        <f t="shared" si="56"/>
        <v>#DIV/0!</v>
      </c>
      <c r="R563" s="100">
        <f t="shared" si="57"/>
        <v>0.43387671059875982</v>
      </c>
      <c r="S563" s="83"/>
      <c r="T563" s="83"/>
      <c r="U563" s="101">
        <f t="shared" si="58"/>
        <v>2021.2824107652905</v>
      </c>
      <c r="V563" s="45"/>
      <c r="W563" s="45"/>
      <c r="X563" s="45"/>
      <c r="Y563" s="45"/>
      <c r="Z563" s="45"/>
      <c r="AA563" s="45"/>
    </row>
    <row r="564" spans="2:27" x14ac:dyDescent="0.45">
      <c r="B564" s="45" t="s">
        <v>370</v>
      </c>
      <c r="C564" s="90"/>
      <c r="D564" s="56"/>
      <c r="E564" s="57"/>
      <c r="F564" s="58"/>
      <c r="G564" s="58"/>
      <c r="H564" s="58"/>
      <c r="I564" s="58"/>
      <c r="J564" s="58"/>
      <c r="K564" s="58"/>
      <c r="L564" s="59">
        <f t="shared" si="55"/>
        <v>0</v>
      </c>
      <c r="M564" s="68"/>
      <c r="N564" s="68"/>
      <c r="O564" s="68"/>
      <c r="P564" s="68"/>
      <c r="Q564" s="99" t="e">
        <f t="shared" si="56"/>
        <v>#DIV/0!</v>
      </c>
      <c r="R564" s="100">
        <f t="shared" si="57"/>
        <v>0.43387671059875982</v>
      </c>
      <c r="S564" s="83"/>
      <c r="T564" s="83"/>
      <c r="U564" s="101">
        <f t="shared" si="58"/>
        <v>2021.2824107652905</v>
      </c>
      <c r="V564" s="45"/>
      <c r="W564" s="45"/>
      <c r="X564" s="45"/>
      <c r="Y564" s="45"/>
      <c r="Z564" s="45"/>
      <c r="AA564" s="45"/>
    </row>
    <row r="565" spans="2:27" x14ac:dyDescent="0.45">
      <c r="B565" s="45" t="s">
        <v>371</v>
      </c>
      <c r="C565" s="90"/>
      <c r="D565" s="56"/>
      <c r="E565" s="80"/>
      <c r="F565" s="58"/>
      <c r="G565" s="58"/>
      <c r="H565" s="58"/>
      <c r="I565" s="58"/>
      <c r="J565" s="58"/>
      <c r="K565" s="58"/>
      <c r="L565" s="59">
        <f t="shared" si="55"/>
        <v>0</v>
      </c>
      <c r="M565" s="68"/>
      <c r="N565" s="68"/>
      <c r="O565" s="68"/>
      <c r="P565" s="68"/>
      <c r="Q565" s="99" t="e">
        <f t="shared" si="56"/>
        <v>#DIV/0!</v>
      </c>
      <c r="R565" s="100">
        <f t="shared" si="57"/>
        <v>0.43387671059875982</v>
      </c>
      <c r="S565" s="83"/>
      <c r="T565" s="83"/>
      <c r="U565" s="101">
        <f t="shared" si="58"/>
        <v>2021.2824107652905</v>
      </c>
      <c r="V565" s="45"/>
      <c r="W565" s="45"/>
      <c r="X565" s="45"/>
      <c r="Y565" s="45"/>
      <c r="Z565" s="45"/>
      <c r="AA565" s="45"/>
    </row>
    <row r="566" spans="2:27" x14ac:dyDescent="0.45">
      <c r="B566" s="45" t="s">
        <v>372</v>
      </c>
      <c r="C566" s="90"/>
      <c r="D566" s="56"/>
      <c r="E566" s="84"/>
      <c r="F566" s="58"/>
      <c r="G566" s="58"/>
      <c r="H566" s="58"/>
      <c r="I566" s="58"/>
      <c r="J566" s="58"/>
      <c r="K566" s="58"/>
      <c r="L566" s="59">
        <f t="shared" si="55"/>
        <v>0</v>
      </c>
      <c r="M566" s="68"/>
      <c r="N566" s="68"/>
      <c r="O566" s="68"/>
      <c r="P566" s="68"/>
      <c r="Q566" s="99" t="e">
        <f t="shared" si="56"/>
        <v>#DIV/0!</v>
      </c>
      <c r="R566" s="100">
        <f t="shared" si="57"/>
        <v>0.43387671059875982</v>
      </c>
      <c r="S566" s="83"/>
      <c r="T566" s="83"/>
      <c r="U566" s="101">
        <f t="shared" si="58"/>
        <v>2021.2824107652905</v>
      </c>
      <c r="V566" s="45"/>
      <c r="W566" s="45"/>
      <c r="X566" s="45"/>
      <c r="Y566" s="45"/>
      <c r="Z566" s="45"/>
      <c r="AA566" s="45"/>
    </row>
    <row r="567" spans="2:27" x14ac:dyDescent="0.45">
      <c r="B567" s="45" t="s">
        <v>373</v>
      </c>
      <c r="C567" s="90"/>
      <c r="D567" s="56"/>
      <c r="E567" s="57"/>
      <c r="F567" s="58"/>
      <c r="G567" s="58"/>
      <c r="H567" s="58"/>
      <c r="I567" s="58"/>
      <c r="J567" s="58"/>
      <c r="K567" s="58"/>
      <c r="L567" s="59">
        <f t="shared" si="55"/>
        <v>0</v>
      </c>
      <c r="M567" s="68"/>
      <c r="N567" s="68"/>
      <c r="O567" s="68"/>
      <c r="P567" s="68"/>
      <c r="Q567" s="99" t="e">
        <f t="shared" si="56"/>
        <v>#DIV/0!</v>
      </c>
      <c r="R567" s="100">
        <f t="shared" si="57"/>
        <v>0.43387671059875982</v>
      </c>
      <c r="S567" s="83"/>
      <c r="T567" s="83"/>
      <c r="U567" s="101">
        <f t="shared" si="58"/>
        <v>2021.2824107652905</v>
      </c>
      <c r="V567" s="45"/>
      <c r="W567" s="45"/>
      <c r="X567" s="45"/>
      <c r="Y567" s="45"/>
      <c r="Z567" s="45"/>
      <c r="AA567" s="45"/>
    </row>
    <row r="568" spans="2:27" x14ac:dyDescent="0.45">
      <c r="B568" s="45" t="s">
        <v>374</v>
      </c>
      <c r="C568" s="90"/>
      <c r="D568" s="56"/>
      <c r="E568" s="80"/>
      <c r="F568" s="58"/>
      <c r="G568" s="58"/>
      <c r="H568" s="58"/>
      <c r="I568" s="58"/>
      <c r="J568" s="58"/>
      <c r="K568" s="58"/>
      <c r="L568" s="59">
        <f t="shared" si="55"/>
        <v>0</v>
      </c>
      <c r="M568" s="68"/>
      <c r="N568" s="68"/>
      <c r="O568" s="68"/>
      <c r="P568" s="68"/>
      <c r="Q568" s="99" t="e">
        <f t="shared" si="56"/>
        <v>#DIV/0!</v>
      </c>
      <c r="R568" s="100">
        <f t="shared" si="57"/>
        <v>0.43387671059875982</v>
      </c>
      <c r="S568" s="83"/>
      <c r="T568" s="83"/>
      <c r="U568" s="101">
        <f t="shared" si="58"/>
        <v>2021.2824107652905</v>
      </c>
      <c r="V568" s="45"/>
      <c r="W568" s="45"/>
      <c r="X568" s="45"/>
      <c r="Y568" s="45"/>
      <c r="Z568" s="45"/>
      <c r="AA568" s="45"/>
    </row>
    <row r="569" spans="2:27" x14ac:dyDescent="0.45">
      <c r="B569" s="45" t="s">
        <v>375</v>
      </c>
      <c r="C569" s="90"/>
      <c r="D569" s="56"/>
      <c r="E569" s="84"/>
      <c r="F569" s="58"/>
      <c r="G569" s="58"/>
      <c r="H569" s="58"/>
      <c r="I569" s="58"/>
      <c r="J569" s="58"/>
      <c r="K569" s="58"/>
      <c r="L569" s="59">
        <f t="shared" si="55"/>
        <v>0</v>
      </c>
      <c r="M569" s="68"/>
      <c r="N569" s="68"/>
      <c r="O569" s="68"/>
      <c r="P569" s="68"/>
      <c r="Q569" s="99" t="e">
        <f t="shared" si="56"/>
        <v>#DIV/0!</v>
      </c>
      <c r="R569" s="100">
        <f t="shared" si="57"/>
        <v>0.43387671059875982</v>
      </c>
      <c r="S569" s="83"/>
      <c r="T569" s="83"/>
      <c r="U569" s="101">
        <f t="shared" si="58"/>
        <v>2021.2824107652905</v>
      </c>
      <c r="V569" s="45"/>
      <c r="W569" s="45"/>
      <c r="X569" s="45"/>
      <c r="Y569" s="45"/>
      <c r="Z569" s="45"/>
      <c r="AA569" s="45"/>
    </row>
    <row r="570" spans="2:27" x14ac:dyDescent="0.45">
      <c r="B570" s="45" t="s">
        <v>376</v>
      </c>
      <c r="C570" s="90"/>
      <c r="D570" s="56"/>
      <c r="E570" s="57"/>
      <c r="F570" s="58"/>
      <c r="G570" s="58"/>
      <c r="H570" s="58"/>
      <c r="I570" s="58"/>
      <c r="J570" s="58"/>
      <c r="K570" s="58"/>
      <c r="L570" s="59">
        <f t="shared" si="55"/>
        <v>0</v>
      </c>
      <c r="M570" s="68"/>
      <c r="N570" s="68"/>
      <c r="O570" s="68"/>
      <c r="P570" s="68"/>
      <c r="Q570" s="99" t="e">
        <f t="shared" si="56"/>
        <v>#DIV/0!</v>
      </c>
      <c r="R570" s="100">
        <f t="shared" si="57"/>
        <v>0.43387671059875982</v>
      </c>
      <c r="S570" s="83"/>
      <c r="T570" s="83"/>
      <c r="U570" s="101">
        <f t="shared" si="58"/>
        <v>2021.2824107652905</v>
      </c>
      <c r="V570" s="45"/>
      <c r="W570" s="45"/>
      <c r="X570" s="45"/>
      <c r="Y570" s="45"/>
      <c r="Z570" s="45"/>
      <c r="AA570" s="45"/>
    </row>
    <row r="571" spans="2:27" x14ac:dyDescent="0.45">
      <c r="B571" s="45" t="s">
        <v>377</v>
      </c>
      <c r="C571" s="90"/>
      <c r="D571" s="56"/>
      <c r="E571" s="80"/>
      <c r="F571" s="58"/>
      <c r="G571" s="58"/>
      <c r="H571" s="58"/>
      <c r="I571" s="58"/>
      <c r="J571" s="58"/>
      <c r="K571" s="58"/>
      <c r="L571" s="59">
        <f t="shared" si="55"/>
        <v>0</v>
      </c>
      <c r="M571" s="68"/>
      <c r="N571" s="68"/>
      <c r="O571" s="68"/>
      <c r="P571" s="68"/>
      <c r="Q571" s="99" t="e">
        <f t="shared" si="56"/>
        <v>#DIV/0!</v>
      </c>
      <c r="R571" s="100">
        <f t="shared" si="57"/>
        <v>0.43387671059875982</v>
      </c>
      <c r="S571" s="83"/>
      <c r="T571" s="83"/>
      <c r="U571" s="101">
        <f t="shared" si="58"/>
        <v>2021.2824107652905</v>
      </c>
      <c r="V571" s="45"/>
      <c r="W571" s="45"/>
      <c r="X571" s="45"/>
      <c r="Y571" s="45"/>
      <c r="Z571" s="45"/>
      <c r="AA571" s="45"/>
    </row>
    <row r="572" spans="2:27" x14ac:dyDescent="0.45">
      <c r="B572" s="45" t="s">
        <v>378</v>
      </c>
      <c r="C572" s="90"/>
      <c r="D572" s="56"/>
      <c r="E572" s="84"/>
      <c r="F572" s="58"/>
      <c r="G572" s="58"/>
      <c r="H572" s="58"/>
      <c r="I572" s="58"/>
      <c r="J572" s="58"/>
      <c r="K572" s="58"/>
      <c r="L572" s="59">
        <f t="shared" si="55"/>
        <v>0</v>
      </c>
      <c r="M572" s="68"/>
      <c r="N572" s="68"/>
      <c r="O572" s="68"/>
      <c r="P572" s="68"/>
      <c r="Q572" s="99" t="e">
        <f t="shared" si="56"/>
        <v>#DIV/0!</v>
      </c>
      <c r="R572" s="100">
        <f t="shared" si="57"/>
        <v>0.43387671059875982</v>
      </c>
      <c r="S572" s="83"/>
      <c r="T572" s="83"/>
      <c r="U572" s="101">
        <f t="shared" si="58"/>
        <v>2021.2824107652905</v>
      </c>
      <c r="V572" s="45"/>
      <c r="W572" s="45"/>
      <c r="X572" s="45"/>
      <c r="Y572" s="45"/>
      <c r="Z572" s="45"/>
      <c r="AA572" s="45"/>
    </row>
    <row r="573" spans="2:27" x14ac:dyDescent="0.45">
      <c r="B573" s="45" t="s">
        <v>379</v>
      </c>
      <c r="C573" s="90"/>
      <c r="D573" s="56"/>
      <c r="E573" s="57"/>
      <c r="F573" s="58"/>
      <c r="G573" s="58"/>
      <c r="H573" s="58"/>
      <c r="I573" s="58"/>
      <c r="J573" s="58"/>
      <c r="K573" s="58"/>
      <c r="L573" s="59">
        <f t="shared" si="55"/>
        <v>0</v>
      </c>
      <c r="M573" s="68"/>
      <c r="N573" s="68"/>
      <c r="O573" s="68"/>
      <c r="P573" s="68"/>
      <c r="Q573" s="99" t="e">
        <f t="shared" si="56"/>
        <v>#DIV/0!</v>
      </c>
      <c r="R573" s="100">
        <f t="shared" si="57"/>
        <v>0.43387671059875982</v>
      </c>
      <c r="S573" s="83"/>
      <c r="T573" s="83"/>
      <c r="U573" s="101">
        <f t="shared" si="58"/>
        <v>2021.2824107652905</v>
      </c>
      <c r="V573" s="45"/>
      <c r="W573" s="45"/>
      <c r="X573" s="45"/>
      <c r="Y573" s="45"/>
      <c r="Z573" s="45"/>
      <c r="AA573" s="45"/>
    </row>
    <row r="574" spans="2:27" x14ac:dyDescent="0.45">
      <c r="B574" s="45" t="s">
        <v>380</v>
      </c>
      <c r="C574" s="90"/>
      <c r="D574" s="56"/>
      <c r="E574" s="80"/>
      <c r="F574" s="58"/>
      <c r="G574" s="58"/>
      <c r="H574" s="58"/>
      <c r="I574" s="58"/>
      <c r="J574" s="58"/>
      <c r="K574" s="58"/>
      <c r="L574" s="59">
        <f t="shared" si="55"/>
        <v>0</v>
      </c>
      <c r="M574" s="68"/>
      <c r="N574" s="68"/>
      <c r="O574" s="68"/>
      <c r="P574" s="68"/>
      <c r="Q574" s="99" t="e">
        <f t="shared" si="56"/>
        <v>#DIV/0!</v>
      </c>
      <c r="R574" s="100">
        <f t="shared" si="57"/>
        <v>0.43387671059875982</v>
      </c>
      <c r="S574" s="83"/>
      <c r="T574" s="83"/>
      <c r="U574" s="101">
        <f t="shared" si="58"/>
        <v>2021.2824107652905</v>
      </c>
      <c r="V574" s="45"/>
      <c r="W574" s="45"/>
      <c r="X574" s="45"/>
      <c r="Y574" s="45"/>
      <c r="Z574" s="45"/>
      <c r="AA574" s="45"/>
    </row>
    <row r="575" spans="2:27" x14ac:dyDescent="0.45">
      <c r="B575" s="45" t="s">
        <v>381</v>
      </c>
      <c r="C575" s="90"/>
      <c r="D575" s="56"/>
      <c r="E575" s="84"/>
      <c r="F575" s="58"/>
      <c r="G575" s="58"/>
      <c r="H575" s="58"/>
      <c r="I575" s="58"/>
      <c r="J575" s="58"/>
      <c r="K575" s="58"/>
      <c r="L575" s="59">
        <f t="shared" si="55"/>
        <v>0</v>
      </c>
      <c r="M575" s="68"/>
      <c r="N575" s="68"/>
      <c r="O575" s="68"/>
      <c r="P575" s="68"/>
      <c r="Q575" s="99" t="e">
        <f t="shared" si="56"/>
        <v>#DIV/0!</v>
      </c>
      <c r="R575" s="100">
        <f t="shared" si="57"/>
        <v>0.43387671059875982</v>
      </c>
      <c r="S575" s="83"/>
      <c r="T575" s="83"/>
      <c r="U575" s="101">
        <f t="shared" si="58"/>
        <v>2021.2824107652905</v>
      </c>
      <c r="V575" s="45"/>
      <c r="W575" s="45"/>
      <c r="X575" s="45"/>
      <c r="Y575" s="45"/>
      <c r="Z575" s="45"/>
      <c r="AA575" s="45"/>
    </row>
    <row r="576" spans="2:27" x14ac:dyDescent="0.45">
      <c r="B576" s="45" t="s">
        <v>382</v>
      </c>
      <c r="C576" s="90"/>
      <c r="D576" s="56"/>
      <c r="E576" s="57"/>
      <c r="F576" s="58"/>
      <c r="G576" s="58"/>
      <c r="H576" s="58"/>
      <c r="I576" s="58"/>
      <c r="J576" s="58"/>
      <c r="K576" s="58"/>
      <c r="L576" s="59">
        <f t="shared" si="55"/>
        <v>0</v>
      </c>
      <c r="M576" s="68"/>
      <c r="N576" s="68"/>
      <c r="O576" s="68"/>
      <c r="P576" s="68"/>
      <c r="Q576" s="99" t="e">
        <f t="shared" si="56"/>
        <v>#DIV/0!</v>
      </c>
      <c r="R576" s="100">
        <f t="shared" si="57"/>
        <v>0.43387671059875982</v>
      </c>
      <c r="S576" s="83"/>
      <c r="T576" s="83"/>
      <c r="U576" s="101">
        <f t="shared" si="58"/>
        <v>2021.2824107652905</v>
      </c>
      <c r="V576" s="45"/>
      <c r="W576" s="45"/>
      <c r="X576" s="45"/>
      <c r="Y576" s="45"/>
      <c r="Z576" s="45"/>
      <c r="AA576" s="45"/>
    </row>
    <row r="577" spans="2:27" x14ac:dyDescent="0.45">
      <c r="B577" s="45" t="s">
        <v>383</v>
      </c>
      <c r="C577" s="90"/>
      <c r="D577" s="56"/>
      <c r="E577" s="80"/>
      <c r="F577" s="58"/>
      <c r="G577" s="58"/>
      <c r="H577" s="58"/>
      <c r="I577" s="58"/>
      <c r="J577" s="58"/>
      <c r="K577" s="58"/>
      <c r="L577" s="59">
        <f t="shared" si="55"/>
        <v>0</v>
      </c>
      <c r="M577" s="68"/>
      <c r="N577" s="68"/>
      <c r="O577" s="68"/>
      <c r="P577" s="68"/>
      <c r="Q577" s="99" t="e">
        <f t="shared" si="56"/>
        <v>#DIV/0!</v>
      </c>
      <c r="R577" s="100">
        <f t="shared" si="57"/>
        <v>0.43387671059875982</v>
      </c>
      <c r="S577" s="83"/>
      <c r="T577" s="83"/>
      <c r="U577" s="101">
        <f t="shared" si="58"/>
        <v>2021.2824107652905</v>
      </c>
      <c r="V577" s="45"/>
      <c r="W577" s="45"/>
      <c r="X577" s="45"/>
      <c r="Y577" s="45"/>
      <c r="Z577" s="45"/>
      <c r="AA577" s="45"/>
    </row>
    <row r="578" spans="2:27" x14ac:dyDescent="0.45">
      <c r="B578" s="45" t="s">
        <v>384</v>
      </c>
      <c r="C578" s="90"/>
      <c r="D578" s="56"/>
      <c r="E578" s="84"/>
      <c r="F578" s="58"/>
      <c r="G578" s="58"/>
      <c r="H578" s="58"/>
      <c r="I578" s="58"/>
      <c r="J578" s="58"/>
      <c r="K578" s="58"/>
      <c r="L578" s="59">
        <f t="shared" si="55"/>
        <v>0</v>
      </c>
      <c r="M578" s="68"/>
      <c r="N578" s="68"/>
      <c r="O578" s="68"/>
      <c r="P578" s="68"/>
      <c r="Q578" s="99" t="e">
        <f t="shared" si="56"/>
        <v>#DIV/0!</v>
      </c>
      <c r="R578" s="100">
        <f t="shared" si="57"/>
        <v>0.43387671059875982</v>
      </c>
      <c r="S578" s="83"/>
      <c r="T578" s="83"/>
      <c r="U578" s="101">
        <f t="shared" si="58"/>
        <v>2021.2824107652905</v>
      </c>
      <c r="V578" s="45"/>
      <c r="W578" s="45"/>
      <c r="X578" s="45"/>
      <c r="Y578" s="45"/>
      <c r="Z578" s="45"/>
      <c r="AA578" s="45"/>
    </row>
    <row r="579" spans="2:27" x14ac:dyDescent="0.45">
      <c r="B579" s="45" t="s">
        <v>385</v>
      </c>
      <c r="C579" s="90"/>
      <c r="D579" s="56"/>
      <c r="E579" s="57"/>
      <c r="F579" s="58"/>
      <c r="G579" s="58"/>
      <c r="H579" s="58"/>
      <c r="I579" s="58"/>
      <c r="J579" s="58"/>
      <c r="K579" s="58"/>
      <c r="L579" s="59">
        <f t="shared" si="55"/>
        <v>0</v>
      </c>
      <c r="M579" s="68"/>
      <c r="N579" s="68"/>
      <c r="O579" s="68"/>
      <c r="P579" s="68"/>
      <c r="Q579" s="99" t="e">
        <f t="shared" si="56"/>
        <v>#DIV/0!</v>
      </c>
      <c r="R579" s="100">
        <f t="shared" si="57"/>
        <v>0.43387671059875982</v>
      </c>
      <c r="S579" s="83"/>
      <c r="T579" s="83"/>
      <c r="U579" s="101">
        <f t="shared" si="58"/>
        <v>2021.2824107652905</v>
      </c>
      <c r="V579" s="45"/>
      <c r="W579" s="45"/>
      <c r="X579" s="45"/>
      <c r="Y579" s="45"/>
      <c r="Z579" s="45"/>
      <c r="AA579" s="45"/>
    </row>
    <row r="580" spans="2:27" x14ac:dyDescent="0.45">
      <c r="B580" s="45" t="s">
        <v>386</v>
      </c>
      <c r="C580" s="90"/>
      <c r="D580" s="56"/>
      <c r="E580" s="80"/>
      <c r="F580" s="58"/>
      <c r="G580" s="58"/>
      <c r="H580" s="58"/>
      <c r="I580" s="58"/>
      <c r="J580" s="58"/>
      <c r="K580" s="58"/>
      <c r="L580" s="59">
        <f t="shared" si="55"/>
        <v>0</v>
      </c>
      <c r="M580" s="68"/>
      <c r="N580" s="68"/>
      <c r="O580" s="68"/>
      <c r="P580" s="68"/>
      <c r="Q580" s="99" t="e">
        <f t="shared" si="56"/>
        <v>#DIV/0!</v>
      </c>
      <c r="R580" s="100">
        <f t="shared" si="57"/>
        <v>0.43387671059875982</v>
      </c>
      <c r="S580" s="83"/>
      <c r="T580" s="83"/>
      <c r="U580" s="101">
        <f t="shared" si="58"/>
        <v>2021.2824107652905</v>
      </c>
      <c r="V580" s="45"/>
      <c r="W580" s="45"/>
      <c r="X580" s="45"/>
      <c r="Y580" s="45"/>
      <c r="Z580" s="45"/>
      <c r="AA580" s="45"/>
    </row>
    <row r="581" spans="2:27" x14ac:dyDescent="0.45">
      <c r="B581" s="45" t="s">
        <v>387</v>
      </c>
      <c r="C581" s="90"/>
      <c r="D581" s="56"/>
      <c r="E581" s="84"/>
      <c r="F581" s="58"/>
      <c r="G581" s="58"/>
      <c r="H581" s="58"/>
      <c r="I581" s="58"/>
      <c r="J581" s="58"/>
      <c r="K581" s="58"/>
      <c r="L581" s="59">
        <f t="shared" si="55"/>
        <v>0</v>
      </c>
      <c r="M581" s="68"/>
      <c r="N581" s="68"/>
      <c r="O581" s="68"/>
      <c r="P581" s="68"/>
      <c r="Q581" s="99" t="e">
        <f t="shared" si="56"/>
        <v>#DIV/0!</v>
      </c>
      <c r="R581" s="100">
        <f t="shared" si="57"/>
        <v>0.43387671059875982</v>
      </c>
      <c r="S581" s="83"/>
      <c r="T581" s="83"/>
      <c r="U581" s="101">
        <f t="shared" si="58"/>
        <v>2021.2824107652905</v>
      </c>
      <c r="V581" s="45"/>
      <c r="W581" s="45"/>
      <c r="X581" s="45"/>
      <c r="Y581" s="45"/>
      <c r="Z581" s="45"/>
      <c r="AA581" s="45"/>
    </row>
    <row r="582" spans="2:27" x14ac:dyDescent="0.45">
      <c r="B582" s="45" t="s">
        <v>388</v>
      </c>
      <c r="C582" s="90"/>
      <c r="D582" s="56"/>
      <c r="E582" s="57"/>
      <c r="F582" s="58"/>
      <c r="G582" s="58"/>
      <c r="H582" s="58"/>
      <c r="I582" s="58"/>
      <c r="J582" s="58"/>
      <c r="K582" s="58"/>
      <c r="L582" s="59">
        <f t="shared" si="55"/>
        <v>0</v>
      </c>
      <c r="M582" s="68"/>
      <c r="N582" s="68"/>
      <c r="O582" s="68"/>
      <c r="P582" s="68"/>
      <c r="Q582" s="99" t="e">
        <f t="shared" si="56"/>
        <v>#DIV/0!</v>
      </c>
      <c r="R582" s="100">
        <f t="shared" si="57"/>
        <v>0.43387671059875982</v>
      </c>
      <c r="S582" s="83"/>
      <c r="T582" s="83"/>
      <c r="U582" s="101">
        <f t="shared" si="58"/>
        <v>2021.2824107652905</v>
      </c>
      <c r="V582" s="45"/>
      <c r="W582" s="45"/>
      <c r="X582" s="45"/>
      <c r="Y582" s="45"/>
      <c r="Z582" s="45"/>
      <c r="AA582" s="45"/>
    </row>
    <row r="583" spans="2:27" x14ac:dyDescent="0.45">
      <c r="B583" s="45" t="s">
        <v>389</v>
      </c>
      <c r="C583" s="90"/>
      <c r="D583" s="56"/>
      <c r="E583" s="80"/>
      <c r="F583" s="58"/>
      <c r="G583" s="58"/>
      <c r="H583" s="58"/>
      <c r="I583" s="58"/>
      <c r="J583" s="58"/>
      <c r="K583" s="58"/>
      <c r="L583" s="59">
        <f t="shared" si="55"/>
        <v>0</v>
      </c>
      <c r="M583" s="68"/>
      <c r="N583" s="68"/>
      <c r="O583" s="68"/>
      <c r="P583" s="68"/>
      <c r="Q583" s="99" t="e">
        <f t="shared" si="56"/>
        <v>#DIV/0!</v>
      </c>
      <c r="R583" s="100">
        <f t="shared" si="57"/>
        <v>0.43387671059875982</v>
      </c>
      <c r="S583" s="83"/>
      <c r="T583" s="83"/>
      <c r="U583" s="101">
        <f t="shared" si="58"/>
        <v>2021.2824107652905</v>
      </c>
      <c r="V583" s="45"/>
      <c r="W583" s="45"/>
      <c r="X583" s="45"/>
      <c r="Y583" s="45"/>
      <c r="Z583" s="45"/>
      <c r="AA583" s="45"/>
    </row>
    <row r="584" spans="2:27" x14ac:dyDescent="0.45">
      <c r="B584" s="45" t="s">
        <v>390</v>
      </c>
      <c r="C584" s="90"/>
      <c r="D584" s="56"/>
      <c r="E584" s="84"/>
      <c r="F584" s="58"/>
      <c r="G584" s="58"/>
      <c r="H584" s="58"/>
      <c r="I584" s="58"/>
      <c r="J584" s="58"/>
      <c r="K584" s="58"/>
      <c r="L584" s="59">
        <f t="shared" si="55"/>
        <v>0</v>
      </c>
      <c r="M584" s="68"/>
      <c r="N584" s="68"/>
      <c r="O584" s="68"/>
      <c r="P584" s="68"/>
      <c r="Q584" s="99" t="e">
        <f t="shared" si="56"/>
        <v>#DIV/0!</v>
      </c>
      <c r="R584" s="100">
        <f t="shared" si="57"/>
        <v>0.43387671059875982</v>
      </c>
      <c r="S584" s="83"/>
      <c r="T584" s="83"/>
      <c r="U584" s="101">
        <f t="shared" si="58"/>
        <v>2021.2824107652905</v>
      </c>
      <c r="V584" s="45"/>
      <c r="W584" s="45"/>
      <c r="X584" s="45"/>
      <c r="Y584" s="45"/>
      <c r="Z584" s="45"/>
      <c r="AA584" s="45"/>
    </row>
    <row r="585" spans="2:27" x14ac:dyDescent="0.45">
      <c r="B585" s="45" t="s">
        <v>391</v>
      </c>
      <c r="C585" s="90"/>
      <c r="D585" s="56"/>
      <c r="E585" s="57"/>
      <c r="F585" s="58"/>
      <c r="G585" s="58"/>
      <c r="H585" s="58"/>
      <c r="I585" s="58"/>
      <c r="J585" s="58"/>
      <c r="K585" s="58"/>
      <c r="L585" s="59">
        <f t="shared" si="55"/>
        <v>0</v>
      </c>
      <c r="M585" s="68"/>
      <c r="N585" s="68"/>
      <c r="O585" s="68"/>
      <c r="P585" s="68"/>
      <c r="Q585" s="99" t="e">
        <f t="shared" si="56"/>
        <v>#DIV/0!</v>
      </c>
      <c r="R585" s="100">
        <f t="shared" si="57"/>
        <v>0.43387671059875982</v>
      </c>
      <c r="S585" s="83"/>
      <c r="T585" s="83"/>
      <c r="U585" s="101">
        <f t="shared" si="58"/>
        <v>2021.2824107652905</v>
      </c>
      <c r="V585" s="45"/>
      <c r="W585" s="45"/>
      <c r="X585" s="45"/>
      <c r="Y585" s="45"/>
      <c r="Z585" s="45"/>
      <c r="AA585" s="45"/>
    </row>
    <row r="586" spans="2:27" x14ac:dyDescent="0.45">
      <c r="B586" s="45" t="s">
        <v>392</v>
      </c>
      <c r="C586" s="90"/>
      <c r="D586" s="56"/>
      <c r="E586" s="80"/>
      <c r="F586" s="58"/>
      <c r="G586" s="58"/>
      <c r="H586" s="58"/>
      <c r="I586" s="58"/>
      <c r="J586" s="58"/>
      <c r="K586" s="58"/>
      <c r="L586" s="59">
        <f t="shared" si="55"/>
        <v>0</v>
      </c>
      <c r="M586" s="68"/>
      <c r="N586" s="68"/>
      <c r="O586" s="68"/>
      <c r="P586" s="68"/>
      <c r="Q586" s="99" t="e">
        <f t="shared" si="56"/>
        <v>#DIV/0!</v>
      </c>
      <c r="R586" s="100">
        <f t="shared" si="57"/>
        <v>0.43387671059875982</v>
      </c>
      <c r="S586" s="83"/>
      <c r="T586" s="83"/>
      <c r="U586" s="101">
        <f t="shared" si="58"/>
        <v>2021.2824107652905</v>
      </c>
      <c r="V586" s="45"/>
      <c r="W586" s="45"/>
      <c r="X586" s="45"/>
      <c r="Y586" s="45"/>
      <c r="Z586" s="45"/>
      <c r="AA586" s="45"/>
    </row>
    <row r="587" spans="2:27" x14ac:dyDescent="0.45">
      <c r="B587" s="45" t="s">
        <v>393</v>
      </c>
      <c r="C587" s="90"/>
      <c r="D587" s="56"/>
      <c r="E587" s="84"/>
      <c r="F587" s="58"/>
      <c r="G587" s="58"/>
      <c r="H587" s="58"/>
      <c r="I587" s="58"/>
      <c r="J587" s="58"/>
      <c r="K587" s="58"/>
      <c r="L587" s="59">
        <f t="shared" si="55"/>
        <v>0</v>
      </c>
      <c r="M587" s="68"/>
      <c r="N587" s="68"/>
      <c r="O587" s="68"/>
      <c r="P587" s="68"/>
      <c r="Q587" s="99" t="e">
        <f t="shared" si="56"/>
        <v>#DIV/0!</v>
      </c>
      <c r="R587" s="100">
        <f t="shared" si="57"/>
        <v>0.43387671059875982</v>
      </c>
      <c r="S587" s="83"/>
      <c r="T587" s="83"/>
      <c r="U587" s="101">
        <f t="shared" si="58"/>
        <v>2021.2824107652905</v>
      </c>
      <c r="V587" s="45"/>
      <c r="W587" s="45"/>
      <c r="X587" s="45"/>
      <c r="Y587" s="45"/>
      <c r="Z587" s="45"/>
      <c r="AA587" s="45"/>
    </row>
    <row r="588" spans="2:27" x14ac:dyDescent="0.45">
      <c r="B588" s="45" t="s">
        <v>394</v>
      </c>
      <c r="C588" s="90"/>
      <c r="D588" s="56"/>
      <c r="E588" s="57"/>
      <c r="F588" s="58"/>
      <c r="G588" s="58"/>
      <c r="H588" s="58"/>
      <c r="I588" s="58"/>
      <c r="J588" s="58"/>
      <c r="K588" s="58"/>
      <c r="L588" s="59">
        <f t="shared" si="55"/>
        <v>0</v>
      </c>
      <c r="M588" s="68"/>
      <c r="N588" s="68"/>
      <c r="O588" s="68"/>
      <c r="P588" s="68"/>
      <c r="Q588" s="99" t="e">
        <f t="shared" si="56"/>
        <v>#DIV/0!</v>
      </c>
      <c r="R588" s="100">
        <f t="shared" si="57"/>
        <v>0.43387671059875982</v>
      </c>
      <c r="S588" s="83"/>
      <c r="T588" s="83"/>
      <c r="U588" s="101">
        <f t="shared" si="58"/>
        <v>2021.2824107652905</v>
      </c>
      <c r="V588" s="45"/>
      <c r="W588" s="45"/>
      <c r="X588" s="45"/>
      <c r="Y588" s="45"/>
      <c r="Z588" s="45"/>
      <c r="AA588" s="45"/>
    </row>
    <row r="589" spans="2:27" x14ac:dyDescent="0.45">
      <c r="B589" s="45" t="s">
        <v>395</v>
      </c>
      <c r="C589" s="90"/>
      <c r="D589" s="56"/>
      <c r="E589" s="80"/>
      <c r="F589" s="58"/>
      <c r="G589" s="58"/>
      <c r="H589" s="58"/>
      <c r="I589" s="58"/>
      <c r="J589" s="58"/>
      <c r="K589" s="58"/>
      <c r="L589" s="59">
        <f t="shared" si="55"/>
        <v>0</v>
      </c>
      <c r="M589" s="68"/>
      <c r="N589" s="68"/>
      <c r="O589" s="68"/>
      <c r="P589" s="68"/>
      <c r="Q589" s="99" t="e">
        <f t="shared" si="56"/>
        <v>#DIV/0!</v>
      </c>
      <c r="R589" s="100">
        <f t="shared" si="57"/>
        <v>0.43387671059875982</v>
      </c>
      <c r="S589" s="83"/>
      <c r="T589" s="83"/>
      <c r="U589" s="101">
        <f t="shared" si="58"/>
        <v>2021.2824107652905</v>
      </c>
      <c r="V589" s="45"/>
      <c r="W589" s="45"/>
      <c r="X589" s="45"/>
      <c r="Y589" s="45"/>
      <c r="Z589" s="45"/>
      <c r="AA589" s="45"/>
    </row>
    <row r="590" spans="2:27" x14ac:dyDescent="0.45">
      <c r="B590" s="45" t="s">
        <v>396</v>
      </c>
      <c r="C590" s="90"/>
      <c r="D590" s="56"/>
      <c r="E590" s="84"/>
      <c r="F590" s="58"/>
      <c r="G590" s="58"/>
      <c r="H590" s="58"/>
      <c r="I590" s="58"/>
      <c r="J590" s="58"/>
      <c r="K590" s="58"/>
      <c r="L590" s="59">
        <f t="shared" si="55"/>
        <v>0</v>
      </c>
      <c r="M590" s="68"/>
      <c r="N590" s="68"/>
      <c r="O590" s="68"/>
      <c r="P590" s="68"/>
      <c r="Q590" s="99" t="e">
        <f t="shared" si="56"/>
        <v>#DIV/0!</v>
      </c>
      <c r="R590" s="100">
        <f t="shared" si="57"/>
        <v>0.43387671059875982</v>
      </c>
      <c r="S590" s="83"/>
      <c r="T590" s="83"/>
      <c r="U590" s="101">
        <f t="shared" si="58"/>
        <v>2021.2824107652905</v>
      </c>
      <c r="V590" s="45"/>
      <c r="W590" s="45"/>
      <c r="X590" s="45"/>
      <c r="Y590" s="45"/>
      <c r="Z590" s="45"/>
      <c r="AA590" s="45"/>
    </row>
    <row r="591" spans="2:27" x14ac:dyDescent="0.45">
      <c r="B591" s="45" t="s">
        <v>397</v>
      </c>
      <c r="C591" s="90"/>
      <c r="D591" s="56"/>
      <c r="E591" s="57"/>
      <c r="F591" s="58"/>
      <c r="G591" s="58"/>
      <c r="H591" s="58"/>
      <c r="I591" s="58"/>
      <c r="J591" s="58"/>
      <c r="K591" s="58"/>
      <c r="L591" s="59">
        <f t="shared" si="55"/>
        <v>0</v>
      </c>
      <c r="M591" s="68"/>
      <c r="N591" s="68"/>
      <c r="O591" s="68"/>
      <c r="P591" s="68"/>
      <c r="Q591" s="99" t="e">
        <f t="shared" si="56"/>
        <v>#DIV/0!</v>
      </c>
      <c r="R591" s="100">
        <f t="shared" si="57"/>
        <v>0.43387671059875982</v>
      </c>
      <c r="S591" s="83"/>
      <c r="T591" s="83"/>
      <c r="U591" s="101">
        <f t="shared" si="58"/>
        <v>2021.2824107652905</v>
      </c>
      <c r="V591" s="45"/>
      <c r="W591" s="45"/>
      <c r="X591" s="45"/>
      <c r="Y591" s="45"/>
      <c r="Z591" s="45"/>
      <c r="AA591" s="45"/>
    </row>
    <row r="592" spans="2:27" x14ac:dyDescent="0.45">
      <c r="B592" s="45" t="s">
        <v>398</v>
      </c>
      <c r="C592" s="90"/>
      <c r="D592" s="56"/>
      <c r="E592" s="80"/>
      <c r="F592" s="58"/>
      <c r="G592" s="58"/>
      <c r="H592" s="58"/>
      <c r="I592" s="58"/>
      <c r="J592" s="58"/>
      <c r="K592" s="58"/>
      <c r="L592" s="59">
        <f t="shared" si="55"/>
        <v>0</v>
      </c>
      <c r="M592" s="68"/>
      <c r="N592" s="68"/>
      <c r="O592" s="68"/>
      <c r="P592" s="68"/>
      <c r="Q592" s="99" t="e">
        <f t="shared" si="56"/>
        <v>#DIV/0!</v>
      </c>
      <c r="R592" s="100">
        <f t="shared" si="57"/>
        <v>0.43387671059875982</v>
      </c>
      <c r="S592" s="83"/>
      <c r="T592" s="83"/>
      <c r="U592" s="101">
        <f t="shared" si="58"/>
        <v>2021.2824107652905</v>
      </c>
      <c r="V592" s="45"/>
      <c r="W592" s="45"/>
      <c r="X592" s="45"/>
      <c r="Y592" s="45"/>
      <c r="Z592" s="45"/>
      <c r="AA592" s="45"/>
    </row>
    <row r="593" spans="2:27" x14ac:dyDescent="0.45">
      <c r="B593" s="45" t="s">
        <v>399</v>
      </c>
      <c r="C593" s="90"/>
      <c r="D593" s="56"/>
      <c r="E593" s="84"/>
      <c r="F593" s="58"/>
      <c r="G593" s="58"/>
      <c r="H593" s="58"/>
      <c r="I593" s="58"/>
      <c r="J593" s="58"/>
      <c r="K593" s="58"/>
      <c r="L593" s="59">
        <f t="shared" si="55"/>
        <v>0</v>
      </c>
      <c r="M593" s="68"/>
      <c r="N593" s="68"/>
      <c r="O593" s="68"/>
      <c r="P593" s="68"/>
      <c r="Q593" s="99" t="e">
        <f t="shared" si="56"/>
        <v>#DIV/0!</v>
      </c>
      <c r="R593" s="100">
        <f t="shared" si="57"/>
        <v>0.43387671059875982</v>
      </c>
      <c r="S593" s="83"/>
      <c r="T593" s="83"/>
      <c r="U593" s="101">
        <f t="shared" si="58"/>
        <v>2021.2824107652905</v>
      </c>
      <c r="V593" s="45"/>
      <c r="W593" s="45"/>
      <c r="X593" s="45"/>
      <c r="Y593" s="45"/>
      <c r="Z593" s="45"/>
      <c r="AA593" s="45"/>
    </row>
    <row r="594" spans="2:27" x14ac:dyDescent="0.45">
      <c r="B594" s="45" t="s">
        <v>400</v>
      </c>
      <c r="C594" s="90"/>
      <c r="D594" s="56"/>
      <c r="E594" s="57"/>
      <c r="F594" s="58"/>
      <c r="G594" s="58"/>
      <c r="H594" s="58"/>
      <c r="I594" s="58"/>
      <c r="J594" s="58"/>
      <c r="K594" s="58"/>
      <c r="L594" s="59">
        <f t="shared" ref="L594:L657" si="59">1/2*((F594*I594+H594*K594+J594*G594)-(G594*H594+I594*J594+K594*F594))/0.1582*100</f>
        <v>0</v>
      </c>
      <c r="M594" s="68"/>
      <c r="N594" s="68"/>
      <c r="O594" s="68"/>
      <c r="P594" s="68"/>
      <c r="Q594" s="99" t="e">
        <f t="shared" ref="Q594:Q657" si="60">O594/P594</f>
        <v>#DIV/0!</v>
      </c>
      <c r="R594" s="100">
        <f t="shared" ref="R594:R657" si="61">SQRT(POWER(M594-$M$12,2)+POWER(N594-$N$12,2))</f>
        <v>0.43387671059875982</v>
      </c>
      <c r="S594" s="83"/>
      <c r="T594" s="83"/>
      <c r="U594" s="101">
        <f t="shared" ref="U594:U657" si="62">(-449*((M594-0.332)/(N594-0.1858))^3)+(3525*((M594-0.332)/(N594-0.1858))^2)+(-6823.3*(M594-0.332)/(N594-0.1858))+5520.33</f>
        <v>2021.2824107652905</v>
      </c>
      <c r="V594" s="45"/>
      <c r="W594" s="45"/>
      <c r="X594" s="45"/>
      <c r="Y594" s="45"/>
      <c r="Z594" s="45"/>
      <c r="AA594" s="45"/>
    </row>
    <row r="595" spans="2:27" x14ac:dyDescent="0.45">
      <c r="B595" s="45" t="s">
        <v>401</v>
      </c>
      <c r="C595" s="90"/>
      <c r="D595" s="56"/>
      <c r="E595" s="80"/>
      <c r="F595" s="58"/>
      <c r="G595" s="58"/>
      <c r="H595" s="58"/>
      <c r="I595" s="58"/>
      <c r="J595" s="58"/>
      <c r="K595" s="58"/>
      <c r="L595" s="59">
        <f t="shared" si="59"/>
        <v>0</v>
      </c>
      <c r="M595" s="68"/>
      <c r="N595" s="68"/>
      <c r="O595" s="68"/>
      <c r="P595" s="68"/>
      <c r="Q595" s="99" t="e">
        <f t="shared" si="60"/>
        <v>#DIV/0!</v>
      </c>
      <c r="R595" s="100">
        <f t="shared" si="61"/>
        <v>0.43387671059875982</v>
      </c>
      <c r="S595" s="83"/>
      <c r="T595" s="83"/>
      <c r="U595" s="101">
        <f t="shared" si="62"/>
        <v>2021.2824107652905</v>
      </c>
      <c r="V595" s="45"/>
      <c r="W595" s="45"/>
      <c r="X595" s="45"/>
      <c r="Y595" s="45"/>
      <c r="Z595" s="45"/>
      <c r="AA595" s="45"/>
    </row>
    <row r="596" spans="2:27" x14ac:dyDescent="0.45">
      <c r="B596" s="45" t="s">
        <v>402</v>
      </c>
      <c r="C596" s="90"/>
      <c r="D596" s="56"/>
      <c r="E596" s="84"/>
      <c r="F596" s="58"/>
      <c r="G596" s="58"/>
      <c r="H596" s="58"/>
      <c r="I596" s="58"/>
      <c r="J596" s="58"/>
      <c r="K596" s="58"/>
      <c r="L596" s="59">
        <f t="shared" si="59"/>
        <v>0</v>
      </c>
      <c r="M596" s="68"/>
      <c r="N596" s="68"/>
      <c r="O596" s="68"/>
      <c r="P596" s="68"/>
      <c r="Q596" s="99" t="e">
        <f t="shared" si="60"/>
        <v>#DIV/0!</v>
      </c>
      <c r="R596" s="100">
        <f t="shared" si="61"/>
        <v>0.43387671059875982</v>
      </c>
      <c r="S596" s="83"/>
      <c r="T596" s="83"/>
      <c r="U596" s="101">
        <f t="shared" si="62"/>
        <v>2021.2824107652905</v>
      </c>
      <c r="V596" s="45"/>
      <c r="W596" s="45"/>
      <c r="X596" s="45"/>
      <c r="Y596" s="45"/>
      <c r="Z596" s="45"/>
      <c r="AA596" s="45"/>
    </row>
    <row r="597" spans="2:27" x14ac:dyDescent="0.45">
      <c r="B597" s="45" t="s">
        <v>403</v>
      </c>
      <c r="C597" s="90"/>
      <c r="D597" s="56"/>
      <c r="E597" s="57"/>
      <c r="F597" s="58"/>
      <c r="G597" s="58"/>
      <c r="H597" s="58"/>
      <c r="I597" s="58"/>
      <c r="J597" s="58"/>
      <c r="K597" s="58"/>
      <c r="L597" s="59">
        <f t="shared" si="59"/>
        <v>0</v>
      </c>
      <c r="M597" s="68"/>
      <c r="N597" s="68"/>
      <c r="O597" s="68"/>
      <c r="P597" s="68"/>
      <c r="Q597" s="99" t="e">
        <f t="shared" si="60"/>
        <v>#DIV/0!</v>
      </c>
      <c r="R597" s="100">
        <f t="shared" si="61"/>
        <v>0.43387671059875982</v>
      </c>
      <c r="S597" s="83"/>
      <c r="T597" s="83"/>
      <c r="U597" s="101">
        <f t="shared" si="62"/>
        <v>2021.2824107652905</v>
      </c>
      <c r="V597" s="45"/>
      <c r="W597" s="45"/>
      <c r="X597" s="45"/>
      <c r="Y597" s="45"/>
      <c r="Z597" s="45"/>
      <c r="AA597" s="45"/>
    </row>
    <row r="598" spans="2:27" x14ac:dyDescent="0.45">
      <c r="B598" s="45" t="s">
        <v>404</v>
      </c>
      <c r="C598" s="90"/>
      <c r="D598" s="56"/>
      <c r="E598" s="80"/>
      <c r="F598" s="58"/>
      <c r="G598" s="58"/>
      <c r="H598" s="58"/>
      <c r="I598" s="58"/>
      <c r="J598" s="58"/>
      <c r="K598" s="58"/>
      <c r="L598" s="59">
        <f t="shared" si="59"/>
        <v>0</v>
      </c>
      <c r="M598" s="68"/>
      <c r="N598" s="68"/>
      <c r="O598" s="68"/>
      <c r="P598" s="68"/>
      <c r="Q598" s="99" t="e">
        <f t="shared" si="60"/>
        <v>#DIV/0!</v>
      </c>
      <c r="R598" s="100">
        <f t="shared" si="61"/>
        <v>0.43387671059875982</v>
      </c>
      <c r="S598" s="83"/>
      <c r="T598" s="83"/>
      <c r="U598" s="101">
        <f t="shared" si="62"/>
        <v>2021.2824107652905</v>
      </c>
      <c r="V598" s="45"/>
      <c r="W598" s="45"/>
      <c r="X598" s="45"/>
      <c r="Y598" s="45"/>
      <c r="Z598" s="45"/>
      <c r="AA598" s="45"/>
    </row>
    <row r="599" spans="2:27" x14ac:dyDescent="0.45">
      <c r="B599" s="45" t="s">
        <v>405</v>
      </c>
      <c r="C599" s="90"/>
      <c r="D599" s="56"/>
      <c r="E599" s="84"/>
      <c r="F599" s="58"/>
      <c r="G599" s="58"/>
      <c r="H599" s="58"/>
      <c r="I599" s="58"/>
      <c r="J599" s="58"/>
      <c r="K599" s="58"/>
      <c r="L599" s="59">
        <f t="shared" si="59"/>
        <v>0</v>
      </c>
      <c r="M599" s="68"/>
      <c r="N599" s="68"/>
      <c r="O599" s="68"/>
      <c r="P599" s="68"/>
      <c r="Q599" s="99" t="e">
        <f t="shared" si="60"/>
        <v>#DIV/0!</v>
      </c>
      <c r="R599" s="100">
        <f t="shared" si="61"/>
        <v>0.43387671059875982</v>
      </c>
      <c r="S599" s="83"/>
      <c r="T599" s="83"/>
      <c r="U599" s="101">
        <f t="shared" si="62"/>
        <v>2021.2824107652905</v>
      </c>
      <c r="V599" s="45"/>
      <c r="W599" s="45"/>
      <c r="X599" s="45"/>
      <c r="Y599" s="45"/>
      <c r="Z599" s="45"/>
      <c r="AA599" s="45"/>
    </row>
    <row r="600" spans="2:27" x14ac:dyDescent="0.45">
      <c r="B600" s="45" t="s">
        <v>406</v>
      </c>
      <c r="C600" s="90"/>
      <c r="D600" s="56"/>
      <c r="E600" s="57"/>
      <c r="F600" s="58"/>
      <c r="G600" s="58"/>
      <c r="H600" s="58"/>
      <c r="I600" s="58"/>
      <c r="J600" s="58"/>
      <c r="K600" s="58"/>
      <c r="L600" s="59">
        <f t="shared" si="59"/>
        <v>0</v>
      </c>
      <c r="M600" s="68"/>
      <c r="N600" s="68"/>
      <c r="O600" s="68"/>
      <c r="P600" s="68"/>
      <c r="Q600" s="99" t="e">
        <f t="shared" si="60"/>
        <v>#DIV/0!</v>
      </c>
      <c r="R600" s="100">
        <f t="shared" si="61"/>
        <v>0.43387671059875982</v>
      </c>
      <c r="S600" s="83"/>
      <c r="T600" s="83"/>
      <c r="U600" s="101">
        <f t="shared" si="62"/>
        <v>2021.2824107652905</v>
      </c>
      <c r="V600" s="45"/>
      <c r="W600" s="45"/>
      <c r="X600" s="45"/>
      <c r="Y600" s="45"/>
      <c r="Z600" s="45"/>
      <c r="AA600" s="45"/>
    </row>
    <row r="601" spans="2:27" x14ac:dyDescent="0.45">
      <c r="B601" s="45" t="s">
        <v>407</v>
      </c>
      <c r="C601" s="90"/>
      <c r="D601" s="56"/>
      <c r="E601" s="84"/>
      <c r="F601" s="58"/>
      <c r="G601" s="58"/>
      <c r="H601" s="58"/>
      <c r="I601" s="58"/>
      <c r="J601" s="58"/>
      <c r="K601" s="58"/>
      <c r="L601" s="59">
        <f t="shared" si="59"/>
        <v>0</v>
      </c>
      <c r="M601" s="68"/>
      <c r="N601" s="68"/>
      <c r="O601" s="68"/>
      <c r="P601" s="68"/>
      <c r="Q601" s="99" t="e">
        <f t="shared" si="60"/>
        <v>#DIV/0!</v>
      </c>
      <c r="R601" s="100">
        <f t="shared" si="61"/>
        <v>0.43387671059875982</v>
      </c>
      <c r="S601" s="83"/>
      <c r="T601" s="83"/>
      <c r="U601" s="101">
        <f t="shared" si="62"/>
        <v>2021.2824107652905</v>
      </c>
      <c r="V601" s="45"/>
      <c r="W601" s="45"/>
      <c r="X601" s="45"/>
      <c r="Y601" s="45"/>
      <c r="Z601" s="45"/>
      <c r="AA601" s="45"/>
    </row>
    <row r="602" spans="2:27" x14ac:dyDescent="0.45">
      <c r="B602" s="45" t="s">
        <v>408</v>
      </c>
      <c r="C602" s="90"/>
      <c r="D602" s="56"/>
      <c r="E602" s="57"/>
      <c r="F602" s="58"/>
      <c r="G602" s="58"/>
      <c r="H602" s="58"/>
      <c r="I602" s="58"/>
      <c r="J602" s="58"/>
      <c r="K602" s="58"/>
      <c r="L602" s="59">
        <f t="shared" si="59"/>
        <v>0</v>
      </c>
      <c r="M602" s="68"/>
      <c r="N602" s="68"/>
      <c r="O602" s="68"/>
      <c r="P602" s="68"/>
      <c r="Q602" s="99" t="e">
        <f t="shared" si="60"/>
        <v>#DIV/0!</v>
      </c>
      <c r="R602" s="100">
        <f t="shared" si="61"/>
        <v>0.43387671059875982</v>
      </c>
      <c r="S602" s="83"/>
      <c r="T602" s="83"/>
      <c r="U602" s="101">
        <f t="shared" si="62"/>
        <v>2021.2824107652905</v>
      </c>
      <c r="V602" s="45"/>
      <c r="W602" s="45"/>
      <c r="X602" s="45"/>
      <c r="Y602" s="45"/>
      <c r="Z602" s="45"/>
      <c r="AA602" s="45"/>
    </row>
    <row r="603" spans="2:27" x14ac:dyDescent="0.45">
      <c r="B603" s="45" t="s">
        <v>409</v>
      </c>
      <c r="C603" s="90"/>
      <c r="D603" s="56"/>
      <c r="E603" s="80"/>
      <c r="F603" s="58"/>
      <c r="G603" s="58"/>
      <c r="H603" s="58"/>
      <c r="I603" s="58"/>
      <c r="J603" s="58"/>
      <c r="K603" s="58"/>
      <c r="L603" s="59">
        <f t="shared" si="59"/>
        <v>0</v>
      </c>
      <c r="M603" s="68"/>
      <c r="N603" s="68"/>
      <c r="O603" s="68"/>
      <c r="P603" s="68"/>
      <c r="Q603" s="99" t="e">
        <f t="shared" si="60"/>
        <v>#DIV/0!</v>
      </c>
      <c r="R603" s="100">
        <f t="shared" si="61"/>
        <v>0.43387671059875982</v>
      </c>
      <c r="S603" s="83"/>
      <c r="T603" s="83"/>
      <c r="U603" s="101">
        <f t="shared" si="62"/>
        <v>2021.2824107652905</v>
      </c>
      <c r="V603" s="45"/>
      <c r="W603" s="45"/>
      <c r="X603" s="45"/>
      <c r="Y603" s="45"/>
      <c r="Z603" s="45"/>
      <c r="AA603" s="45"/>
    </row>
    <row r="604" spans="2:27" x14ac:dyDescent="0.45">
      <c r="B604" s="45" t="s">
        <v>410</v>
      </c>
      <c r="C604" s="90"/>
      <c r="D604" s="56"/>
      <c r="E604" s="84"/>
      <c r="F604" s="58"/>
      <c r="G604" s="58"/>
      <c r="H604" s="58"/>
      <c r="I604" s="58"/>
      <c r="J604" s="58"/>
      <c r="K604" s="58"/>
      <c r="L604" s="59">
        <f t="shared" si="59"/>
        <v>0</v>
      </c>
      <c r="M604" s="68"/>
      <c r="N604" s="68"/>
      <c r="O604" s="68"/>
      <c r="P604" s="68"/>
      <c r="Q604" s="99" t="e">
        <f t="shared" si="60"/>
        <v>#DIV/0!</v>
      </c>
      <c r="R604" s="100">
        <f t="shared" si="61"/>
        <v>0.43387671059875982</v>
      </c>
      <c r="S604" s="83"/>
      <c r="T604" s="83"/>
      <c r="U604" s="101">
        <f t="shared" si="62"/>
        <v>2021.2824107652905</v>
      </c>
      <c r="V604" s="45"/>
      <c r="W604" s="45"/>
      <c r="X604" s="45"/>
      <c r="Y604" s="45"/>
      <c r="Z604" s="45"/>
      <c r="AA604" s="45"/>
    </row>
    <row r="605" spans="2:27" x14ac:dyDescent="0.45">
      <c r="B605" s="45" t="s">
        <v>411</v>
      </c>
      <c r="C605" s="90"/>
      <c r="D605" s="56"/>
      <c r="E605" s="57"/>
      <c r="F605" s="58"/>
      <c r="G605" s="58"/>
      <c r="H605" s="58"/>
      <c r="I605" s="58"/>
      <c r="J605" s="58"/>
      <c r="K605" s="58"/>
      <c r="L605" s="59">
        <f t="shared" si="59"/>
        <v>0</v>
      </c>
      <c r="M605" s="68"/>
      <c r="N605" s="68"/>
      <c r="O605" s="68"/>
      <c r="P605" s="68"/>
      <c r="Q605" s="99" t="e">
        <f t="shared" si="60"/>
        <v>#DIV/0!</v>
      </c>
      <c r="R605" s="100">
        <f t="shared" si="61"/>
        <v>0.43387671059875982</v>
      </c>
      <c r="S605" s="83"/>
      <c r="T605" s="83"/>
      <c r="U605" s="101">
        <f t="shared" si="62"/>
        <v>2021.2824107652905</v>
      </c>
      <c r="V605" s="45"/>
      <c r="W605" s="45"/>
      <c r="X605" s="45"/>
      <c r="Y605" s="45"/>
      <c r="Z605" s="45"/>
      <c r="AA605" s="45"/>
    </row>
    <row r="606" spans="2:27" x14ac:dyDescent="0.45">
      <c r="B606" s="45" t="s">
        <v>412</v>
      </c>
      <c r="C606" s="90"/>
      <c r="D606" s="56"/>
      <c r="E606" s="80"/>
      <c r="F606" s="58"/>
      <c r="G606" s="58"/>
      <c r="H606" s="58"/>
      <c r="I606" s="58"/>
      <c r="J606" s="58"/>
      <c r="K606" s="58"/>
      <c r="L606" s="59">
        <f t="shared" si="59"/>
        <v>0</v>
      </c>
      <c r="M606" s="68"/>
      <c r="N606" s="68"/>
      <c r="O606" s="68"/>
      <c r="P606" s="68"/>
      <c r="Q606" s="99" t="e">
        <f t="shared" si="60"/>
        <v>#DIV/0!</v>
      </c>
      <c r="R606" s="100">
        <f t="shared" si="61"/>
        <v>0.43387671059875982</v>
      </c>
      <c r="S606" s="83"/>
      <c r="T606" s="83"/>
      <c r="U606" s="101">
        <f t="shared" si="62"/>
        <v>2021.2824107652905</v>
      </c>
      <c r="V606" s="45"/>
      <c r="W606" s="45"/>
      <c r="X606" s="45"/>
      <c r="Y606" s="45"/>
      <c r="Z606" s="45"/>
      <c r="AA606" s="45"/>
    </row>
    <row r="607" spans="2:27" x14ac:dyDescent="0.45">
      <c r="B607" s="45" t="s">
        <v>413</v>
      </c>
      <c r="C607" s="90"/>
      <c r="D607" s="56"/>
      <c r="E607" s="84"/>
      <c r="F607" s="58"/>
      <c r="G607" s="58"/>
      <c r="H607" s="58"/>
      <c r="I607" s="58"/>
      <c r="J607" s="58"/>
      <c r="K607" s="58"/>
      <c r="L607" s="59">
        <f t="shared" si="59"/>
        <v>0</v>
      </c>
      <c r="M607" s="68"/>
      <c r="N607" s="68"/>
      <c r="O607" s="68"/>
      <c r="P607" s="68"/>
      <c r="Q607" s="99" t="e">
        <f t="shared" si="60"/>
        <v>#DIV/0!</v>
      </c>
      <c r="R607" s="100">
        <f t="shared" si="61"/>
        <v>0.43387671059875982</v>
      </c>
      <c r="S607" s="83"/>
      <c r="T607" s="83"/>
      <c r="U607" s="101">
        <f t="shared" si="62"/>
        <v>2021.2824107652905</v>
      </c>
      <c r="V607" s="45"/>
      <c r="W607" s="45"/>
      <c r="X607" s="45"/>
      <c r="Y607" s="45"/>
      <c r="Z607" s="45"/>
      <c r="AA607" s="45"/>
    </row>
    <row r="608" spans="2:27" x14ac:dyDescent="0.45">
      <c r="B608" s="45" t="s">
        <v>414</v>
      </c>
      <c r="C608" s="90"/>
      <c r="D608" s="56"/>
      <c r="E608" s="57"/>
      <c r="F608" s="58"/>
      <c r="G608" s="58"/>
      <c r="H608" s="58"/>
      <c r="I608" s="58"/>
      <c r="J608" s="58"/>
      <c r="K608" s="58"/>
      <c r="L608" s="59">
        <f t="shared" si="59"/>
        <v>0</v>
      </c>
      <c r="M608" s="68"/>
      <c r="N608" s="68"/>
      <c r="O608" s="68"/>
      <c r="P608" s="68"/>
      <c r="Q608" s="99" t="e">
        <f t="shared" si="60"/>
        <v>#DIV/0!</v>
      </c>
      <c r="R608" s="100">
        <f t="shared" si="61"/>
        <v>0.43387671059875982</v>
      </c>
      <c r="S608" s="83"/>
      <c r="T608" s="83"/>
      <c r="U608" s="101">
        <f t="shared" si="62"/>
        <v>2021.2824107652905</v>
      </c>
      <c r="V608" s="45"/>
      <c r="W608" s="45"/>
      <c r="X608" s="45"/>
      <c r="Y608" s="45"/>
      <c r="Z608" s="45"/>
      <c r="AA608" s="45"/>
    </row>
    <row r="609" spans="2:27" x14ac:dyDescent="0.45">
      <c r="B609" s="45" t="s">
        <v>415</v>
      </c>
      <c r="C609" s="90"/>
      <c r="D609" s="56"/>
      <c r="E609" s="80"/>
      <c r="F609" s="58"/>
      <c r="G609" s="58"/>
      <c r="H609" s="58"/>
      <c r="I609" s="58"/>
      <c r="J609" s="58"/>
      <c r="K609" s="58"/>
      <c r="L609" s="59">
        <f t="shared" si="59"/>
        <v>0</v>
      </c>
      <c r="M609" s="68"/>
      <c r="N609" s="68"/>
      <c r="O609" s="68"/>
      <c r="P609" s="68"/>
      <c r="Q609" s="99" t="e">
        <f t="shared" si="60"/>
        <v>#DIV/0!</v>
      </c>
      <c r="R609" s="100">
        <f t="shared" si="61"/>
        <v>0.43387671059875982</v>
      </c>
      <c r="S609" s="83"/>
      <c r="T609" s="83"/>
      <c r="U609" s="101">
        <f t="shared" si="62"/>
        <v>2021.2824107652905</v>
      </c>
      <c r="V609" s="45"/>
      <c r="W609" s="45"/>
      <c r="X609" s="45"/>
      <c r="Y609" s="45"/>
      <c r="Z609" s="45"/>
      <c r="AA609" s="45"/>
    </row>
    <row r="610" spans="2:27" x14ac:dyDescent="0.45">
      <c r="B610" s="45" t="s">
        <v>416</v>
      </c>
      <c r="C610" s="90"/>
      <c r="D610" s="56"/>
      <c r="E610" s="84"/>
      <c r="F610" s="58"/>
      <c r="G610" s="58"/>
      <c r="H610" s="58"/>
      <c r="I610" s="58"/>
      <c r="J610" s="58"/>
      <c r="K610" s="58"/>
      <c r="L610" s="59">
        <f t="shared" si="59"/>
        <v>0</v>
      </c>
      <c r="M610" s="68"/>
      <c r="N610" s="68"/>
      <c r="O610" s="68"/>
      <c r="P610" s="68"/>
      <c r="Q610" s="99" t="e">
        <f t="shared" si="60"/>
        <v>#DIV/0!</v>
      </c>
      <c r="R610" s="100">
        <f t="shared" si="61"/>
        <v>0.43387671059875982</v>
      </c>
      <c r="S610" s="83"/>
      <c r="T610" s="83"/>
      <c r="U610" s="101">
        <f t="shared" si="62"/>
        <v>2021.2824107652905</v>
      </c>
      <c r="V610" s="45"/>
      <c r="W610" s="45"/>
      <c r="X610" s="45"/>
      <c r="Y610" s="45"/>
      <c r="Z610" s="45"/>
      <c r="AA610" s="45"/>
    </row>
    <row r="611" spans="2:27" x14ac:dyDescent="0.45">
      <c r="B611" s="45" t="s">
        <v>417</v>
      </c>
      <c r="C611" s="90"/>
      <c r="D611" s="56"/>
      <c r="E611" s="57"/>
      <c r="F611" s="58"/>
      <c r="G611" s="58"/>
      <c r="H611" s="58"/>
      <c r="I611" s="58"/>
      <c r="J611" s="58"/>
      <c r="K611" s="58"/>
      <c r="L611" s="59">
        <f t="shared" si="59"/>
        <v>0</v>
      </c>
      <c r="M611" s="68"/>
      <c r="N611" s="68"/>
      <c r="O611" s="68"/>
      <c r="P611" s="68"/>
      <c r="Q611" s="99" t="e">
        <f t="shared" si="60"/>
        <v>#DIV/0!</v>
      </c>
      <c r="R611" s="100">
        <f t="shared" si="61"/>
        <v>0.43387671059875982</v>
      </c>
      <c r="S611" s="83"/>
      <c r="T611" s="83"/>
      <c r="U611" s="101">
        <f t="shared" si="62"/>
        <v>2021.2824107652905</v>
      </c>
      <c r="V611" s="45"/>
      <c r="W611" s="45"/>
      <c r="X611" s="45"/>
      <c r="Y611" s="45"/>
      <c r="Z611" s="45"/>
      <c r="AA611" s="45"/>
    </row>
    <row r="612" spans="2:27" x14ac:dyDescent="0.45">
      <c r="B612" s="45" t="s">
        <v>418</v>
      </c>
      <c r="C612" s="90"/>
      <c r="D612" s="56"/>
      <c r="E612" s="80"/>
      <c r="F612" s="58"/>
      <c r="G612" s="58"/>
      <c r="H612" s="58"/>
      <c r="I612" s="58"/>
      <c r="J612" s="58"/>
      <c r="K612" s="58"/>
      <c r="L612" s="59">
        <f t="shared" si="59"/>
        <v>0</v>
      </c>
      <c r="M612" s="68"/>
      <c r="N612" s="68"/>
      <c r="O612" s="68"/>
      <c r="P612" s="68"/>
      <c r="Q612" s="99" t="e">
        <f t="shared" si="60"/>
        <v>#DIV/0!</v>
      </c>
      <c r="R612" s="100">
        <f t="shared" si="61"/>
        <v>0.43387671059875982</v>
      </c>
      <c r="S612" s="83"/>
      <c r="T612" s="83"/>
      <c r="U612" s="101">
        <f t="shared" si="62"/>
        <v>2021.2824107652905</v>
      </c>
      <c r="V612" s="45"/>
      <c r="W612" s="45"/>
      <c r="X612" s="45"/>
      <c r="Y612" s="45"/>
      <c r="Z612" s="45"/>
      <c r="AA612" s="45"/>
    </row>
    <row r="613" spans="2:27" x14ac:dyDescent="0.45">
      <c r="B613" s="45" t="s">
        <v>419</v>
      </c>
      <c r="C613" s="90"/>
      <c r="D613" s="56"/>
      <c r="E613" s="84"/>
      <c r="F613" s="58"/>
      <c r="G613" s="58"/>
      <c r="H613" s="58"/>
      <c r="I613" s="58"/>
      <c r="J613" s="58"/>
      <c r="K613" s="58"/>
      <c r="L613" s="59">
        <f t="shared" si="59"/>
        <v>0</v>
      </c>
      <c r="M613" s="68"/>
      <c r="N613" s="68"/>
      <c r="O613" s="68"/>
      <c r="P613" s="68"/>
      <c r="Q613" s="99" t="e">
        <f t="shared" si="60"/>
        <v>#DIV/0!</v>
      </c>
      <c r="R613" s="100">
        <f t="shared" si="61"/>
        <v>0.43387671059875982</v>
      </c>
      <c r="S613" s="83"/>
      <c r="T613" s="83"/>
      <c r="U613" s="101">
        <f t="shared" si="62"/>
        <v>2021.2824107652905</v>
      </c>
      <c r="V613" s="45"/>
      <c r="W613" s="45"/>
      <c r="X613" s="45"/>
      <c r="Y613" s="45"/>
      <c r="Z613" s="45"/>
      <c r="AA613" s="45"/>
    </row>
    <row r="614" spans="2:27" x14ac:dyDescent="0.45">
      <c r="B614" s="45" t="s">
        <v>420</v>
      </c>
      <c r="C614" s="90"/>
      <c r="D614" s="56"/>
      <c r="E614" s="57"/>
      <c r="F614" s="58"/>
      <c r="G614" s="58"/>
      <c r="H614" s="58"/>
      <c r="I614" s="58"/>
      <c r="J614" s="58"/>
      <c r="K614" s="58"/>
      <c r="L614" s="59">
        <f t="shared" si="59"/>
        <v>0</v>
      </c>
      <c r="M614" s="68"/>
      <c r="N614" s="68"/>
      <c r="O614" s="68"/>
      <c r="P614" s="68"/>
      <c r="Q614" s="99" t="e">
        <f t="shared" si="60"/>
        <v>#DIV/0!</v>
      </c>
      <c r="R614" s="100">
        <f t="shared" si="61"/>
        <v>0.43387671059875982</v>
      </c>
      <c r="S614" s="83"/>
      <c r="T614" s="83"/>
      <c r="U614" s="101">
        <f t="shared" si="62"/>
        <v>2021.2824107652905</v>
      </c>
      <c r="V614" s="45"/>
      <c r="W614" s="45"/>
      <c r="X614" s="45"/>
      <c r="Y614" s="45"/>
      <c r="Z614" s="45"/>
      <c r="AA614" s="45"/>
    </row>
    <row r="615" spans="2:27" x14ac:dyDescent="0.45">
      <c r="B615" s="45" t="s">
        <v>421</v>
      </c>
      <c r="C615" s="90"/>
      <c r="D615" s="56"/>
      <c r="E615" s="80"/>
      <c r="F615" s="58"/>
      <c r="G615" s="58"/>
      <c r="H615" s="58"/>
      <c r="I615" s="58"/>
      <c r="J615" s="58"/>
      <c r="K615" s="58"/>
      <c r="L615" s="59">
        <f t="shared" si="59"/>
        <v>0</v>
      </c>
      <c r="M615" s="68"/>
      <c r="N615" s="68"/>
      <c r="O615" s="68"/>
      <c r="P615" s="68"/>
      <c r="Q615" s="99" t="e">
        <f t="shared" si="60"/>
        <v>#DIV/0!</v>
      </c>
      <c r="R615" s="100">
        <f t="shared" si="61"/>
        <v>0.43387671059875982</v>
      </c>
      <c r="S615" s="83"/>
      <c r="T615" s="83"/>
      <c r="U615" s="101">
        <f t="shared" si="62"/>
        <v>2021.2824107652905</v>
      </c>
      <c r="V615" s="45"/>
      <c r="W615" s="45"/>
      <c r="X615" s="45"/>
      <c r="Y615" s="45"/>
      <c r="Z615" s="45"/>
      <c r="AA615" s="45"/>
    </row>
    <row r="616" spans="2:27" x14ac:dyDescent="0.45">
      <c r="B616" s="45" t="s">
        <v>422</v>
      </c>
      <c r="C616" s="90"/>
      <c r="D616" s="56"/>
      <c r="E616" s="84"/>
      <c r="F616" s="58"/>
      <c r="G616" s="58"/>
      <c r="H616" s="58"/>
      <c r="I616" s="58"/>
      <c r="J616" s="58"/>
      <c r="K616" s="58"/>
      <c r="L616" s="59">
        <f t="shared" si="59"/>
        <v>0</v>
      </c>
      <c r="M616" s="68"/>
      <c r="N616" s="68"/>
      <c r="O616" s="68"/>
      <c r="P616" s="68"/>
      <c r="Q616" s="99" t="e">
        <f t="shared" si="60"/>
        <v>#DIV/0!</v>
      </c>
      <c r="R616" s="100">
        <f t="shared" si="61"/>
        <v>0.43387671059875982</v>
      </c>
      <c r="S616" s="83"/>
      <c r="T616" s="83"/>
      <c r="U616" s="101">
        <f t="shared" si="62"/>
        <v>2021.2824107652905</v>
      </c>
      <c r="V616" s="45"/>
      <c r="W616" s="45"/>
      <c r="X616" s="45"/>
      <c r="Y616" s="45"/>
      <c r="Z616" s="45"/>
      <c r="AA616" s="45"/>
    </row>
    <row r="617" spans="2:27" x14ac:dyDescent="0.45">
      <c r="B617" s="45" t="s">
        <v>423</v>
      </c>
      <c r="C617" s="90"/>
      <c r="D617" s="56"/>
      <c r="E617" s="57"/>
      <c r="F617" s="58"/>
      <c r="G617" s="58"/>
      <c r="H617" s="58"/>
      <c r="I617" s="58"/>
      <c r="J617" s="58"/>
      <c r="K617" s="58"/>
      <c r="L617" s="59">
        <f t="shared" si="59"/>
        <v>0</v>
      </c>
      <c r="M617" s="68"/>
      <c r="N617" s="68"/>
      <c r="O617" s="68"/>
      <c r="P617" s="68"/>
      <c r="Q617" s="99" t="e">
        <f t="shared" si="60"/>
        <v>#DIV/0!</v>
      </c>
      <c r="R617" s="100">
        <f t="shared" si="61"/>
        <v>0.43387671059875982</v>
      </c>
      <c r="S617" s="83"/>
      <c r="T617" s="83"/>
      <c r="U617" s="101">
        <f t="shared" si="62"/>
        <v>2021.2824107652905</v>
      </c>
      <c r="V617" s="45"/>
      <c r="W617" s="45"/>
      <c r="X617" s="45"/>
      <c r="Y617" s="45"/>
      <c r="Z617" s="45"/>
      <c r="AA617" s="45"/>
    </row>
    <row r="618" spans="2:27" x14ac:dyDescent="0.45">
      <c r="B618" s="45" t="s">
        <v>424</v>
      </c>
      <c r="C618" s="90"/>
      <c r="D618" s="56"/>
      <c r="E618" s="80"/>
      <c r="F618" s="58"/>
      <c r="G618" s="58"/>
      <c r="H618" s="58"/>
      <c r="I618" s="58"/>
      <c r="J618" s="58"/>
      <c r="K618" s="58"/>
      <c r="L618" s="59">
        <f t="shared" si="59"/>
        <v>0</v>
      </c>
      <c r="M618" s="68"/>
      <c r="N618" s="68"/>
      <c r="O618" s="68"/>
      <c r="P618" s="68"/>
      <c r="Q618" s="99" t="e">
        <f t="shared" si="60"/>
        <v>#DIV/0!</v>
      </c>
      <c r="R618" s="100">
        <f t="shared" si="61"/>
        <v>0.43387671059875982</v>
      </c>
      <c r="S618" s="83"/>
      <c r="T618" s="83"/>
      <c r="U618" s="101">
        <f t="shared" si="62"/>
        <v>2021.2824107652905</v>
      </c>
      <c r="V618" s="45"/>
      <c r="W618" s="45"/>
      <c r="X618" s="45"/>
      <c r="Y618" s="45"/>
      <c r="Z618" s="45"/>
      <c r="AA618" s="45"/>
    </row>
    <row r="619" spans="2:27" x14ac:dyDescent="0.45">
      <c r="B619" s="45" t="s">
        <v>425</v>
      </c>
      <c r="C619" s="90"/>
      <c r="D619" s="56"/>
      <c r="E619" s="84"/>
      <c r="F619" s="58"/>
      <c r="G619" s="58"/>
      <c r="H619" s="58"/>
      <c r="I619" s="58"/>
      <c r="J619" s="58"/>
      <c r="K619" s="58"/>
      <c r="L619" s="59">
        <f t="shared" si="59"/>
        <v>0</v>
      </c>
      <c r="M619" s="68"/>
      <c r="N619" s="68"/>
      <c r="O619" s="68"/>
      <c r="P619" s="68"/>
      <c r="Q619" s="99" t="e">
        <f t="shared" si="60"/>
        <v>#DIV/0!</v>
      </c>
      <c r="R619" s="100">
        <f t="shared" si="61"/>
        <v>0.43387671059875982</v>
      </c>
      <c r="S619" s="83"/>
      <c r="T619" s="83"/>
      <c r="U619" s="101">
        <f t="shared" si="62"/>
        <v>2021.2824107652905</v>
      </c>
      <c r="V619" s="45"/>
      <c r="W619" s="45"/>
      <c r="X619" s="45"/>
      <c r="Y619" s="45"/>
      <c r="Z619" s="45"/>
      <c r="AA619" s="45"/>
    </row>
    <row r="620" spans="2:27" x14ac:dyDescent="0.45">
      <c r="B620" s="45" t="s">
        <v>426</v>
      </c>
      <c r="C620" s="90"/>
      <c r="D620" s="56"/>
      <c r="E620" s="57"/>
      <c r="F620" s="58"/>
      <c r="G620" s="58"/>
      <c r="H620" s="58"/>
      <c r="I620" s="58"/>
      <c r="J620" s="58"/>
      <c r="K620" s="58"/>
      <c r="L620" s="59">
        <f t="shared" si="59"/>
        <v>0</v>
      </c>
      <c r="M620" s="68"/>
      <c r="N620" s="68"/>
      <c r="O620" s="68"/>
      <c r="P620" s="68"/>
      <c r="Q620" s="99" t="e">
        <f t="shared" si="60"/>
        <v>#DIV/0!</v>
      </c>
      <c r="R620" s="100">
        <f t="shared" si="61"/>
        <v>0.43387671059875982</v>
      </c>
      <c r="S620" s="83"/>
      <c r="T620" s="83"/>
      <c r="U620" s="101">
        <f t="shared" si="62"/>
        <v>2021.2824107652905</v>
      </c>
      <c r="V620" s="45"/>
      <c r="W620" s="45"/>
      <c r="X620" s="45"/>
      <c r="Y620" s="45"/>
      <c r="Z620" s="45"/>
      <c r="AA620" s="45"/>
    </row>
    <row r="621" spans="2:27" x14ac:dyDescent="0.45">
      <c r="B621" s="45" t="s">
        <v>427</v>
      </c>
      <c r="C621" s="90"/>
      <c r="D621" s="56"/>
      <c r="E621" s="80"/>
      <c r="F621" s="58"/>
      <c r="G621" s="58"/>
      <c r="H621" s="58"/>
      <c r="I621" s="58"/>
      <c r="J621" s="58"/>
      <c r="K621" s="58"/>
      <c r="L621" s="59">
        <f t="shared" si="59"/>
        <v>0</v>
      </c>
      <c r="M621" s="68"/>
      <c r="N621" s="68"/>
      <c r="O621" s="68"/>
      <c r="P621" s="68"/>
      <c r="Q621" s="99" t="e">
        <f t="shared" si="60"/>
        <v>#DIV/0!</v>
      </c>
      <c r="R621" s="100">
        <f t="shared" si="61"/>
        <v>0.43387671059875982</v>
      </c>
      <c r="S621" s="83"/>
      <c r="T621" s="83"/>
      <c r="U621" s="101">
        <f t="shared" si="62"/>
        <v>2021.2824107652905</v>
      </c>
      <c r="V621" s="45"/>
      <c r="W621" s="45"/>
      <c r="X621" s="45"/>
      <c r="Y621" s="45"/>
      <c r="Z621" s="45"/>
      <c r="AA621" s="45"/>
    </row>
    <row r="622" spans="2:27" x14ac:dyDescent="0.45">
      <c r="B622" s="45" t="s">
        <v>428</v>
      </c>
      <c r="C622" s="90"/>
      <c r="D622" s="56"/>
      <c r="E622" s="84"/>
      <c r="F622" s="58"/>
      <c r="G622" s="58"/>
      <c r="H622" s="58"/>
      <c r="I622" s="58"/>
      <c r="J622" s="58"/>
      <c r="K622" s="58"/>
      <c r="L622" s="59">
        <f t="shared" si="59"/>
        <v>0</v>
      </c>
      <c r="M622" s="68"/>
      <c r="N622" s="68"/>
      <c r="O622" s="68"/>
      <c r="P622" s="68"/>
      <c r="Q622" s="99" t="e">
        <f t="shared" si="60"/>
        <v>#DIV/0!</v>
      </c>
      <c r="R622" s="100">
        <f t="shared" si="61"/>
        <v>0.43387671059875982</v>
      </c>
      <c r="S622" s="83"/>
      <c r="T622" s="83"/>
      <c r="U622" s="101">
        <f t="shared" si="62"/>
        <v>2021.2824107652905</v>
      </c>
      <c r="V622" s="45"/>
      <c r="W622" s="45"/>
      <c r="X622" s="45"/>
      <c r="Y622" s="45"/>
      <c r="Z622" s="45"/>
      <c r="AA622" s="45"/>
    </row>
    <row r="623" spans="2:27" x14ac:dyDescent="0.45">
      <c r="B623" s="45" t="s">
        <v>429</v>
      </c>
      <c r="C623" s="90"/>
      <c r="D623" s="56"/>
      <c r="E623" s="57"/>
      <c r="F623" s="58"/>
      <c r="G623" s="58"/>
      <c r="H623" s="58"/>
      <c r="I623" s="58"/>
      <c r="J623" s="58"/>
      <c r="K623" s="58"/>
      <c r="L623" s="59">
        <f t="shared" si="59"/>
        <v>0</v>
      </c>
      <c r="M623" s="68"/>
      <c r="N623" s="68"/>
      <c r="O623" s="68"/>
      <c r="P623" s="68"/>
      <c r="Q623" s="99" t="e">
        <f t="shared" si="60"/>
        <v>#DIV/0!</v>
      </c>
      <c r="R623" s="100">
        <f t="shared" si="61"/>
        <v>0.43387671059875982</v>
      </c>
      <c r="S623" s="83"/>
      <c r="T623" s="83"/>
      <c r="U623" s="101">
        <f t="shared" si="62"/>
        <v>2021.2824107652905</v>
      </c>
      <c r="V623" s="45"/>
      <c r="W623" s="45"/>
      <c r="X623" s="45"/>
      <c r="Y623" s="45"/>
      <c r="Z623" s="45"/>
      <c r="AA623" s="45"/>
    </row>
    <row r="624" spans="2:27" x14ac:dyDescent="0.45">
      <c r="B624" s="45" t="s">
        <v>430</v>
      </c>
      <c r="C624" s="90"/>
      <c r="D624" s="56"/>
      <c r="E624" s="80"/>
      <c r="F624" s="58"/>
      <c r="G624" s="58"/>
      <c r="H624" s="58"/>
      <c r="I624" s="58"/>
      <c r="J624" s="58"/>
      <c r="K624" s="58"/>
      <c r="L624" s="59">
        <f t="shared" si="59"/>
        <v>0</v>
      </c>
      <c r="M624" s="68"/>
      <c r="N624" s="68"/>
      <c r="O624" s="68"/>
      <c r="P624" s="68"/>
      <c r="Q624" s="99" t="e">
        <f t="shared" si="60"/>
        <v>#DIV/0!</v>
      </c>
      <c r="R624" s="100">
        <f t="shared" si="61"/>
        <v>0.43387671059875982</v>
      </c>
      <c r="S624" s="83"/>
      <c r="T624" s="83"/>
      <c r="U624" s="101">
        <f t="shared" si="62"/>
        <v>2021.2824107652905</v>
      </c>
      <c r="V624" s="45"/>
      <c r="W624" s="45"/>
      <c r="X624" s="45"/>
      <c r="Y624" s="45"/>
      <c r="Z624" s="45"/>
      <c r="AA624" s="45"/>
    </row>
    <row r="625" spans="2:27" x14ac:dyDescent="0.45">
      <c r="B625" s="45" t="s">
        <v>431</v>
      </c>
      <c r="C625" s="90"/>
      <c r="D625" s="56"/>
      <c r="E625" s="84"/>
      <c r="F625" s="58"/>
      <c r="G625" s="58"/>
      <c r="H625" s="58"/>
      <c r="I625" s="58"/>
      <c r="J625" s="58"/>
      <c r="K625" s="58"/>
      <c r="L625" s="59">
        <f t="shared" si="59"/>
        <v>0</v>
      </c>
      <c r="M625" s="68"/>
      <c r="N625" s="68"/>
      <c r="O625" s="68"/>
      <c r="P625" s="68"/>
      <c r="Q625" s="99" t="e">
        <f t="shared" si="60"/>
        <v>#DIV/0!</v>
      </c>
      <c r="R625" s="100">
        <f t="shared" si="61"/>
        <v>0.43387671059875982</v>
      </c>
      <c r="S625" s="83"/>
      <c r="T625" s="83"/>
      <c r="U625" s="101">
        <f t="shared" si="62"/>
        <v>2021.2824107652905</v>
      </c>
      <c r="V625" s="45"/>
      <c r="W625" s="45"/>
      <c r="X625" s="45"/>
      <c r="Y625" s="45"/>
      <c r="Z625" s="45"/>
      <c r="AA625" s="45"/>
    </row>
    <row r="626" spans="2:27" x14ac:dyDescent="0.45">
      <c r="B626" s="45" t="s">
        <v>432</v>
      </c>
      <c r="C626" s="90"/>
      <c r="D626" s="56"/>
      <c r="E626" s="57"/>
      <c r="F626" s="58"/>
      <c r="G626" s="58"/>
      <c r="H626" s="58"/>
      <c r="I626" s="58"/>
      <c r="J626" s="58"/>
      <c r="K626" s="58"/>
      <c r="L626" s="59">
        <f t="shared" si="59"/>
        <v>0</v>
      </c>
      <c r="M626" s="68"/>
      <c r="N626" s="68"/>
      <c r="O626" s="68"/>
      <c r="P626" s="68"/>
      <c r="Q626" s="99" t="e">
        <f t="shared" si="60"/>
        <v>#DIV/0!</v>
      </c>
      <c r="R626" s="100">
        <f t="shared" si="61"/>
        <v>0.43387671059875982</v>
      </c>
      <c r="S626" s="83"/>
      <c r="T626" s="83"/>
      <c r="U626" s="101">
        <f t="shared" si="62"/>
        <v>2021.2824107652905</v>
      </c>
      <c r="V626" s="45"/>
      <c r="W626" s="45"/>
      <c r="X626" s="45"/>
      <c r="Y626" s="45"/>
      <c r="Z626" s="45"/>
      <c r="AA626" s="45"/>
    </row>
    <row r="627" spans="2:27" x14ac:dyDescent="0.45">
      <c r="B627" s="45" t="s">
        <v>433</v>
      </c>
      <c r="C627" s="90"/>
      <c r="D627" s="56"/>
      <c r="E627" s="80"/>
      <c r="F627" s="58"/>
      <c r="G627" s="58"/>
      <c r="H627" s="58"/>
      <c r="I627" s="58"/>
      <c r="J627" s="58"/>
      <c r="K627" s="58"/>
      <c r="L627" s="59">
        <f t="shared" si="59"/>
        <v>0</v>
      </c>
      <c r="M627" s="68"/>
      <c r="N627" s="68"/>
      <c r="O627" s="68"/>
      <c r="P627" s="68"/>
      <c r="Q627" s="99" t="e">
        <f t="shared" si="60"/>
        <v>#DIV/0!</v>
      </c>
      <c r="R627" s="100">
        <f t="shared" si="61"/>
        <v>0.43387671059875982</v>
      </c>
      <c r="S627" s="83"/>
      <c r="T627" s="83"/>
      <c r="U627" s="101">
        <f t="shared" si="62"/>
        <v>2021.2824107652905</v>
      </c>
      <c r="V627" s="45"/>
      <c r="W627" s="45"/>
      <c r="X627" s="45"/>
      <c r="Y627" s="45"/>
      <c r="Z627" s="45"/>
      <c r="AA627" s="45"/>
    </row>
    <row r="628" spans="2:27" x14ac:dyDescent="0.45">
      <c r="B628" s="45" t="s">
        <v>434</v>
      </c>
      <c r="C628" s="90"/>
      <c r="D628" s="56"/>
      <c r="E628" s="84"/>
      <c r="F628" s="58"/>
      <c r="G628" s="58"/>
      <c r="H628" s="58"/>
      <c r="I628" s="58"/>
      <c r="J628" s="58"/>
      <c r="K628" s="58"/>
      <c r="L628" s="59">
        <f t="shared" si="59"/>
        <v>0</v>
      </c>
      <c r="M628" s="68"/>
      <c r="N628" s="68"/>
      <c r="O628" s="68"/>
      <c r="P628" s="68"/>
      <c r="Q628" s="99" t="e">
        <f t="shared" si="60"/>
        <v>#DIV/0!</v>
      </c>
      <c r="R628" s="100">
        <f t="shared" si="61"/>
        <v>0.43387671059875982</v>
      </c>
      <c r="S628" s="83"/>
      <c r="T628" s="83"/>
      <c r="U628" s="101">
        <f t="shared" si="62"/>
        <v>2021.2824107652905</v>
      </c>
      <c r="V628" s="45"/>
      <c r="W628" s="45"/>
      <c r="X628" s="45"/>
      <c r="Y628" s="45"/>
      <c r="Z628" s="45"/>
      <c r="AA628" s="45"/>
    </row>
    <row r="629" spans="2:27" x14ac:dyDescent="0.45">
      <c r="B629" s="45" t="s">
        <v>435</v>
      </c>
      <c r="C629" s="90"/>
      <c r="D629" s="56"/>
      <c r="E629" s="57"/>
      <c r="F629" s="58"/>
      <c r="G629" s="58"/>
      <c r="H629" s="58"/>
      <c r="I629" s="58"/>
      <c r="J629" s="58"/>
      <c r="K629" s="58"/>
      <c r="L629" s="59">
        <f t="shared" si="59"/>
        <v>0</v>
      </c>
      <c r="M629" s="68"/>
      <c r="N629" s="68"/>
      <c r="O629" s="68"/>
      <c r="P629" s="68"/>
      <c r="Q629" s="99" t="e">
        <f t="shared" si="60"/>
        <v>#DIV/0!</v>
      </c>
      <c r="R629" s="100">
        <f t="shared" si="61"/>
        <v>0.43387671059875982</v>
      </c>
      <c r="S629" s="83"/>
      <c r="T629" s="83"/>
      <c r="U629" s="101">
        <f t="shared" si="62"/>
        <v>2021.2824107652905</v>
      </c>
      <c r="V629" s="45"/>
      <c r="W629" s="45"/>
      <c r="X629" s="45"/>
      <c r="Y629" s="45"/>
      <c r="Z629" s="45"/>
      <c r="AA629" s="45"/>
    </row>
    <row r="630" spans="2:27" x14ac:dyDescent="0.45">
      <c r="B630" s="45" t="s">
        <v>436</v>
      </c>
      <c r="C630" s="90"/>
      <c r="D630" s="56"/>
      <c r="E630" s="80"/>
      <c r="F630" s="58"/>
      <c r="G630" s="58"/>
      <c r="H630" s="58"/>
      <c r="I630" s="58"/>
      <c r="J630" s="58"/>
      <c r="K630" s="58"/>
      <c r="L630" s="59">
        <f t="shared" si="59"/>
        <v>0</v>
      </c>
      <c r="M630" s="68"/>
      <c r="N630" s="68"/>
      <c r="O630" s="68"/>
      <c r="P630" s="68"/>
      <c r="Q630" s="99" t="e">
        <f t="shared" si="60"/>
        <v>#DIV/0!</v>
      </c>
      <c r="R630" s="100">
        <f t="shared" si="61"/>
        <v>0.43387671059875982</v>
      </c>
      <c r="S630" s="83"/>
      <c r="T630" s="83"/>
      <c r="U630" s="101">
        <f t="shared" si="62"/>
        <v>2021.2824107652905</v>
      </c>
      <c r="V630" s="45"/>
      <c r="W630" s="45"/>
      <c r="X630" s="45"/>
      <c r="Y630" s="45"/>
      <c r="Z630" s="45"/>
      <c r="AA630" s="45"/>
    </row>
    <row r="631" spans="2:27" x14ac:dyDescent="0.45">
      <c r="B631" s="45" t="s">
        <v>437</v>
      </c>
      <c r="C631" s="90"/>
      <c r="D631" s="56"/>
      <c r="E631" s="84"/>
      <c r="F631" s="58"/>
      <c r="G631" s="58"/>
      <c r="H631" s="58"/>
      <c r="I631" s="58"/>
      <c r="J631" s="58"/>
      <c r="K631" s="58"/>
      <c r="L631" s="59">
        <f t="shared" si="59"/>
        <v>0</v>
      </c>
      <c r="M631" s="68"/>
      <c r="N631" s="68"/>
      <c r="O631" s="68"/>
      <c r="P631" s="68"/>
      <c r="Q631" s="99" t="e">
        <f t="shared" si="60"/>
        <v>#DIV/0!</v>
      </c>
      <c r="R631" s="100">
        <f t="shared" si="61"/>
        <v>0.43387671059875982</v>
      </c>
      <c r="S631" s="83"/>
      <c r="T631" s="83"/>
      <c r="U631" s="101">
        <f t="shared" si="62"/>
        <v>2021.2824107652905</v>
      </c>
      <c r="V631" s="45"/>
      <c r="W631" s="45"/>
      <c r="X631" s="45"/>
      <c r="Y631" s="45"/>
      <c r="Z631" s="45"/>
      <c r="AA631" s="45"/>
    </row>
    <row r="632" spans="2:27" x14ac:dyDescent="0.45">
      <c r="B632" s="45" t="s">
        <v>438</v>
      </c>
      <c r="C632" s="90"/>
      <c r="D632" s="56"/>
      <c r="E632" s="57"/>
      <c r="F632" s="58"/>
      <c r="G632" s="58"/>
      <c r="H632" s="58"/>
      <c r="I632" s="58"/>
      <c r="J632" s="58"/>
      <c r="K632" s="58"/>
      <c r="L632" s="59">
        <f t="shared" si="59"/>
        <v>0</v>
      </c>
      <c r="M632" s="68"/>
      <c r="N632" s="68"/>
      <c r="O632" s="68"/>
      <c r="P632" s="68"/>
      <c r="Q632" s="99" t="e">
        <f t="shared" si="60"/>
        <v>#DIV/0!</v>
      </c>
      <c r="R632" s="100">
        <f t="shared" si="61"/>
        <v>0.43387671059875982</v>
      </c>
      <c r="S632" s="83"/>
      <c r="T632" s="83"/>
      <c r="U632" s="101">
        <f t="shared" si="62"/>
        <v>2021.2824107652905</v>
      </c>
      <c r="V632" s="45"/>
      <c r="W632" s="45"/>
      <c r="X632" s="45"/>
      <c r="Y632" s="45"/>
      <c r="Z632" s="45"/>
      <c r="AA632" s="45"/>
    </row>
    <row r="633" spans="2:27" x14ac:dyDescent="0.45">
      <c r="B633" s="45" t="s">
        <v>439</v>
      </c>
      <c r="C633" s="90"/>
      <c r="D633" s="56"/>
      <c r="E633" s="80"/>
      <c r="F633" s="58"/>
      <c r="G633" s="58"/>
      <c r="H633" s="58"/>
      <c r="I633" s="58"/>
      <c r="J633" s="58"/>
      <c r="K633" s="58"/>
      <c r="L633" s="59">
        <f t="shared" si="59"/>
        <v>0</v>
      </c>
      <c r="M633" s="68"/>
      <c r="N633" s="68"/>
      <c r="O633" s="68"/>
      <c r="P633" s="68"/>
      <c r="Q633" s="99" t="e">
        <f t="shared" si="60"/>
        <v>#DIV/0!</v>
      </c>
      <c r="R633" s="100">
        <f t="shared" si="61"/>
        <v>0.43387671059875982</v>
      </c>
      <c r="S633" s="83"/>
      <c r="T633" s="83"/>
      <c r="U633" s="101">
        <f t="shared" si="62"/>
        <v>2021.2824107652905</v>
      </c>
      <c r="V633" s="45"/>
      <c r="W633" s="45"/>
      <c r="X633" s="45"/>
      <c r="Y633" s="45"/>
      <c r="Z633" s="45"/>
      <c r="AA633" s="45"/>
    </row>
    <row r="634" spans="2:27" x14ac:dyDescent="0.45">
      <c r="B634" s="45" t="s">
        <v>440</v>
      </c>
      <c r="C634" s="90"/>
      <c r="D634" s="56"/>
      <c r="E634" s="84"/>
      <c r="F634" s="58"/>
      <c r="G634" s="58"/>
      <c r="H634" s="58"/>
      <c r="I634" s="58"/>
      <c r="J634" s="58"/>
      <c r="K634" s="58"/>
      <c r="L634" s="59">
        <f t="shared" si="59"/>
        <v>0</v>
      </c>
      <c r="M634" s="68"/>
      <c r="N634" s="68"/>
      <c r="O634" s="68"/>
      <c r="P634" s="68"/>
      <c r="Q634" s="99" t="e">
        <f t="shared" si="60"/>
        <v>#DIV/0!</v>
      </c>
      <c r="R634" s="100">
        <f t="shared" si="61"/>
        <v>0.43387671059875982</v>
      </c>
      <c r="S634" s="83"/>
      <c r="T634" s="83"/>
      <c r="U634" s="101">
        <f t="shared" si="62"/>
        <v>2021.2824107652905</v>
      </c>
      <c r="V634" s="45"/>
      <c r="W634" s="45"/>
      <c r="X634" s="45"/>
      <c r="Y634" s="45"/>
      <c r="Z634" s="45"/>
      <c r="AA634" s="45"/>
    </row>
    <row r="635" spans="2:27" x14ac:dyDescent="0.45">
      <c r="B635" s="45" t="s">
        <v>441</v>
      </c>
      <c r="C635" s="90"/>
      <c r="D635" s="56"/>
      <c r="E635" s="57"/>
      <c r="F635" s="58"/>
      <c r="G635" s="58"/>
      <c r="H635" s="58"/>
      <c r="I635" s="58"/>
      <c r="J635" s="58"/>
      <c r="K635" s="58"/>
      <c r="L635" s="59">
        <f t="shared" si="59"/>
        <v>0</v>
      </c>
      <c r="M635" s="68"/>
      <c r="N635" s="68"/>
      <c r="O635" s="68"/>
      <c r="P635" s="68"/>
      <c r="Q635" s="99" t="e">
        <f t="shared" si="60"/>
        <v>#DIV/0!</v>
      </c>
      <c r="R635" s="100">
        <f t="shared" si="61"/>
        <v>0.43387671059875982</v>
      </c>
      <c r="S635" s="83"/>
      <c r="T635" s="83"/>
      <c r="U635" s="101">
        <f t="shared" si="62"/>
        <v>2021.2824107652905</v>
      </c>
      <c r="V635" s="45"/>
      <c r="W635" s="45"/>
      <c r="X635" s="45"/>
      <c r="Y635" s="45"/>
      <c r="Z635" s="45"/>
      <c r="AA635" s="45"/>
    </row>
    <row r="636" spans="2:27" x14ac:dyDescent="0.45">
      <c r="B636" s="45" t="s">
        <v>442</v>
      </c>
      <c r="C636" s="90"/>
      <c r="D636" s="56"/>
      <c r="E636" s="80"/>
      <c r="F636" s="58"/>
      <c r="G636" s="58"/>
      <c r="H636" s="58"/>
      <c r="I636" s="58"/>
      <c r="J636" s="58"/>
      <c r="K636" s="58"/>
      <c r="L636" s="59">
        <f t="shared" si="59"/>
        <v>0</v>
      </c>
      <c r="M636" s="68"/>
      <c r="N636" s="68"/>
      <c r="O636" s="68"/>
      <c r="P636" s="68"/>
      <c r="Q636" s="99" t="e">
        <f t="shared" si="60"/>
        <v>#DIV/0!</v>
      </c>
      <c r="R636" s="100">
        <f t="shared" si="61"/>
        <v>0.43387671059875982</v>
      </c>
      <c r="S636" s="83"/>
      <c r="T636" s="83"/>
      <c r="U636" s="101">
        <f t="shared" si="62"/>
        <v>2021.2824107652905</v>
      </c>
      <c r="V636" s="45"/>
      <c r="W636" s="45"/>
      <c r="X636" s="45"/>
      <c r="Y636" s="45"/>
      <c r="Z636" s="45"/>
      <c r="AA636" s="45"/>
    </row>
    <row r="637" spans="2:27" x14ac:dyDescent="0.45">
      <c r="B637" s="45" t="s">
        <v>443</v>
      </c>
      <c r="C637" s="90"/>
      <c r="D637" s="56"/>
      <c r="E637" s="84"/>
      <c r="F637" s="58"/>
      <c r="G637" s="58"/>
      <c r="H637" s="58"/>
      <c r="I637" s="58"/>
      <c r="J637" s="58"/>
      <c r="K637" s="58"/>
      <c r="L637" s="59">
        <f t="shared" si="59"/>
        <v>0</v>
      </c>
      <c r="M637" s="68"/>
      <c r="N637" s="68"/>
      <c r="O637" s="68"/>
      <c r="P637" s="68"/>
      <c r="Q637" s="99" t="e">
        <f t="shared" si="60"/>
        <v>#DIV/0!</v>
      </c>
      <c r="R637" s="100">
        <f t="shared" si="61"/>
        <v>0.43387671059875982</v>
      </c>
      <c r="S637" s="83"/>
      <c r="T637" s="83"/>
      <c r="U637" s="101">
        <f t="shared" si="62"/>
        <v>2021.2824107652905</v>
      </c>
      <c r="V637" s="45"/>
      <c r="W637" s="45"/>
      <c r="X637" s="45"/>
      <c r="Y637" s="45"/>
      <c r="Z637" s="45"/>
      <c r="AA637" s="45"/>
    </row>
    <row r="638" spans="2:27" x14ac:dyDescent="0.45">
      <c r="B638" s="45" t="s">
        <v>444</v>
      </c>
      <c r="C638" s="90"/>
      <c r="D638" s="56"/>
      <c r="E638" s="57"/>
      <c r="F638" s="58"/>
      <c r="G638" s="58"/>
      <c r="H638" s="58"/>
      <c r="I638" s="58"/>
      <c r="J638" s="58"/>
      <c r="K638" s="58"/>
      <c r="L638" s="59">
        <f t="shared" si="59"/>
        <v>0</v>
      </c>
      <c r="M638" s="68"/>
      <c r="N638" s="68"/>
      <c r="O638" s="68"/>
      <c r="P638" s="68"/>
      <c r="Q638" s="99" t="e">
        <f t="shared" si="60"/>
        <v>#DIV/0!</v>
      </c>
      <c r="R638" s="100">
        <f t="shared" si="61"/>
        <v>0.43387671059875982</v>
      </c>
      <c r="S638" s="83"/>
      <c r="T638" s="83"/>
      <c r="U638" s="101">
        <f t="shared" si="62"/>
        <v>2021.2824107652905</v>
      </c>
      <c r="V638" s="45"/>
      <c r="W638" s="45"/>
      <c r="X638" s="45"/>
      <c r="Y638" s="45"/>
      <c r="Z638" s="45"/>
      <c r="AA638" s="45"/>
    </row>
    <row r="639" spans="2:27" x14ac:dyDescent="0.45">
      <c r="B639" s="45" t="s">
        <v>445</v>
      </c>
      <c r="C639" s="90"/>
      <c r="D639" s="56"/>
      <c r="E639" s="80"/>
      <c r="F639" s="58"/>
      <c r="G639" s="58"/>
      <c r="H639" s="58"/>
      <c r="I639" s="58"/>
      <c r="J639" s="58"/>
      <c r="K639" s="58"/>
      <c r="L639" s="59">
        <f t="shared" si="59"/>
        <v>0</v>
      </c>
      <c r="M639" s="68"/>
      <c r="N639" s="68"/>
      <c r="O639" s="68"/>
      <c r="P639" s="68"/>
      <c r="Q639" s="99" t="e">
        <f t="shared" si="60"/>
        <v>#DIV/0!</v>
      </c>
      <c r="R639" s="100">
        <f t="shared" si="61"/>
        <v>0.43387671059875982</v>
      </c>
      <c r="S639" s="83"/>
      <c r="T639" s="83"/>
      <c r="U639" s="101">
        <f t="shared" si="62"/>
        <v>2021.2824107652905</v>
      </c>
      <c r="V639" s="45"/>
      <c r="W639" s="45"/>
      <c r="X639" s="45"/>
      <c r="Y639" s="45"/>
      <c r="Z639" s="45"/>
      <c r="AA639" s="45"/>
    </row>
    <row r="640" spans="2:27" x14ac:dyDescent="0.45">
      <c r="B640" s="45" t="s">
        <v>446</v>
      </c>
      <c r="C640" s="90"/>
      <c r="D640" s="56"/>
      <c r="E640" s="84"/>
      <c r="F640" s="58"/>
      <c r="G640" s="58"/>
      <c r="H640" s="58"/>
      <c r="I640" s="58"/>
      <c r="J640" s="58"/>
      <c r="K640" s="58"/>
      <c r="L640" s="59">
        <f t="shared" si="59"/>
        <v>0</v>
      </c>
      <c r="M640" s="68"/>
      <c r="N640" s="68"/>
      <c r="O640" s="68"/>
      <c r="P640" s="68"/>
      <c r="Q640" s="99" t="e">
        <f t="shared" si="60"/>
        <v>#DIV/0!</v>
      </c>
      <c r="R640" s="100">
        <f t="shared" si="61"/>
        <v>0.43387671059875982</v>
      </c>
      <c r="S640" s="83"/>
      <c r="T640" s="83"/>
      <c r="U640" s="101">
        <f t="shared" si="62"/>
        <v>2021.2824107652905</v>
      </c>
      <c r="V640" s="45"/>
      <c r="W640" s="45"/>
      <c r="X640" s="45"/>
      <c r="Y640" s="45"/>
      <c r="Z640" s="45"/>
      <c r="AA640" s="45"/>
    </row>
    <row r="641" spans="2:27" x14ac:dyDescent="0.45">
      <c r="B641" s="45" t="s">
        <v>447</v>
      </c>
      <c r="C641" s="90"/>
      <c r="D641" s="56"/>
      <c r="E641" s="57"/>
      <c r="F641" s="58"/>
      <c r="G641" s="58"/>
      <c r="H641" s="58"/>
      <c r="I641" s="58"/>
      <c r="J641" s="58"/>
      <c r="K641" s="58"/>
      <c r="L641" s="59">
        <f t="shared" si="59"/>
        <v>0</v>
      </c>
      <c r="M641" s="68"/>
      <c r="N641" s="68"/>
      <c r="O641" s="68"/>
      <c r="P641" s="68"/>
      <c r="Q641" s="99" t="e">
        <f t="shared" si="60"/>
        <v>#DIV/0!</v>
      </c>
      <c r="R641" s="100">
        <f t="shared" si="61"/>
        <v>0.43387671059875982</v>
      </c>
      <c r="S641" s="83"/>
      <c r="T641" s="83"/>
      <c r="U641" s="101">
        <f t="shared" si="62"/>
        <v>2021.2824107652905</v>
      </c>
      <c r="V641" s="45"/>
      <c r="W641" s="45"/>
      <c r="X641" s="45"/>
      <c r="Y641" s="45"/>
      <c r="Z641" s="45"/>
      <c r="AA641" s="45"/>
    </row>
    <row r="642" spans="2:27" x14ac:dyDescent="0.45">
      <c r="B642" s="45" t="s">
        <v>448</v>
      </c>
      <c r="C642" s="90"/>
      <c r="D642" s="56"/>
      <c r="E642" s="80"/>
      <c r="F642" s="58"/>
      <c r="G642" s="58"/>
      <c r="H642" s="58"/>
      <c r="I642" s="58"/>
      <c r="J642" s="58"/>
      <c r="K642" s="58"/>
      <c r="L642" s="59">
        <f t="shared" si="59"/>
        <v>0</v>
      </c>
      <c r="M642" s="68"/>
      <c r="N642" s="68"/>
      <c r="O642" s="68"/>
      <c r="P642" s="68"/>
      <c r="Q642" s="99" t="e">
        <f t="shared" si="60"/>
        <v>#DIV/0!</v>
      </c>
      <c r="R642" s="100">
        <f t="shared" si="61"/>
        <v>0.43387671059875982</v>
      </c>
      <c r="S642" s="83"/>
      <c r="T642" s="83"/>
      <c r="U642" s="101">
        <f t="shared" si="62"/>
        <v>2021.2824107652905</v>
      </c>
      <c r="V642" s="45"/>
      <c r="W642" s="45"/>
      <c r="X642" s="45"/>
      <c r="Y642" s="45"/>
      <c r="Z642" s="45"/>
      <c r="AA642" s="45"/>
    </row>
    <row r="643" spans="2:27" x14ac:dyDescent="0.45">
      <c r="B643" s="45" t="s">
        <v>449</v>
      </c>
      <c r="C643" s="90"/>
      <c r="D643" s="56"/>
      <c r="E643" s="84"/>
      <c r="F643" s="58"/>
      <c r="G643" s="58"/>
      <c r="H643" s="58"/>
      <c r="I643" s="58"/>
      <c r="J643" s="58"/>
      <c r="K643" s="58"/>
      <c r="L643" s="59">
        <f t="shared" si="59"/>
        <v>0</v>
      </c>
      <c r="M643" s="68"/>
      <c r="N643" s="68"/>
      <c r="O643" s="68"/>
      <c r="P643" s="68"/>
      <c r="Q643" s="99" t="e">
        <f t="shared" si="60"/>
        <v>#DIV/0!</v>
      </c>
      <c r="R643" s="100">
        <f t="shared" si="61"/>
        <v>0.43387671059875982</v>
      </c>
      <c r="S643" s="83"/>
      <c r="T643" s="83"/>
      <c r="U643" s="101">
        <f t="shared" si="62"/>
        <v>2021.2824107652905</v>
      </c>
      <c r="V643" s="45"/>
      <c r="W643" s="45"/>
      <c r="X643" s="45"/>
      <c r="Y643" s="45"/>
      <c r="Z643" s="45"/>
      <c r="AA643" s="45"/>
    </row>
    <row r="644" spans="2:27" x14ac:dyDescent="0.45">
      <c r="B644" s="45" t="s">
        <v>450</v>
      </c>
      <c r="C644" s="90"/>
      <c r="D644" s="56"/>
      <c r="E644" s="57"/>
      <c r="F644" s="58"/>
      <c r="G644" s="58"/>
      <c r="H644" s="58"/>
      <c r="I644" s="58"/>
      <c r="J644" s="58"/>
      <c r="K644" s="58"/>
      <c r="L644" s="59">
        <f t="shared" si="59"/>
        <v>0</v>
      </c>
      <c r="M644" s="68"/>
      <c r="N644" s="68"/>
      <c r="O644" s="68"/>
      <c r="P644" s="68"/>
      <c r="Q644" s="99" t="e">
        <f t="shared" si="60"/>
        <v>#DIV/0!</v>
      </c>
      <c r="R644" s="100">
        <f t="shared" si="61"/>
        <v>0.43387671059875982</v>
      </c>
      <c r="S644" s="83"/>
      <c r="T644" s="83"/>
      <c r="U644" s="101">
        <f t="shared" si="62"/>
        <v>2021.2824107652905</v>
      </c>
      <c r="V644" s="45"/>
      <c r="W644" s="45"/>
      <c r="X644" s="45"/>
      <c r="Y644" s="45"/>
      <c r="Z644" s="45"/>
      <c r="AA644" s="45"/>
    </row>
    <row r="645" spans="2:27" x14ac:dyDescent="0.45">
      <c r="B645" s="45" t="s">
        <v>451</v>
      </c>
      <c r="C645" s="90"/>
      <c r="D645" s="56"/>
      <c r="E645" s="80"/>
      <c r="F645" s="58"/>
      <c r="G645" s="58"/>
      <c r="H645" s="58"/>
      <c r="I645" s="58"/>
      <c r="J645" s="58"/>
      <c r="K645" s="58"/>
      <c r="L645" s="59">
        <f t="shared" si="59"/>
        <v>0</v>
      </c>
      <c r="M645" s="68"/>
      <c r="N645" s="68"/>
      <c r="O645" s="68"/>
      <c r="P645" s="68"/>
      <c r="Q645" s="99" t="e">
        <f t="shared" si="60"/>
        <v>#DIV/0!</v>
      </c>
      <c r="R645" s="100">
        <f t="shared" si="61"/>
        <v>0.43387671059875982</v>
      </c>
      <c r="S645" s="83"/>
      <c r="T645" s="83"/>
      <c r="U645" s="101">
        <f t="shared" si="62"/>
        <v>2021.2824107652905</v>
      </c>
      <c r="V645" s="45"/>
      <c r="W645" s="45"/>
      <c r="X645" s="45"/>
      <c r="Y645" s="45"/>
      <c r="Z645" s="45"/>
      <c r="AA645" s="45"/>
    </row>
    <row r="646" spans="2:27" x14ac:dyDescent="0.45">
      <c r="B646" s="45" t="s">
        <v>452</v>
      </c>
      <c r="C646" s="90"/>
      <c r="D646" s="56"/>
      <c r="E646" s="84"/>
      <c r="F646" s="58"/>
      <c r="G646" s="58"/>
      <c r="H646" s="58"/>
      <c r="I646" s="58"/>
      <c r="J646" s="58"/>
      <c r="K646" s="58"/>
      <c r="L646" s="59">
        <f t="shared" si="59"/>
        <v>0</v>
      </c>
      <c r="M646" s="68"/>
      <c r="N646" s="68"/>
      <c r="O646" s="68"/>
      <c r="P646" s="68"/>
      <c r="Q646" s="99" t="e">
        <f t="shared" si="60"/>
        <v>#DIV/0!</v>
      </c>
      <c r="R646" s="100">
        <f t="shared" si="61"/>
        <v>0.43387671059875982</v>
      </c>
      <c r="S646" s="83"/>
      <c r="T646" s="83"/>
      <c r="U646" s="101">
        <f t="shared" si="62"/>
        <v>2021.2824107652905</v>
      </c>
      <c r="V646" s="45"/>
      <c r="W646" s="45"/>
      <c r="X646" s="45"/>
      <c r="Y646" s="45"/>
      <c r="Z646" s="45"/>
      <c r="AA646" s="45"/>
    </row>
    <row r="647" spans="2:27" x14ac:dyDescent="0.45">
      <c r="B647" s="45" t="s">
        <v>453</v>
      </c>
      <c r="C647" s="90"/>
      <c r="D647" s="56"/>
      <c r="E647" s="57"/>
      <c r="F647" s="58"/>
      <c r="G647" s="58"/>
      <c r="H647" s="58"/>
      <c r="I647" s="58"/>
      <c r="J647" s="58"/>
      <c r="K647" s="58"/>
      <c r="L647" s="59">
        <f t="shared" si="59"/>
        <v>0</v>
      </c>
      <c r="M647" s="68"/>
      <c r="N647" s="68"/>
      <c r="O647" s="68"/>
      <c r="P647" s="68"/>
      <c r="Q647" s="99" t="e">
        <f t="shared" si="60"/>
        <v>#DIV/0!</v>
      </c>
      <c r="R647" s="100">
        <f t="shared" si="61"/>
        <v>0.43387671059875982</v>
      </c>
      <c r="S647" s="83"/>
      <c r="T647" s="83"/>
      <c r="U647" s="101">
        <f t="shared" si="62"/>
        <v>2021.2824107652905</v>
      </c>
      <c r="V647" s="45"/>
      <c r="W647" s="45"/>
      <c r="X647" s="45"/>
      <c r="Y647" s="45"/>
      <c r="Z647" s="45"/>
      <c r="AA647" s="45"/>
    </row>
    <row r="648" spans="2:27" x14ac:dyDescent="0.45">
      <c r="B648" s="45" t="s">
        <v>454</v>
      </c>
      <c r="C648" s="90"/>
      <c r="D648" s="56"/>
      <c r="E648" s="80"/>
      <c r="F648" s="58"/>
      <c r="G648" s="58"/>
      <c r="H648" s="58"/>
      <c r="I648" s="58"/>
      <c r="J648" s="58"/>
      <c r="K648" s="58"/>
      <c r="L648" s="59">
        <f t="shared" si="59"/>
        <v>0</v>
      </c>
      <c r="M648" s="68"/>
      <c r="N648" s="68"/>
      <c r="O648" s="68"/>
      <c r="P648" s="68"/>
      <c r="Q648" s="99" t="e">
        <f t="shared" si="60"/>
        <v>#DIV/0!</v>
      </c>
      <c r="R648" s="100">
        <f t="shared" si="61"/>
        <v>0.43387671059875982</v>
      </c>
      <c r="S648" s="83"/>
      <c r="T648" s="83"/>
      <c r="U648" s="101">
        <f t="shared" si="62"/>
        <v>2021.2824107652905</v>
      </c>
      <c r="V648" s="45"/>
      <c r="W648" s="45"/>
      <c r="X648" s="45"/>
      <c r="Y648" s="45"/>
      <c r="Z648" s="45"/>
      <c r="AA648" s="45"/>
    </row>
    <row r="649" spans="2:27" x14ac:dyDescent="0.45">
      <c r="B649" s="45" t="s">
        <v>455</v>
      </c>
      <c r="C649" s="90"/>
      <c r="D649" s="56"/>
      <c r="E649" s="84"/>
      <c r="F649" s="58"/>
      <c r="G649" s="58"/>
      <c r="H649" s="58"/>
      <c r="I649" s="58"/>
      <c r="J649" s="58"/>
      <c r="K649" s="58"/>
      <c r="L649" s="59">
        <f t="shared" si="59"/>
        <v>0</v>
      </c>
      <c r="M649" s="68"/>
      <c r="N649" s="68"/>
      <c r="O649" s="68"/>
      <c r="P649" s="68"/>
      <c r="Q649" s="99" t="e">
        <f t="shared" si="60"/>
        <v>#DIV/0!</v>
      </c>
      <c r="R649" s="100">
        <f t="shared" si="61"/>
        <v>0.43387671059875982</v>
      </c>
      <c r="S649" s="83"/>
      <c r="T649" s="83"/>
      <c r="U649" s="101">
        <f t="shared" si="62"/>
        <v>2021.2824107652905</v>
      </c>
      <c r="V649" s="45"/>
      <c r="W649" s="45"/>
      <c r="X649" s="45"/>
      <c r="Y649" s="45"/>
      <c r="Z649" s="45"/>
      <c r="AA649" s="45"/>
    </row>
    <row r="650" spans="2:27" x14ac:dyDescent="0.45">
      <c r="B650" s="45" t="s">
        <v>456</v>
      </c>
      <c r="C650" s="90"/>
      <c r="D650" s="56"/>
      <c r="E650" s="57"/>
      <c r="F650" s="58"/>
      <c r="G650" s="58"/>
      <c r="H650" s="58"/>
      <c r="I650" s="58"/>
      <c r="J650" s="58"/>
      <c r="K650" s="58"/>
      <c r="L650" s="59">
        <f t="shared" si="59"/>
        <v>0</v>
      </c>
      <c r="M650" s="68"/>
      <c r="N650" s="68"/>
      <c r="O650" s="68"/>
      <c r="P650" s="68"/>
      <c r="Q650" s="99" t="e">
        <f t="shared" si="60"/>
        <v>#DIV/0!</v>
      </c>
      <c r="R650" s="100">
        <f t="shared" si="61"/>
        <v>0.43387671059875982</v>
      </c>
      <c r="S650" s="83"/>
      <c r="T650" s="83"/>
      <c r="U650" s="101">
        <f t="shared" si="62"/>
        <v>2021.2824107652905</v>
      </c>
      <c r="V650" s="45"/>
      <c r="W650" s="45"/>
      <c r="X650" s="45"/>
      <c r="Y650" s="45"/>
      <c r="Z650" s="45"/>
      <c r="AA650" s="45"/>
    </row>
    <row r="651" spans="2:27" x14ac:dyDescent="0.45">
      <c r="B651" s="45" t="s">
        <v>457</v>
      </c>
      <c r="C651" s="90"/>
      <c r="D651" s="56"/>
      <c r="E651" s="80"/>
      <c r="F651" s="58"/>
      <c r="G651" s="58"/>
      <c r="H651" s="58"/>
      <c r="I651" s="58"/>
      <c r="J651" s="58"/>
      <c r="K651" s="58"/>
      <c r="L651" s="59">
        <f t="shared" si="59"/>
        <v>0</v>
      </c>
      <c r="M651" s="68"/>
      <c r="N651" s="68"/>
      <c r="O651" s="68"/>
      <c r="P651" s="68"/>
      <c r="Q651" s="99" t="e">
        <f t="shared" si="60"/>
        <v>#DIV/0!</v>
      </c>
      <c r="R651" s="100">
        <f t="shared" si="61"/>
        <v>0.43387671059875982</v>
      </c>
      <c r="S651" s="83"/>
      <c r="T651" s="83"/>
      <c r="U651" s="101">
        <f t="shared" si="62"/>
        <v>2021.2824107652905</v>
      </c>
      <c r="V651" s="45"/>
      <c r="W651" s="45"/>
      <c r="X651" s="45"/>
      <c r="Y651" s="45"/>
      <c r="Z651" s="45"/>
      <c r="AA651" s="45"/>
    </row>
    <row r="652" spans="2:27" x14ac:dyDescent="0.45">
      <c r="B652" s="45" t="s">
        <v>458</v>
      </c>
      <c r="C652" s="90"/>
      <c r="D652" s="56"/>
      <c r="E652" s="84"/>
      <c r="F652" s="58"/>
      <c r="G652" s="58"/>
      <c r="H652" s="58"/>
      <c r="I652" s="58"/>
      <c r="J652" s="58"/>
      <c r="K652" s="58"/>
      <c r="L652" s="59">
        <f t="shared" si="59"/>
        <v>0</v>
      </c>
      <c r="M652" s="68"/>
      <c r="N652" s="68"/>
      <c r="O652" s="68"/>
      <c r="P652" s="68"/>
      <c r="Q652" s="99" t="e">
        <f t="shared" si="60"/>
        <v>#DIV/0!</v>
      </c>
      <c r="R652" s="100">
        <f t="shared" si="61"/>
        <v>0.43387671059875982</v>
      </c>
      <c r="S652" s="83"/>
      <c r="T652" s="83"/>
      <c r="U652" s="101">
        <f t="shared" si="62"/>
        <v>2021.2824107652905</v>
      </c>
      <c r="V652" s="45"/>
      <c r="W652" s="45"/>
      <c r="X652" s="45"/>
      <c r="Y652" s="45"/>
      <c r="Z652" s="45"/>
      <c r="AA652" s="45"/>
    </row>
    <row r="653" spans="2:27" x14ac:dyDescent="0.45">
      <c r="B653" s="45" t="s">
        <v>459</v>
      </c>
      <c r="C653" s="90"/>
      <c r="D653" s="56"/>
      <c r="E653" s="57"/>
      <c r="F653" s="58"/>
      <c r="G653" s="58"/>
      <c r="H653" s="58"/>
      <c r="I653" s="58"/>
      <c r="J653" s="58"/>
      <c r="K653" s="58"/>
      <c r="L653" s="59">
        <f t="shared" si="59"/>
        <v>0</v>
      </c>
      <c r="M653" s="68"/>
      <c r="N653" s="68"/>
      <c r="O653" s="68"/>
      <c r="P653" s="68"/>
      <c r="Q653" s="99" t="e">
        <f t="shared" si="60"/>
        <v>#DIV/0!</v>
      </c>
      <c r="R653" s="100">
        <f t="shared" si="61"/>
        <v>0.43387671059875982</v>
      </c>
      <c r="S653" s="83"/>
      <c r="T653" s="83"/>
      <c r="U653" s="101">
        <f t="shared" si="62"/>
        <v>2021.2824107652905</v>
      </c>
      <c r="V653" s="45"/>
      <c r="W653" s="45"/>
      <c r="X653" s="45"/>
      <c r="Y653" s="45"/>
      <c r="Z653" s="45"/>
      <c r="AA653" s="45"/>
    </row>
    <row r="654" spans="2:27" x14ac:dyDescent="0.45">
      <c r="B654" s="45" t="s">
        <v>460</v>
      </c>
      <c r="C654" s="90"/>
      <c r="D654" s="56"/>
      <c r="E654" s="80"/>
      <c r="F654" s="58"/>
      <c r="G654" s="58"/>
      <c r="H654" s="58"/>
      <c r="I654" s="58"/>
      <c r="J654" s="58"/>
      <c r="K654" s="58"/>
      <c r="L654" s="59">
        <f t="shared" si="59"/>
        <v>0</v>
      </c>
      <c r="M654" s="68"/>
      <c r="N654" s="68"/>
      <c r="O654" s="68"/>
      <c r="P654" s="68"/>
      <c r="Q654" s="99" t="e">
        <f t="shared" si="60"/>
        <v>#DIV/0!</v>
      </c>
      <c r="R654" s="100">
        <f t="shared" si="61"/>
        <v>0.43387671059875982</v>
      </c>
      <c r="S654" s="83"/>
      <c r="T654" s="83"/>
      <c r="U654" s="101">
        <f t="shared" si="62"/>
        <v>2021.2824107652905</v>
      </c>
      <c r="V654" s="45"/>
      <c r="W654" s="45"/>
      <c r="X654" s="45"/>
      <c r="Y654" s="45"/>
      <c r="Z654" s="45"/>
      <c r="AA654" s="45"/>
    </row>
    <row r="655" spans="2:27" x14ac:dyDescent="0.45">
      <c r="B655" s="45" t="s">
        <v>461</v>
      </c>
      <c r="C655" s="90"/>
      <c r="D655" s="56"/>
      <c r="E655" s="84"/>
      <c r="F655" s="58"/>
      <c r="G655" s="58"/>
      <c r="H655" s="58"/>
      <c r="I655" s="58"/>
      <c r="J655" s="58"/>
      <c r="K655" s="58"/>
      <c r="L655" s="59">
        <f t="shared" si="59"/>
        <v>0</v>
      </c>
      <c r="M655" s="68"/>
      <c r="N655" s="68"/>
      <c r="O655" s="68"/>
      <c r="P655" s="68"/>
      <c r="Q655" s="99" t="e">
        <f t="shared" si="60"/>
        <v>#DIV/0!</v>
      </c>
      <c r="R655" s="100">
        <f t="shared" si="61"/>
        <v>0.43387671059875982</v>
      </c>
      <c r="S655" s="83"/>
      <c r="T655" s="83"/>
      <c r="U655" s="101">
        <f t="shared" si="62"/>
        <v>2021.2824107652905</v>
      </c>
      <c r="V655" s="45"/>
      <c r="W655" s="45"/>
      <c r="X655" s="45"/>
      <c r="Y655" s="45"/>
      <c r="Z655" s="45"/>
      <c r="AA655" s="45"/>
    </row>
    <row r="656" spans="2:27" x14ac:dyDescent="0.45">
      <c r="B656" s="45" t="s">
        <v>462</v>
      </c>
      <c r="C656" s="90"/>
      <c r="D656" s="56"/>
      <c r="E656" s="57"/>
      <c r="F656" s="58"/>
      <c r="G656" s="58"/>
      <c r="H656" s="58"/>
      <c r="I656" s="58"/>
      <c r="J656" s="58"/>
      <c r="K656" s="58"/>
      <c r="L656" s="59">
        <f t="shared" si="59"/>
        <v>0</v>
      </c>
      <c r="M656" s="68"/>
      <c r="N656" s="68"/>
      <c r="O656" s="68"/>
      <c r="P656" s="68"/>
      <c r="Q656" s="99" t="e">
        <f t="shared" si="60"/>
        <v>#DIV/0!</v>
      </c>
      <c r="R656" s="100">
        <f t="shared" si="61"/>
        <v>0.43387671059875982</v>
      </c>
      <c r="S656" s="83"/>
      <c r="T656" s="83"/>
      <c r="U656" s="101">
        <f t="shared" si="62"/>
        <v>2021.2824107652905</v>
      </c>
      <c r="V656" s="45"/>
      <c r="W656" s="45"/>
      <c r="X656" s="45"/>
      <c r="Y656" s="45"/>
      <c r="Z656" s="45"/>
      <c r="AA656" s="45"/>
    </row>
    <row r="657" spans="2:27" x14ac:dyDescent="0.45">
      <c r="B657" s="45" t="s">
        <v>463</v>
      </c>
      <c r="C657" s="90"/>
      <c r="D657" s="56"/>
      <c r="E657" s="80"/>
      <c r="F657" s="58"/>
      <c r="G657" s="58"/>
      <c r="H657" s="58"/>
      <c r="I657" s="58"/>
      <c r="J657" s="58"/>
      <c r="K657" s="58"/>
      <c r="L657" s="59">
        <f t="shared" si="59"/>
        <v>0</v>
      </c>
      <c r="M657" s="68"/>
      <c r="N657" s="68"/>
      <c r="O657" s="68"/>
      <c r="P657" s="68"/>
      <c r="Q657" s="99" t="e">
        <f t="shared" si="60"/>
        <v>#DIV/0!</v>
      </c>
      <c r="R657" s="100">
        <f t="shared" si="61"/>
        <v>0.43387671059875982</v>
      </c>
      <c r="S657" s="83"/>
      <c r="T657" s="83"/>
      <c r="U657" s="101">
        <f t="shared" si="62"/>
        <v>2021.2824107652905</v>
      </c>
      <c r="V657" s="45"/>
      <c r="W657" s="45"/>
      <c r="X657" s="45"/>
      <c r="Y657" s="45"/>
      <c r="Z657" s="45"/>
      <c r="AA657" s="45"/>
    </row>
    <row r="658" spans="2:27" x14ac:dyDescent="0.45">
      <c r="B658" s="45" t="s">
        <v>464</v>
      </c>
      <c r="C658" s="90"/>
      <c r="D658" s="56"/>
      <c r="E658" s="84"/>
      <c r="F658" s="58"/>
      <c r="G658" s="58"/>
      <c r="H658" s="58"/>
      <c r="I658" s="58"/>
      <c r="J658" s="58"/>
      <c r="K658" s="58"/>
      <c r="L658" s="59">
        <f t="shared" ref="L658:L697" si="63">1/2*((F658*I658+H658*K658+J658*G658)-(G658*H658+I658*J658+K658*F658))/0.1582*100</f>
        <v>0</v>
      </c>
      <c r="M658" s="68"/>
      <c r="N658" s="68"/>
      <c r="O658" s="68"/>
      <c r="P658" s="68"/>
      <c r="Q658" s="99" t="e">
        <f t="shared" ref="Q658:Q697" si="64">O658/P658</f>
        <v>#DIV/0!</v>
      </c>
      <c r="R658" s="100">
        <f t="shared" ref="R658:R697" si="65">SQRT(POWER(M658-$M$12,2)+POWER(N658-$N$12,2))</f>
        <v>0.43387671059875982</v>
      </c>
      <c r="S658" s="83"/>
      <c r="T658" s="83"/>
      <c r="U658" s="101">
        <f t="shared" ref="U658:U697" si="66">(-449*((M658-0.332)/(N658-0.1858))^3)+(3525*((M658-0.332)/(N658-0.1858))^2)+(-6823.3*(M658-0.332)/(N658-0.1858))+5520.33</f>
        <v>2021.2824107652905</v>
      </c>
      <c r="V658" s="45"/>
      <c r="W658" s="45"/>
      <c r="X658" s="45"/>
      <c r="Y658" s="45"/>
      <c r="Z658" s="45"/>
      <c r="AA658" s="45"/>
    </row>
    <row r="659" spans="2:27" x14ac:dyDescent="0.45">
      <c r="B659" s="45" t="s">
        <v>465</v>
      </c>
      <c r="C659" s="90"/>
      <c r="D659" s="56"/>
      <c r="E659" s="57"/>
      <c r="F659" s="58"/>
      <c r="G659" s="58"/>
      <c r="H659" s="58"/>
      <c r="I659" s="58"/>
      <c r="J659" s="58"/>
      <c r="K659" s="58"/>
      <c r="L659" s="59">
        <f t="shared" si="63"/>
        <v>0</v>
      </c>
      <c r="M659" s="68"/>
      <c r="N659" s="68"/>
      <c r="O659" s="68"/>
      <c r="P659" s="68"/>
      <c r="Q659" s="99" t="e">
        <f t="shared" si="64"/>
        <v>#DIV/0!</v>
      </c>
      <c r="R659" s="100">
        <f t="shared" si="65"/>
        <v>0.43387671059875982</v>
      </c>
      <c r="S659" s="83"/>
      <c r="T659" s="83"/>
      <c r="U659" s="101">
        <f t="shared" si="66"/>
        <v>2021.2824107652905</v>
      </c>
      <c r="V659" s="45"/>
      <c r="W659" s="45"/>
      <c r="X659" s="45"/>
      <c r="Y659" s="45"/>
      <c r="Z659" s="45"/>
      <c r="AA659" s="45"/>
    </row>
    <row r="660" spans="2:27" x14ac:dyDescent="0.45">
      <c r="B660" s="45" t="s">
        <v>466</v>
      </c>
      <c r="C660" s="90"/>
      <c r="D660" s="56"/>
      <c r="E660" s="80"/>
      <c r="F660" s="58"/>
      <c r="G660" s="58"/>
      <c r="H660" s="58"/>
      <c r="I660" s="58"/>
      <c r="J660" s="58"/>
      <c r="K660" s="58"/>
      <c r="L660" s="59">
        <f t="shared" si="63"/>
        <v>0</v>
      </c>
      <c r="M660" s="68"/>
      <c r="N660" s="68"/>
      <c r="O660" s="68"/>
      <c r="P660" s="68"/>
      <c r="Q660" s="99" t="e">
        <f t="shared" si="64"/>
        <v>#DIV/0!</v>
      </c>
      <c r="R660" s="100">
        <f t="shared" si="65"/>
        <v>0.43387671059875982</v>
      </c>
      <c r="S660" s="83"/>
      <c r="T660" s="83"/>
      <c r="U660" s="101">
        <f t="shared" si="66"/>
        <v>2021.2824107652905</v>
      </c>
      <c r="V660" s="45"/>
      <c r="W660" s="45"/>
      <c r="X660" s="45"/>
      <c r="Y660" s="45"/>
      <c r="Z660" s="45"/>
      <c r="AA660" s="45"/>
    </row>
    <row r="661" spans="2:27" x14ac:dyDescent="0.45">
      <c r="B661" s="45" t="s">
        <v>467</v>
      </c>
      <c r="C661" s="90"/>
      <c r="D661" s="56"/>
      <c r="E661" s="84"/>
      <c r="F661" s="58"/>
      <c r="G661" s="58"/>
      <c r="H661" s="58"/>
      <c r="I661" s="58"/>
      <c r="J661" s="58"/>
      <c r="K661" s="58"/>
      <c r="L661" s="59">
        <f t="shared" si="63"/>
        <v>0</v>
      </c>
      <c r="M661" s="68"/>
      <c r="N661" s="68"/>
      <c r="O661" s="68"/>
      <c r="P661" s="68"/>
      <c r="Q661" s="99" t="e">
        <f t="shared" si="64"/>
        <v>#DIV/0!</v>
      </c>
      <c r="R661" s="100">
        <f t="shared" si="65"/>
        <v>0.43387671059875982</v>
      </c>
      <c r="S661" s="83"/>
      <c r="T661" s="83"/>
      <c r="U661" s="101">
        <f t="shared" si="66"/>
        <v>2021.2824107652905</v>
      </c>
      <c r="V661" s="45"/>
      <c r="W661" s="45"/>
      <c r="X661" s="45"/>
      <c r="Y661" s="45"/>
      <c r="Z661" s="45"/>
      <c r="AA661" s="45"/>
    </row>
    <row r="662" spans="2:27" x14ac:dyDescent="0.45">
      <c r="B662" s="45" t="s">
        <v>468</v>
      </c>
      <c r="C662" s="90"/>
      <c r="D662" s="56"/>
      <c r="E662" s="57"/>
      <c r="F662" s="58"/>
      <c r="G662" s="58"/>
      <c r="H662" s="58"/>
      <c r="I662" s="58"/>
      <c r="J662" s="58"/>
      <c r="K662" s="58"/>
      <c r="L662" s="59">
        <f t="shared" si="63"/>
        <v>0</v>
      </c>
      <c r="M662" s="68"/>
      <c r="N662" s="68"/>
      <c r="O662" s="68"/>
      <c r="P662" s="68"/>
      <c r="Q662" s="99" t="e">
        <f t="shared" si="64"/>
        <v>#DIV/0!</v>
      </c>
      <c r="R662" s="100">
        <f t="shared" si="65"/>
        <v>0.43387671059875982</v>
      </c>
      <c r="S662" s="83"/>
      <c r="T662" s="83"/>
      <c r="U662" s="101">
        <f t="shared" si="66"/>
        <v>2021.2824107652905</v>
      </c>
      <c r="V662" s="45"/>
      <c r="W662" s="45"/>
      <c r="X662" s="45"/>
      <c r="Y662" s="45"/>
      <c r="Z662" s="45"/>
      <c r="AA662" s="45"/>
    </row>
    <row r="663" spans="2:27" x14ac:dyDescent="0.45">
      <c r="B663" s="45" t="s">
        <v>469</v>
      </c>
      <c r="C663" s="90"/>
      <c r="D663" s="56"/>
      <c r="E663" s="80"/>
      <c r="F663" s="58"/>
      <c r="G663" s="58"/>
      <c r="H663" s="58"/>
      <c r="I663" s="58"/>
      <c r="J663" s="58"/>
      <c r="K663" s="58"/>
      <c r="L663" s="59">
        <f t="shared" si="63"/>
        <v>0</v>
      </c>
      <c r="M663" s="68"/>
      <c r="N663" s="68"/>
      <c r="O663" s="68"/>
      <c r="P663" s="68"/>
      <c r="Q663" s="99" t="e">
        <f t="shared" si="64"/>
        <v>#DIV/0!</v>
      </c>
      <c r="R663" s="100">
        <f t="shared" si="65"/>
        <v>0.43387671059875982</v>
      </c>
      <c r="S663" s="83"/>
      <c r="T663" s="83"/>
      <c r="U663" s="101">
        <f t="shared" si="66"/>
        <v>2021.2824107652905</v>
      </c>
      <c r="V663" s="45"/>
      <c r="W663" s="45"/>
      <c r="X663" s="45"/>
      <c r="Y663" s="45"/>
      <c r="Z663" s="45"/>
      <c r="AA663" s="45"/>
    </row>
    <row r="664" spans="2:27" x14ac:dyDescent="0.45">
      <c r="B664" s="45" t="s">
        <v>470</v>
      </c>
      <c r="C664" s="90"/>
      <c r="D664" s="56"/>
      <c r="E664" s="84"/>
      <c r="F664" s="58"/>
      <c r="G664" s="58"/>
      <c r="H664" s="58"/>
      <c r="I664" s="58"/>
      <c r="J664" s="58"/>
      <c r="K664" s="58"/>
      <c r="L664" s="59">
        <f t="shared" si="63"/>
        <v>0</v>
      </c>
      <c r="M664" s="68"/>
      <c r="N664" s="68"/>
      <c r="O664" s="68"/>
      <c r="P664" s="68"/>
      <c r="Q664" s="99" t="e">
        <f t="shared" si="64"/>
        <v>#DIV/0!</v>
      </c>
      <c r="R664" s="100">
        <f t="shared" si="65"/>
        <v>0.43387671059875982</v>
      </c>
      <c r="S664" s="83"/>
      <c r="T664" s="83"/>
      <c r="U664" s="101">
        <f t="shared" si="66"/>
        <v>2021.2824107652905</v>
      </c>
      <c r="V664" s="45"/>
      <c r="W664" s="45"/>
      <c r="X664" s="45"/>
      <c r="Y664" s="45"/>
      <c r="Z664" s="45"/>
      <c r="AA664" s="45"/>
    </row>
    <row r="665" spans="2:27" x14ac:dyDescent="0.45">
      <c r="B665" s="45" t="s">
        <v>471</v>
      </c>
      <c r="C665" s="90"/>
      <c r="D665" s="56"/>
      <c r="E665" s="57"/>
      <c r="F665" s="58"/>
      <c r="G665" s="58"/>
      <c r="H665" s="58"/>
      <c r="I665" s="58"/>
      <c r="J665" s="58"/>
      <c r="K665" s="58"/>
      <c r="L665" s="59">
        <f t="shared" si="63"/>
        <v>0</v>
      </c>
      <c r="M665" s="68"/>
      <c r="N665" s="68"/>
      <c r="O665" s="68"/>
      <c r="P665" s="68"/>
      <c r="Q665" s="99" t="e">
        <f t="shared" si="64"/>
        <v>#DIV/0!</v>
      </c>
      <c r="R665" s="100">
        <f t="shared" si="65"/>
        <v>0.43387671059875982</v>
      </c>
      <c r="S665" s="83"/>
      <c r="T665" s="83"/>
      <c r="U665" s="101">
        <f t="shared" si="66"/>
        <v>2021.2824107652905</v>
      </c>
      <c r="V665" s="45"/>
      <c r="W665" s="45"/>
      <c r="X665" s="45"/>
      <c r="Y665" s="45"/>
      <c r="Z665" s="45"/>
      <c r="AA665" s="45"/>
    </row>
    <row r="666" spans="2:27" x14ac:dyDescent="0.45">
      <c r="B666" s="45" t="s">
        <v>472</v>
      </c>
      <c r="C666" s="90"/>
      <c r="D666" s="56"/>
      <c r="E666" s="80"/>
      <c r="F666" s="58"/>
      <c r="G666" s="58"/>
      <c r="H666" s="58"/>
      <c r="I666" s="58"/>
      <c r="J666" s="58"/>
      <c r="K666" s="58"/>
      <c r="L666" s="59">
        <f t="shared" si="63"/>
        <v>0</v>
      </c>
      <c r="M666" s="68"/>
      <c r="N666" s="68"/>
      <c r="O666" s="68"/>
      <c r="P666" s="68"/>
      <c r="Q666" s="99" t="e">
        <f t="shared" si="64"/>
        <v>#DIV/0!</v>
      </c>
      <c r="R666" s="100">
        <f t="shared" si="65"/>
        <v>0.43387671059875982</v>
      </c>
      <c r="S666" s="83"/>
      <c r="T666" s="83"/>
      <c r="U666" s="101">
        <f t="shared" si="66"/>
        <v>2021.2824107652905</v>
      </c>
      <c r="V666" s="45"/>
      <c r="W666" s="45"/>
      <c r="X666" s="45"/>
      <c r="Y666" s="45"/>
      <c r="Z666" s="45"/>
      <c r="AA666" s="45"/>
    </row>
    <row r="667" spans="2:27" x14ac:dyDescent="0.45">
      <c r="B667" s="45" t="s">
        <v>473</v>
      </c>
      <c r="C667" s="90"/>
      <c r="D667" s="56"/>
      <c r="E667" s="84"/>
      <c r="F667" s="58"/>
      <c r="G667" s="58"/>
      <c r="H667" s="58"/>
      <c r="I667" s="58"/>
      <c r="J667" s="58"/>
      <c r="K667" s="58"/>
      <c r="L667" s="59">
        <f t="shared" si="63"/>
        <v>0</v>
      </c>
      <c r="M667" s="68"/>
      <c r="N667" s="68"/>
      <c r="O667" s="68"/>
      <c r="P667" s="68"/>
      <c r="Q667" s="99" t="e">
        <f t="shared" si="64"/>
        <v>#DIV/0!</v>
      </c>
      <c r="R667" s="100">
        <f t="shared" si="65"/>
        <v>0.43387671059875982</v>
      </c>
      <c r="S667" s="83"/>
      <c r="T667" s="83"/>
      <c r="U667" s="101">
        <f t="shared" si="66"/>
        <v>2021.2824107652905</v>
      </c>
      <c r="V667" s="45"/>
      <c r="W667" s="45"/>
      <c r="X667" s="45"/>
      <c r="Y667" s="45"/>
      <c r="Z667" s="45"/>
      <c r="AA667" s="45"/>
    </row>
    <row r="668" spans="2:27" x14ac:dyDescent="0.45">
      <c r="B668" s="45" t="s">
        <v>474</v>
      </c>
      <c r="C668" s="90"/>
      <c r="D668" s="56"/>
      <c r="E668" s="57"/>
      <c r="F668" s="58"/>
      <c r="G668" s="58"/>
      <c r="H668" s="58"/>
      <c r="I668" s="58"/>
      <c r="J668" s="58"/>
      <c r="K668" s="58"/>
      <c r="L668" s="59">
        <f t="shared" si="63"/>
        <v>0</v>
      </c>
      <c r="M668" s="68"/>
      <c r="N668" s="68"/>
      <c r="O668" s="68"/>
      <c r="P668" s="68"/>
      <c r="Q668" s="99" t="e">
        <f t="shared" si="64"/>
        <v>#DIV/0!</v>
      </c>
      <c r="R668" s="100">
        <f t="shared" si="65"/>
        <v>0.43387671059875982</v>
      </c>
      <c r="S668" s="83"/>
      <c r="T668" s="83"/>
      <c r="U668" s="101">
        <f t="shared" si="66"/>
        <v>2021.2824107652905</v>
      </c>
      <c r="V668" s="45"/>
      <c r="W668" s="45"/>
      <c r="X668" s="45"/>
      <c r="Y668" s="45"/>
      <c r="Z668" s="45"/>
      <c r="AA668" s="45"/>
    </row>
    <row r="669" spans="2:27" x14ac:dyDescent="0.45">
      <c r="B669" s="45" t="s">
        <v>475</v>
      </c>
      <c r="C669" s="90"/>
      <c r="D669" s="56"/>
      <c r="E669" s="80"/>
      <c r="F669" s="58"/>
      <c r="G669" s="58"/>
      <c r="H669" s="58"/>
      <c r="I669" s="58"/>
      <c r="J669" s="58"/>
      <c r="K669" s="58"/>
      <c r="L669" s="59">
        <f t="shared" si="63"/>
        <v>0</v>
      </c>
      <c r="M669" s="68"/>
      <c r="N669" s="68"/>
      <c r="O669" s="68"/>
      <c r="P669" s="68"/>
      <c r="Q669" s="99" t="e">
        <f t="shared" si="64"/>
        <v>#DIV/0!</v>
      </c>
      <c r="R669" s="100">
        <f t="shared" si="65"/>
        <v>0.43387671059875982</v>
      </c>
      <c r="S669" s="83"/>
      <c r="T669" s="83"/>
      <c r="U669" s="101">
        <f t="shared" si="66"/>
        <v>2021.2824107652905</v>
      </c>
      <c r="V669" s="45"/>
      <c r="W669" s="45"/>
      <c r="X669" s="45"/>
      <c r="Y669" s="45"/>
      <c r="Z669" s="45"/>
      <c r="AA669" s="45"/>
    </row>
    <row r="670" spans="2:27" x14ac:dyDescent="0.45">
      <c r="B670" s="45" t="s">
        <v>476</v>
      </c>
      <c r="C670" s="90"/>
      <c r="D670" s="56"/>
      <c r="E670" s="84"/>
      <c r="F670" s="58"/>
      <c r="G670" s="58"/>
      <c r="H670" s="58"/>
      <c r="I670" s="58"/>
      <c r="J670" s="58"/>
      <c r="K670" s="58"/>
      <c r="L670" s="59">
        <f t="shared" si="63"/>
        <v>0</v>
      </c>
      <c r="M670" s="68"/>
      <c r="N670" s="68"/>
      <c r="O670" s="68"/>
      <c r="P670" s="68"/>
      <c r="Q670" s="99" t="e">
        <f t="shared" si="64"/>
        <v>#DIV/0!</v>
      </c>
      <c r="R670" s="100">
        <f t="shared" si="65"/>
        <v>0.43387671059875982</v>
      </c>
      <c r="S670" s="83"/>
      <c r="T670" s="83"/>
      <c r="U670" s="101">
        <f t="shared" si="66"/>
        <v>2021.2824107652905</v>
      </c>
      <c r="V670" s="45"/>
      <c r="W670" s="45"/>
      <c r="X670" s="45"/>
      <c r="Y670" s="45"/>
      <c r="Z670" s="45"/>
      <c r="AA670" s="45"/>
    </row>
    <row r="671" spans="2:27" x14ac:dyDescent="0.45">
      <c r="B671" s="45" t="s">
        <v>477</v>
      </c>
      <c r="C671" s="90"/>
      <c r="D671" s="56"/>
      <c r="E671" s="57"/>
      <c r="F671" s="58"/>
      <c r="G671" s="58"/>
      <c r="H671" s="58"/>
      <c r="I671" s="58"/>
      <c r="J671" s="58"/>
      <c r="K671" s="58"/>
      <c r="L671" s="59">
        <f t="shared" si="63"/>
        <v>0</v>
      </c>
      <c r="M671" s="68"/>
      <c r="N671" s="68"/>
      <c r="O671" s="68"/>
      <c r="P671" s="68"/>
      <c r="Q671" s="99" t="e">
        <f t="shared" si="64"/>
        <v>#DIV/0!</v>
      </c>
      <c r="R671" s="100">
        <f t="shared" si="65"/>
        <v>0.43387671059875982</v>
      </c>
      <c r="S671" s="83"/>
      <c r="T671" s="83"/>
      <c r="U671" s="101">
        <f t="shared" si="66"/>
        <v>2021.2824107652905</v>
      </c>
      <c r="V671" s="45"/>
      <c r="W671" s="45"/>
      <c r="X671" s="45"/>
      <c r="Y671" s="45"/>
      <c r="Z671" s="45"/>
      <c r="AA671" s="45"/>
    </row>
    <row r="672" spans="2:27" x14ac:dyDescent="0.45">
      <c r="B672" s="45" t="s">
        <v>478</v>
      </c>
      <c r="C672" s="90"/>
      <c r="D672" s="56"/>
      <c r="E672" s="80"/>
      <c r="F672" s="58"/>
      <c r="G672" s="58"/>
      <c r="H672" s="58"/>
      <c r="I672" s="58"/>
      <c r="J672" s="58"/>
      <c r="K672" s="58"/>
      <c r="L672" s="59">
        <f t="shared" si="63"/>
        <v>0</v>
      </c>
      <c r="M672" s="68"/>
      <c r="N672" s="68"/>
      <c r="O672" s="68"/>
      <c r="P672" s="68"/>
      <c r="Q672" s="99" t="e">
        <f t="shared" si="64"/>
        <v>#DIV/0!</v>
      </c>
      <c r="R672" s="100">
        <f t="shared" si="65"/>
        <v>0.43387671059875982</v>
      </c>
      <c r="S672" s="83"/>
      <c r="T672" s="83"/>
      <c r="U672" s="101">
        <f t="shared" si="66"/>
        <v>2021.2824107652905</v>
      </c>
      <c r="V672" s="45"/>
      <c r="W672" s="45"/>
      <c r="X672" s="45"/>
      <c r="Y672" s="45"/>
      <c r="Z672" s="45"/>
      <c r="AA672" s="45"/>
    </row>
    <row r="673" spans="2:27" x14ac:dyDescent="0.45">
      <c r="B673" s="45" t="s">
        <v>479</v>
      </c>
      <c r="C673" s="90"/>
      <c r="D673" s="56"/>
      <c r="E673" s="84"/>
      <c r="F673" s="58"/>
      <c r="G673" s="58"/>
      <c r="H673" s="58"/>
      <c r="I673" s="58"/>
      <c r="J673" s="58"/>
      <c r="K673" s="58"/>
      <c r="L673" s="59">
        <f t="shared" si="63"/>
        <v>0</v>
      </c>
      <c r="M673" s="68"/>
      <c r="N673" s="68"/>
      <c r="O673" s="68"/>
      <c r="P673" s="68"/>
      <c r="Q673" s="99" t="e">
        <f t="shared" si="64"/>
        <v>#DIV/0!</v>
      </c>
      <c r="R673" s="100">
        <f t="shared" si="65"/>
        <v>0.43387671059875982</v>
      </c>
      <c r="S673" s="83"/>
      <c r="T673" s="83"/>
      <c r="U673" s="101">
        <f t="shared" si="66"/>
        <v>2021.2824107652905</v>
      </c>
      <c r="V673" s="45"/>
      <c r="W673" s="45"/>
      <c r="X673" s="45"/>
      <c r="Y673" s="45"/>
      <c r="Z673" s="45"/>
      <c r="AA673" s="45"/>
    </row>
    <row r="674" spans="2:27" x14ac:dyDescent="0.45">
      <c r="B674" s="45" t="s">
        <v>480</v>
      </c>
      <c r="C674" s="90"/>
      <c r="D674" s="56"/>
      <c r="E674" s="57"/>
      <c r="F674" s="58"/>
      <c r="G674" s="58"/>
      <c r="H674" s="58"/>
      <c r="I674" s="58"/>
      <c r="J674" s="58"/>
      <c r="K674" s="58"/>
      <c r="L674" s="59">
        <f t="shared" si="63"/>
        <v>0</v>
      </c>
      <c r="M674" s="68"/>
      <c r="N674" s="68"/>
      <c r="O674" s="68"/>
      <c r="P674" s="68"/>
      <c r="Q674" s="99" t="e">
        <f t="shared" si="64"/>
        <v>#DIV/0!</v>
      </c>
      <c r="R674" s="100">
        <f t="shared" si="65"/>
        <v>0.43387671059875982</v>
      </c>
      <c r="S674" s="83"/>
      <c r="T674" s="83"/>
      <c r="U674" s="101">
        <f t="shared" si="66"/>
        <v>2021.2824107652905</v>
      </c>
      <c r="V674" s="45"/>
      <c r="W674" s="45"/>
      <c r="X674" s="45"/>
      <c r="Y674" s="45"/>
      <c r="Z674" s="45"/>
      <c r="AA674" s="45"/>
    </row>
    <row r="675" spans="2:27" x14ac:dyDescent="0.45">
      <c r="B675" s="45" t="s">
        <v>481</v>
      </c>
      <c r="C675" s="90"/>
      <c r="D675" s="56"/>
      <c r="E675" s="80"/>
      <c r="F675" s="58"/>
      <c r="G675" s="58"/>
      <c r="H675" s="58"/>
      <c r="I675" s="58"/>
      <c r="J675" s="58"/>
      <c r="K675" s="58"/>
      <c r="L675" s="59">
        <f t="shared" si="63"/>
        <v>0</v>
      </c>
      <c r="M675" s="68"/>
      <c r="N675" s="68"/>
      <c r="O675" s="68"/>
      <c r="P675" s="68"/>
      <c r="Q675" s="99" t="e">
        <f t="shared" si="64"/>
        <v>#DIV/0!</v>
      </c>
      <c r="R675" s="100">
        <f t="shared" si="65"/>
        <v>0.43387671059875982</v>
      </c>
      <c r="S675" s="83"/>
      <c r="T675" s="83"/>
      <c r="U675" s="101">
        <f t="shared" si="66"/>
        <v>2021.2824107652905</v>
      </c>
      <c r="V675" s="45"/>
      <c r="W675" s="45"/>
      <c r="X675" s="45"/>
      <c r="Y675" s="45"/>
      <c r="Z675" s="45"/>
      <c r="AA675" s="45"/>
    </row>
    <row r="676" spans="2:27" x14ac:dyDescent="0.45">
      <c r="B676" s="45" t="s">
        <v>482</v>
      </c>
      <c r="C676" s="90"/>
      <c r="D676" s="56"/>
      <c r="E676" s="84"/>
      <c r="F676" s="58"/>
      <c r="G676" s="58"/>
      <c r="H676" s="58"/>
      <c r="I676" s="58"/>
      <c r="J676" s="58"/>
      <c r="K676" s="58"/>
      <c r="L676" s="59">
        <f t="shared" si="63"/>
        <v>0</v>
      </c>
      <c r="M676" s="68"/>
      <c r="N676" s="68"/>
      <c r="O676" s="68"/>
      <c r="P676" s="68"/>
      <c r="Q676" s="99" t="e">
        <f t="shared" si="64"/>
        <v>#DIV/0!</v>
      </c>
      <c r="R676" s="100">
        <f t="shared" si="65"/>
        <v>0.43387671059875982</v>
      </c>
      <c r="S676" s="83"/>
      <c r="T676" s="83"/>
      <c r="U676" s="101">
        <f t="shared" si="66"/>
        <v>2021.2824107652905</v>
      </c>
      <c r="V676" s="45"/>
      <c r="W676" s="45"/>
      <c r="X676" s="45"/>
      <c r="Y676" s="45"/>
      <c r="Z676" s="45"/>
      <c r="AA676" s="45"/>
    </row>
    <row r="677" spans="2:27" x14ac:dyDescent="0.45">
      <c r="B677" s="45" t="s">
        <v>483</v>
      </c>
      <c r="C677" s="90"/>
      <c r="D677" s="56"/>
      <c r="E677" s="57"/>
      <c r="F677" s="58"/>
      <c r="G677" s="58"/>
      <c r="H677" s="58"/>
      <c r="I677" s="58"/>
      <c r="J677" s="58"/>
      <c r="K677" s="58"/>
      <c r="L677" s="59">
        <f t="shared" si="63"/>
        <v>0</v>
      </c>
      <c r="M677" s="68"/>
      <c r="N677" s="68"/>
      <c r="O677" s="68"/>
      <c r="P677" s="68"/>
      <c r="Q677" s="99" t="e">
        <f t="shared" si="64"/>
        <v>#DIV/0!</v>
      </c>
      <c r="R677" s="100">
        <f t="shared" si="65"/>
        <v>0.43387671059875982</v>
      </c>
      <c r="S677" s="83"/>
      <c r="T677" s="83"/>
      <c r="U677" s="101">
        <f t="shared" si="66"/>
        <v>2021.2824107652905</v>
      </c>
      <c r="V677" s="45"/>
      <c r="W677" s="45"/>
      <c r="X677" s="45"/>
      <c r="Y677" s="45"/>
      <c r="Z677" s="45"/>
      <c r="AA677" s="45"/>
    </row>
    <row r="678" spans="2:27" x14ac:dyDescent="0.45">
      <c r="B678" s="45" t="s">
        <v>484</v>
      </c>
      <c r="C678" s="90"/>
      <c r="D678" s="56"/>
      <c r="E678" s="80"/>
      <c r="F678" s="58"/>
      <c r="G678" s="58"/>
      <c r="H678" s="58"/>
      <c r="I678" s="58"/>
      <c r="J678" s="58"/>
      <c r="K678" s="58"/>
      <c r="L678" s="59">
        <f t="shared" si="63"/>
        <v>0</v>
      </c>
      <c r="M678" s="68"/>
      <c r="N678" s="68"/>
      <c r="O678" s="68"/>
      <c r="P678" s="68"/>
      <c r="Q678" s="99" t="e">
        <f t="shared" si="64"/>
        <v>#DIV/0!</v>
      </c>
      <c r="R678" s="100">
        <f t="shared" si="65"/>
        <v>0.43387671059875982</v>
      </c>
      <c r="S678" s="83"/>
      <c r="T678" s="83"/>
      <c r="U678" s="101">
        <f t="shared" si="66"/>
        <v>2021.2824107652905</v>
      </c>
      <c r="V678" s="45"/>
      <c r="W678" s="45"/>
      <c r="X678" s="45"/>
      <c r="Y678" s="45"/>
      <c r="Z678" s="45"/>
      <c r="AA678" s="45"/>
    </row>
    <row r="679" spans="2:27" x14ac:dyDescent="0.45">
      <c r="B679" s="45" t="s">
        <v>485</v>
      </c>
      <c r="C679" s="90"/>
      <c r="D679" s="56"/>
      <c r="E679" s="84"/>
      <c r="F679" s="58"/>
      <c r="G679" s="58"/>
      <c r="H679" s="58"/>
      <c r="I679" s="58"/>
      <c r="J679" s="58"/>
      <c r="K679" s="58"/>
      <c r="L679" s="59">
        <f t="shared" si="63"/>
        <v>0</v>
      </c>
      <c r="M679" s="68"/>
      <c r="N679" s="68"/>
      <c r="O679" s="68"/>
      <c r="P679" s="68"/>
      <c r="Q679" s="99" t="e">
        <f t="shared" si="64"/>
        <v>#DIV/0!</v>
      </c>
      <c r="R679" s="100">
        <f t="shared" si="65"/>
        <v>0.43387671059875982</v>
      </c>
      <c r="S679" s="83"/>
      <c r="T679" s="83"/>
      <c r="U679" s="101">
        <f t="shared" si="66"/>
        <v>2021.2824107652905</v>
      </c>
      <c r="V679" s="45"/>
      <c r="W679" s="45"/>
      <c r="X679" s="45"/>
      <c r="Y679" s="45"/>
      <c r="Z679" s="45"/>
      <c r="AA679" s="45"/>
    </row>
    <row r="680" spans="2:27" x14ac:dyDescent="0.45">
      <c r="B680" s="45" t="s">
        <v>486</v>
      </c>
      <c r="C680" s="90"/>
      <c r="D680" s="56"/>
      <c r="E680" s="57"/>
      <c r="F680" s="58"/>
      <c r="G680" s="58"/>
      <c r="H680" s="58"/>
      <c r="I680" s="58"/>
      <c r="J680" s="58"/>
      <c r="K680" s="58"/>
      <c r="L680" s="59">
        <f t="shared" si="63"/>
        <v>0</v>
      </c>
      <c r="M680" s="68"/>
      <c r="N680" s="68"/>
      <c r="O680" s="68"/>
      <c r="P680" s="68"/>
      <c r="Q680" s="99" t="e">
        <f t="shared" si="64"/>
        <v>#DIV/0!</v>
      </c>
      <c r="R680" s="100">
        <f t="shared" si="65"/>
        <v>0.43387671059875982</v>
      </c>
      <c r="S680" s="83"/>
      <c r="T680" s="83"/>
      <c r="U680" s="101">
        <f t="shared" si="66"/>
        <v>2021.2824107652905</v>
      </c>
      <c r="V680" s="45"/>
      <c r="W680" s="45"/>
      <c r="X680" s="45"/>
      <c r="Y680" s="45"/>
      <c r="Z680" s="45"/>
      <c r="AA680" s="45"/>
    </row>
    <row r="681" spans="2:27" x14ac:dyDescent="0.45">
      <c r="B681" s="45" t="s">
        <v>487</v>
      </c>
      <c r="C681" s="90"/>
      <c r="D681" s="56"/>
      <c r="E681" s="80"/>
      <c r="F681" s="58"/>
      <c r="G681" s="58"/>
      <c r="H681" s="58"/>
      <c r="I681" s="58"/>
      <c r="J681" s="58"/>
      <c r="K681" s="58"/>
      <c r="L681" s="59">
        <f t="shared" si="63"/>
        <v>0</v>
      </c>
      <c r="M681" s="68"/>
      <c r="N681" s="68"/>
      <c r="O681" s="68"/>
      <c r="P681" s="68"/>
      <c r="Q681" s="99" t="e">
        <f t="shared" si="64"/>
        <v>#DIV/0!</v>
      </c>
      <c r="R681" s="100">
        <f t="shared" si="65"/>
        <v>0.43387671059875982</v>
      </c>
      <c r="S681" s="83"/>
      <c r="T681" s="83"/>
      <c r="U681" s="101">
        <f t="shared" si="66"/>
        <v>2021.2824107652905</v>
      </c>
      <c r="V681" s="45"/>
      <c r="W681" s="45"/>
      <c r="X681" s="45"/>
      <c r="Y681" s="45"/>
      <c r="Z681" s="45"/>
      <c r="AA681" s="45"/>
    </row>
    <row r="682" spans="2:27" x14ac:dyDescent="0.45">
      <c r="B682" s="45" t="s">
        <v>488</v>
      </c>
      <c r="C682" s="90"/>
      <c r="D682" s="56"/>
      <c r="E682" s="84"/>
      <c r="F682" s="58"/>
      <c r="G682" s="58"/>
      <c r="H682" s="58"/>
      <c r="I682" s="58"/>
      <c r="J682" s="58"/>
      <c r="K682" s="58"/>
      <c r="L682" s="59">
        <f t="shared" si="63"/>
        <v>0</v>
      </c>
      <c r="M682" s="68"/>
      <c r="N682" s="68"/>
      <c r="O682" s="68"/>
      <c r="P682" s="68"/>
      <c r="Q682" s="99" t="e">
        <f t="shared" si="64"/>
        <v>#DIV/0!</v>
      </c>
      <c r="R682" s="100">
        <f t="shared" si="65"/>
        <v>0.43387671059875982</v>
      </c>
      <c r="S682" s="83"/>
      <c r="T682" s="83"/>
      <c r="U682" s="101">
        <f t="shared" si="66"/>
        <v>2021.2824107652905</v>
      </c>
      <c r="V682" s="45"/>
      <c r="W682" s="45"/>
      <c r="X682" s="45"/>
      <c r="Y682" s="45"/>
      <c r="Z682" s="45"/>
      <c r="AA682" s="45"/>
    </row>
    <row r="683" spans="2:27" x14ac:dyDescent="0.45">
      <c r="B683" s="45" t="s">
        <v>489</v>
      </c>
      <c r="C683" s="90"/>
      <c r="D683" s="56"/>
      <c r="E683" s="57"/>
      <c r="F683" s="58"/>
      <c r="G683" s="58"/>
      <c r="H683" s="58"/>
      <c r="I683" s="58"/>
      <c r="J683" s="58"/>
      <c r="K683" s="58"/>
      <c r="L683" s="59">
        <f t="shared" si="63"/>
        <v>0</v>
      </c>
      <c r="M683" s="68"/>
      <c r="N683" s="68"/>
      <c r="O683" s="68"/>
      <c r="P683" s="68"/>
      <c r="Q683" s="99" t="e">
        <f t="shared" si="64"/>
        <v>#DIV/0!</v>
      </c>
      <c r="R683" s="100">
        <f t="shared" si="65"/>
        <v>0.43387671059875982</v>
      </c>
      <c r="S683" s="83"/>
      <c r="T683" s="83"/>
      <c r="U683" s="101">
        <f t="shared" si="66"/>
        <v>2021.2824107652905</v>
      </c>
      <c r="V683" s="45"/>
      <c r="W683" s="45"/>
      <c r="X683" s="45"/>
      <c r="Y683" s="45"/>
      <c r="Z683" s="45"/>
      <c r="AA683" s="45"/>
    </row>
    <row r="684" spans="2:27" x14ac:dyDescent="0.45">
      <c r="B684" s="45" t="s">
        <v>490</v>
      </c>
      <c r="C684" s="90"/>
      <c r="D684" s="56"/>
      <c r="E684" s="80"/>
      <c r="F684" s="58"/>
      <c r="G684" s="58"/>
      <c r="H684" s="58"/>
      <c r="I684" s="58"/>
      <c r="J684" s="58"/>
      <c r="K684" s="58"/>
      <c r="L684" s="59">
        <f t="shared" si="63"/>
        <v>0</v>
      </c>
      <c r="M684" s="68"/>
      <c r="N684" s="68"/>
      <c r="O684" s="68"/>
      <c r="P684" s="68"/>
      <c r="Q684" s="99" t="e">
        <f t="shared" si="64"/>
        <v>#DIV/0!</v>
      </c>
      <c r="R684" s="100">
        <f t="shared" si="65"/>
        <v>0.43387671059875982</v>
      </c>
      <c r="S684" s="83"/>
      <c r="T684" s="83"/>
      <c r="U684" s="101">
        <f t="shared" si="66"/>
        <v>2021.2824107652905</v>
      </c>
      <c r="V684" s="45"/>
      <c r="W684" s="45"/>
      <c r="X684" s="45"/>
      <c r="Y684" s="45"/>
      <c r="Z684" s="45"/>
      <c r="AA684" s="45"/>
    </row>
    <row r="685" spans="2:27" x14ac:dyDescent="0.45">
      <c r="B685" s="45" t="s">
        <v>491</v>
      </c>
      <c r="C685" s="90"/>
      <c r="D685" s="56"/>
      <c r="E685" s="84"/>
      <c r="F685" s="58"/>
      <c r="G685" s="58"/>
      <c r="H685" s="58"/>
      <c r="I685" s="58"/>
      <c r="J685" s="58"/>
      <c r="K685" s="58"/>
      <c r="L685" s="59">
        <f t="shared" si="63"/>
        <v>0</v>
      </c>
      <c r="M685" s="68"/>
      <c r="N685" s="68"/>
      <c r="O685" s="68"/>
      <c r="P685" s="68"/>
      <c r="Q685" s="99" t="e">
        <f t="shared" si="64"/>
        <v>#DIV/0!</v>
      </c>
      <c r="R685" s="100">
        <f t="shared" si="65"/>
        <v>0.43387671059875982</v>
      </c>
      <c r="S685" s="83"/>
      <c r="T685" s="83"/>
      <c r="U685" s="101">
        <f t="shared" si="66"/>
        <v>2021.2824107652905</v>
      </c>
      <c r="V685" s="45"/>
      <c r="W685" s="45"/>
      <c r="X685" s="45"/>
      <c r="Y685" s="45"/>
      <c r="Z685" s="45"/>
      <c r="AA685" s="45"/>
    </row>
    <row r="686" spans="2:27" x14ac:dyDescent="0.45">
      <c r="B686" s="45" t="s">
        <v>492</v>
      </c>
      <c r="C686" s="90"/>
      <c r="D686" s="56"/>
      <c r="E686" s="57"/>
      <c r="F686" s="58"/>
      <c r="G686" s="58"/>
      <c r="H686" s="58"/>
      <c r="I686" s="58"/>
      <c r="J686" s="58"/>
      <c r="K686" s="58"/>
      <c r="L686" s="59">
        <f t="shared" si="63"/>
        <v>0</v>
      </c>
      <c r="M686" s="68"/>
      <c r="N686" s="68"/>
      <c r="O686" s="68"/>
      <c r="P686" s="68"/>
      <c r="Q686" s="99" t="e">
        <f t="shared" si="64"/>
        <v>#DIV/0!</v>
      </c>
      <c r="R686" s="100">
        <f t="shared" si="65"/>
        <v>0.43387671059875982</v>
      </c>
      <c r="S686" s="83"/>
      <c r="T686" s="83"/>
      <c r="U686" s="101">
        <f t="shared" si="66"/>
        <v>2021.2824107652905</v>
      </c>
      <c r="V686" s="45"/>
      <c r="W686" s="45"/>
      <c r="X686" s="45"/>
      <c r="Y686" s="45"/>
      <c r="Z686" s="45"/>
      <c r="AA686" s="45"/>
    </row>
    <row r="687" spans="2:27" x14ac:dyDescent="0.45">
      <c r="B687" s="45" t="s">
        <v>493</v>
      </c>
      <c r="C687" s="90"/>
      <c r="D687" s="56"/>
      <c r="E687" s="80"/>
      <c r="F687" s="58"/>
      <c r="G687" s="58"/>
      <c r="H687" s="58"/>
      <c r="I687" s="58"/>
      <c r="J687" s="58"/>
      <c r="K687" s="58"/>
      <c r="L687" s="59">
        <f t="shared" si="63"/>
        <v>0</v>
      </c>
      <c r="M687" s="68"/>
      <c r="N687" s="68"/>
      <c r="O687" s="68"/>
      <c r="P687" s="68"/>
      <c r="Q687" s="99" t="e">
        <f t="shared" si="64"/>
        <v>#DIV/0!</v>
      </c>
      <c r="R687" s="100">
        <f t="shared" si="65"/>
        <v>0.43387671059875982</v>
      </c>
      <c r="S687" s="83"/>
      <c r="T687" s="83"/>
      <c r="U687" s="101">
        <f t="shared" si="66"/>
        <v>2021.2824107652905</v>
      </c>
      <c r="V687" s="45"/>
      <c r="W687" s="45"/>
      <c r="X687" s="45"/>
      <c r="Y687" s="45"/>
      <c r="Z687" s="45"/>
      <c r="AA687" s="45"/>
    </row>
    <row r="688" spans="2:27" x14ac:dyDescent="0.45">
      <c r="B688" s="45" t="s">
        <v>494</v>
      </c>
      <c r="C688" s="90"/>
      <c r="D688" s="56"/>
      <c r="E688" s="84"/>
      <c r="F688" s="58"/>
      <c r="G688" s="58"/>
      <c r="H688" s="58"/>
      <c r="I688" s="58"/>
      <c r="J688" s="58"/>
      <c r="K688" s="58"/>
      <c r="L688" s="59">
        <f t="shared" si="63"/>
        <v>0</v>
      </c>
      <c r="M688" s="68"/>
      <c r="N688" s="68"/>
      <c r="O688" s="68"/>
      <c r="P688" s="68"/>
      <c r="Q688" s="99" t="e">
        <f t="shared" si="64"/>
        <v>#DIV/0!</v>
      </c>
      <c r="R688" s="100">
        <f t="shared" si="65"/>
        <v>0.43387671059875982</v>
      </c>
      <c r="S688" s="83"/>
      <c r="T688" s="83"/>
      <c r="U688" s="101">
        <f t="shared" si="66"/>
        <v>2021.2824107652905</v>
      </c>
      <c r="V688" s="45"/>
      <c r="W688" s="45"/>
      <c r="X688" s="45"/>
      <c r="Y688" s="45"/>
      <c r="Z688" s="45"/>
      <c r="AA688" s="45"/>
    </row>
    <row r="689" spans="2:27" x14ac:dyDescent="0.45">
      <c r="B689" s="45" t="s">
        <v>495</v>
      </c>
      <c r="C689" s="90"/>
      <c r="D689" s="56"/>
      <c r="E689" s="57"/>
      <c r="F689" s="58"/>
      <c r="G689" s="58"/>
      <c r="H689" s="58"/>
      <c r="I689" s="58"/>
      <c r="J689" s="58"/>
      <c r="K689" s="58"/>
      <c r="L689" s="59">
        <f t="shared" si="63"/>
        <v>0</v>
      </c>
      <c r="M689" s="68"/>
      <c r="N689" s="68"/>
      <c r="O689" s="68"/>
      <c r="P689" s="68"/>
      <c r="Q689" s="99" t="e">
        <f t="shared" si="64"/>
        <v>#DIV/0!</v>
      </c>
      <c r="R689" s="100">
        <f t="shared" si="65"/>
        <v>0.43387671059875982</v>
      </c>
      <c r="S689" s="83"/>
      <c r="T689" s="83"/>
      <c r="U689" s="101">
        <f t="shared" si="66"/>
        <v>2021.2824107652905</v>
      </c>
      <c r="V689" s="45"/>
      <c r="W689" s="45"/>
      <c r="X689" s="45"/>
      <c r="Y689" s="45"/>
      <c r="Z689" s="45"/>
      <c r="AA689" s="45"/>
    </row>
    <row r="690" spans="2:27" x14ac:dyDescent="0.45">
      <c r="B690" s="45" t="s">
        <v>496</v>
      </c>
      <c r="C690" s="90"/>
      <c r="D690" s="56"/>
      <c r="E690" s="80"/>
      <c r="F690" s="58"/>
      <c r="G690" s="58"/>
      <c r="H690" s="58"/>
      <c r="I690" s="58"/>
      <c r="J690" s="58"/>
      <c r="K690" s="58"/>
      <c r="L690" s="59">
        <f t="shared" si="63"/>
        <v>0</v>
      </c>
      <c r="M690" s="68"/>
      <c r="N690" s="68"/>
      <c r="O690" s="68"/>
      <c r="P690" s="68"/>
      <c r="Q690" s="99" t="e">
        <f t="shared" si="64"/>
        <v>#DIV/0!</v>
      </c>
      <c r="R690" s="100">
        <f t="shared" si="65"/>
        <v>0.43387671059875982</v>
      </c>
      <c r="S690" s="83"/>
      <c r="T690" s="83"/>
      <c r="U690" s="101">
        <f t="shared" si="66"/>
        <v>2021.2824107652905</v>
      </c>
      <c r="V690" s="45"/>
      <c r="W690" s="45"/>
      <c r="X690" s="45"/>
      <c r="Y690" s="45"/>
      <c r="Z690" s="45"/>
      <c r="AA690" s="45"/>
    </row>
    <row r="691" spans="2:27" x14ac:dyDescent="0.45">
      <c r="B691" s="45" t="s">
        <v>497</v>
      </c>
      <c r="C691" s="90"/>
      <c r="D691" s="56"/>
      <c r="E691" s="84"/>
      <c r="F691" s="58"/>
      <c r="G691" s="58"/>
      <c r="H691" s="58"/>
      <c r="I691" s="58"/>
      <c r="J691" s="58"/>
      <c r="K691" s="58"/>
      <c r="L691" s="59">
        <f t="shared" si="63"/>
        <v>0</v>
      </c>
      <c r="M691" s="68"/>
      <c r="N691" s="68"/>
      <c r="O691" s="68"/>
      <c r="P691" s="68"/>
      <c r="Q691" s="99" t="e">
        <f t="shared" si="64"/>
        <v>#DIV/0!</v>
      </c>
      <c r="R691" s="100">
        <f t="shared" si="65"/>
        <v>0.43387671059875982</v>
      </c>
      <c r="S691" s="83"/>
      <c r="T691" s="83"/>
      <c r="U691" s="101">
        <f t="shared" si="66"/>
        <v>2021.2824107652905</v>
      </c>
      <c r="V691" s="45"/>
      <c r="W691" s="45"/>
      <c r="X691" s="45"/>
      <c r="Y691" s="45"/>
      <c r="Z691" s="45"/>
      <c r="AA691" s="45"/>
    </row>
    <row r="692" spans="2:27" x14ac:dyDescent="0.45">
      <c r="B692" s="45" t="s">
        <v>498</v>
      </c>
      <c r="C692" s="90"/>
      <c r="D692" s="56"/>
      <c r="E692" s="57"/>
      <c r="F692" s="58"/>
      <c r="G692" s="58"/>
      <c r="H692" s="58"/>
      <c r="I692" s="58"/>
      <c r="J692" s="58"/>
      <c r="K692" s="58"/>
      <c r="L692" s="59">
        <f t="shared" si="63"/>
        <v>0</v>
      </c>
      <c r="M692" s="68"/>
      <c r="N692" s="68"/>
      <c r="O692" s="68"/>
      <c r="P692" s="68"/>
      <c r="Q692" s="99" t="e">
        <f t="shared" si="64"/>
        <v>#DIV/0!</v>
      </c>
      <c r="R692" s="100">
        <f t="shared" si="65"/>
        <v>0.43387671059875982</v>
      </c>
      <c r="S692" s="83"/>
      <c r="T692" s="83"/>
      <c r="U692" s="101">
        <f t="shared" si="66"/>
        <v>2021.2824107652905</v>
      </c>
      <c r="V692" s="45"/>
      <c r="W692" s="45"/>
      <c r="X692" s="45"/>
      <c r="Y692" s="45"/>
      <c r="Z692" s="45"/>
      <c r="AA692" s="45"/>
    </row>
    <row r="693" spans="2:27" x14ac:dyDescent="0.45">
      <c r="B693" s="45" t="s">
        <v>499</v>
      </c>
      <c r="C693" s="90"/>
      <c r="D693" s="56"/>
      <c r="E693" s="80"/>
      <c r="F693" s="58"/>
      <c r="G693" s="58"/>
      <c r="H693" s="58"/>
      <c r="I693" s="58"/>
      <c r="J693" s="58"/>
      <c r="K693" s="58"/>
      <c r="L693" s="59">
        <f t="shared" si="63"/>
        <v>0</v>
      </c>
      <c r="M693" s="68"/>
      <c r="N693" s="68"/>
      <c r="O693" s="68"/>
      <c r="P693" s="68"/>
      <c r="Q693" s="99" t="e">
        <f t="shared" si="64"/>
        <v>#DIV/0!</v>
      </c>
      <c r="R693" s="100">
        <f t="shared" si="65"/>
        <v>0.43387671059875982</v>
      </c>
      <c r="S693" s="83"/>
      <c r="T693" s="83"/>
      <c r="U693" s="101">
        <f t="shared" si="66"/>
        <v>2021.2824107652905</v>
      </c>
      <c r="V693" s="45"/>
      <c r="W693" s="45"/>
      <c r="X693" s="45"/>
      <c r="Y693" s="45"/>
      <c r="Z693" s="45"/>
      <c r="AA693" s="45"/>
    </row>
    <row r="694" spans="2:27" x14ac:dyDescent="0.45">
      <c r="B694" s="45" t="s">
        <v>500</v>
      </c>
      <c r="C694" s="90"/>
      <c r="D694" s="56"/>
      <c r="E694" s="84"/>
      <c r="F694" s="58"/>
      <c r="G694" s="58"/>
      <c r="H694" s="58"/>
      <c r="I694" s="58"/>
      <c r="J694" s="58"/>
      <c r="K694" s="58"/>
      <c r="L694" s="59">
        <f t="shared" si="63"/>
        <v>0</v>
      </c>
      <c r="M694" s="68"/>
      <c r="N694" s="68"/>
      <c r="O694" s="68"/>
      <c r="P694" s="68"/>
      <c r="Q694" s="99" t="e">
        <f t="shared" si="64"/>
        <v>#DIV/0!</v>
      </c>
      <c r="R694" s="100">
        <f t="shared" si="65"/>
        <v>0.43387671059875982</v>
      </c>
      <c r="S694" s="83"/>
      <c r="T694" s="83"/>
      <c r="U694" s="101">
        <f t="shared" si="66"/>
        <v>2021.2824107652905</v>
      </c>
      <c r="V694" s="45"/>
      <c r="W694" s="45"/>
      <c r="X694" s="45"/>
      <c r="Y694" s="45"/>
      <c r="Z694" s="45"/>
      <c r="AA694" s="45"/>
    </row>
    <row r="695" spans="2:27" x14ac:dyDescent="0.45">
      <c r="B695" s="45" t="s">
        <v>501</v>
      </c>
      <c r="C695" s="90"/>
      <c r="D695" s="56"/>
      <c r="E695" s="57"/>
      <c r="F695" s="58"/>
      <c r="G695" s="58"/>
      <c r="H695" s="58"/>
      <c r="I695" s="58"/>
      <c r="J695" s="58"/>
      <c r="K695" s="58"/>
      <c r="L695" s="59">
        <f t="shared" si="63"/>
        <v>0</v>
      </c>
      <c r="M695" s="68"/>
      <c r="N695" s="68"/>
      <c r="O695" s="68"/>
      <c r="P695" s="68"/>
      <c r="Q695" s="99" t="e">
        <f t="shared" si="64"/>
        <v>#DIV/0!</v>
      </c>
      <c r="R695" s="100">
        <f t="shared" si="65"/>
        <v>0.43387671059875982</v>
      </c>
      <c r="S695" s="83"/>
      <c r="T695" s="83"/>
      <c r="U695" s="101">
        <f t="shared" si="66"/>
        <v>2021.2824107652905</v>
      </c>
      <c r="V695" s="45"/>
      <c r="W695" s="45"/>
      <c r="X695" s="45"/>
      <c r="Y695" s="45"/>
      <c r="Z695" s="45"/>
      <c r="AA695" s="45"/>
    </row>
    <row r="696" spans="2:27" x14ac:dyDescent="0.45">
      <c r="B696" s="45" t="s">
        <v>502</v>
      </c>
      <c r="C696" s="90"/>
      <c r="D696" s="56"/>
      <c r="E696" s="80"/>
      <c r="F696" s="58"/>
      <c r="G696" s="58"/>
      <c r="H696" s="58"/>
      <c r="I696" s="58"/>
      <c r="J696" s="58"/>
      <c r="K696" s="58"/>
      <c r="L696" s="59">
        <f t="shared" si="63"/>
        <v>0</v>
      </c>
      <c r="M696" s="68"/>
      <c r="N696" s="68"/>
      <c r="O696" s="68"/>
      <c r="P696" s="68"/>
      <c r="Q696" s="99" t="e">
        <f t="shared" si="64"/>
        <v>#DIV/0!</v>
      </c>
      <c r="R696" s="100">
        <f t="shared" si="65"/>
        <v>0.43387671059875982</v>
      </c>
      <c r="S696" s="83"/>
      <c r="T696" s="83"/>
      <c r="U696" s="101">
        <f t="shared" si="66"/>
        <v>2021.2824107652905</v>
      </c>
      <c r="V696" s="45"/>
      <c r="W696" s="45"/>
      <c r="X696" s="45"/>
      <c r="Y696" s="45"/>
      <c r="Z696" s="45"/>
      <c r="AA696" s="45"/>
    </row>
    <row r="697" spans="2:27" x14ac:dyDescent="0.45">
      <c r="B697" s="45" t="s">
        <v>503</v>
      </c>
      <c r="C697" s="90"/>
      <c r="D697" s="56"/>
      <c r="E697" s="84"/>
      <c r="F697" s="58"/>
      <c r="G697" s="58"/>
      <c r="H697" s="58"/>
      <c r="I697" s="58"/>
      <c r="J697" s="58"/>
      <c r="K697" s="58"/>
      <c r="L697" s="59">
        <f t="shared" si="63"/>
        <v>0</v>
      </c>
      <c r="M697" s="68"/>
      <c r="N697" s="68"/>
      <c r="O697" s="68"/>
      <c r="P697" s="68"/>
      <c r="Q697" s="99" t="e">
        <f t="shared" si="64"/>
        <v>#DIV/0!</v>
      </c>
      <c r="R697" s="100">
        <f t="shared" si="65"/>
        <v>0.43387671059875982</v>
      </c>
      <c r="S697" s="83"/>
      <c r="T697" s="83"/>
      <c r="U697" s="101">
        <f t="shared" si="66"/>
        <v>2021.2824107652905</v>
      </c>
      <c r="V697" s="45"/>
      <c r="W697" s="45"/>
      <c r="X697" s="45"/>
      <c r="Y697" s="45"/>
      <c r="Z697" s="45"/>
      <c r="AA697" s="45"/>
    </row>
    <row r="698" spans="2:27" ht="17" x14ac:dyDescent="0.45">
      <c r="C698" s="98"/>
    </row>
    <row r="699" spans="2:27" ht="17" x14ac:dyDescent="0.45">
      <c r="C699" s="98"/>
    </row>
    <row r="700" spans="2:27" ht="17" x14ac:dyDescent="0.45">
      <c r="C700" s="98"/>
    </row>
    <row r="701" spans="2:27" ht="17" x14ac:dyDescent="0.45">
      <c r="C701" s="98"/>
    </row>
    <row r="702" spans="2:27" ht="17" x14ac:dyDescent="0.45">
      <c r="C702" s="98"/>
    </row>
    <row r="703" spans="2:27" ht="17" x14ac:dyDescent="0.45">
      <c r="C703" s="98"/>
    </row>
    <row r="704" spans="2:27" ht="17" x14ac:dyDescent="0.45">
      <c r="C704" s="98"/>
    </row>
    <row r="705" spans="3:3" ht="17" x14ac:dyDescent="0.45">
      <c r="C705" s="98"/>
    </row>
    <row r="706" spans="3:3" ht="17" x14ac:dyDescent="0.45">
      <c r="C706" s="98"/>
    </row>
    <row r="707" spans="3:3" ht="17" x14ac:dyDescent="0.45">
      <c r="C707" s="98"/>
    </row>
    <row r="708" spans="3:3" ht="17" x14ac:dyDescent="0.45">
      <c r="C708" s="98"/>
    </row>
    <row r="709" spans="3:3" ht="17" x14ac:dyDescent="0.45">
      <c r="C709" s="98"/>
    </row>
    <row r="710" spans="3:3" ht="17" x14ac:dyDescent="0.45">
      <c r="C710" s="98"/>
    </row>
    <row r="711" spans="3:3" ht="17" x14ac:dyDescent="0.45">
      <c r="C711" s="98"/>
    </row>
    <row r="712" spans="3:3" ht="17" x14ac:dyDescent="0.45">
      <c r="C712" s="98"/>
    </row>
    <row r="713" spans="3:3" ht="17" x14ac:dyDescent="0.45">
      <c r="C713" s="98"/>
    </row>
    <row r="714" spans="3:3" ht="17" x14ac:dyDescent="0.45">
      <c r="C714" s="98"/>
    </row>
    <row r="715" spans="3:3" ht="17" x14ac:dyDescent="0.45">
      <c r="C715" s="98"/>
    </row>
    <row r="716" spans="3:3" ht="17" x14ac:dyDescent="0.45">
      <c r="C716" s="98"/>
    </row>
    <row r="717" spans="3:3" ht="17" x14ac:dyDescent="0.45">
      <c r="C717" s="98"/>
    </row>
    <row r="718" spans="3:3" ht="17" x14ac:dyDescent="0.45">
      <c r="C718" s="98"/>
    </row>
    <row r="719" spans="3:3" ht="17" x14ac:dyDescent="0.45">
      <c r="C719" s="98"/>
    </row>
    <row r="720" spans="3:3" ht="17" x14ac:dyDescent="0.45">
      <c r="C720" s="98"/>
    </row>
    <row r="721" spans="3:3" ht="17" x14ac:dyDescent="0.45">
      <c r="C721" s="98"/>
    </row>
    <row r="722" spans="3:3" ht="17" x14ac:dyDescent="0.45">
      <c r="C722" s="98"/>
    </row>
    <row r="723" spans="3:3" ht="17" x14ac:dyDescent="0.45">
      <c r="C723" s="98"/>
    </row>
    <row r="724" spans="3:3" ht="17" x14ac:dyDescent="0.45">
      <c r="C724" s="98"/>
    </row>
    <row r="725" spans="3:3" ht="17" x14ac:dyDescent="0.45">
      <c r="C725" s="98"/>
    </row>
    <row r="726" spans="3:3" ht="17" x14ac:dyDescent="0.45">
      <c r="C726" s="98"/>
    </row>
    <row r="727" spans="3:3" ht="17" x14ac:dyDescent="0.45">
      <c r="C727" s="98"/>
    </row>
    <row r="728" spans="3:3" ht="17" x14ac:dyDescent="0.45">
      <c r="C728" s="98"/>
    </row>
    <row r="729" spans="3:3" ht="17" x14ac:dyDescent="0.45">
      <c r="C729" s="98"/>
    </row>
    <row r="730" spans="3:3" ht="17" x14ac:dyDescent="0.45">
      <c r="C730" s="98"/>
    </row>
    <row r="731" spans="3:3" ht="17" x14ac:dyDescent="0.45">
      <c r="C731" s="98"/>
    </row>
    <row r="732" spans="3:3" ht="17" x14ac:dyDescent="0.45">
      <c r="C732" s="98"/>
    </row>
    <row r="733" spans="3:3" ht="17" x14ac:dyDescent="0.45">
      <c r="C733" s="98"/>
    </row>
    <row r="734" spans="3:3" ht="17" x14ac:dyDescent="0.45">
      <c r="C734" s="98"/>
    </row>
    <row r="735" spans="3:3" ht="17" x14ac:dyDescent="0.45">
      <c r="C735" s="98"/>
    </row>
    <row r="736" spans="3:3" ht="17" x14ac:dyDescent="0.45">
      <c r="C736" s="98"/>
    </row>
    <row r="737" spans="3:3" ht="17" x14ac:dyDescent="0.45">
      <c r="C737" s="98"/>
    </row>
    <row r="738" spans="3:3" ht="17" x14ac:dyDescent="0.45">
      <c r="C738" s="98"/>
    </row>
    <row r="739" spans="3:3" ht="17" x14ac:dyDescent="0.45">
      <c r="C739" s="98"/>
    </row>
    <row r="740" spans="3:3" ht="17" x14ac:dyDescent="0.45">
      <c r="C740" s="98"/>
    </row>
    <row r="741" spans="3:3" ht="17" x14ac:dyDescent="0.45">
      <c r="C741" s="98"/>
    </row>
    <row r="742" spans="3:3" ht="17" x14ac:dyDescent="0.45">
      <c r="C742" s="98"/>
    </row>
    <row r="743" spans="3:3" ht="17" x14ac:dyDescent="0.45">
      <c r="C743" s="98"/>
    </row>
    <row r="744" spans="3:3" ht="17" x14ac:dyDescent="0.45">
      <c r="C744" s="98"/>
    </row>
    <row r="745" spans="3:3" ht="17" x14ac:dyDescent="0.45">
      <c r="C745" s="98"/>
    </row>
    <row r="746" spans="3:3" ht="17" x14ac:dyDescent="0.45">
      <c r="C746" s="98"/>
    </row>
    <row r="747" spans="3:3" ht="17" x14ac:dyDescent="0.45">
      <c r="C747" s="98"/>
    </row>
    <row r="748" spans="3:3" ht="17" x14ac:dyDescent="0.45">
      <c r="C748" s="98"/>
    </row>
    <row r="749" spans="3:3" ht="17" x14ac:dyDescent="0.45">
      <c r="C749" s="98"/>
    </row>
    <row r="750" spans="3:3" ht="17" x14ac:dyDescent="0.45">
      <c r="C750" s="98"/>
    </row>
    <row r="751" spans="3:3" ht="17" x14ac:dyDescent="0.45">
      <c r="C751" s="98"/>
    </row>
    <row r="752" spans="3:3" ht="17" x14ac:dyDescent="0.45">
      <c r="C752" s="98"/>
    </row>
    <row r="753" spans="3:3" ht="17" x14ac:dyDescent="0.45">
      <c r="C753" s="98"/>
    </row>
    <row r="754" spans="3:3" ht="17" x14ac:dyDescent="0.45">
      <c r="C754" s="98"/>
    </row>
    <row r="755" spans="3:3" ht="17" x14ac:dyDescent="0.45">
      <c r="C755" s="98"/>
    </row>
    <row r="756" spans="3:3" ht="17" x14ac:dyDescent="0.45">
      <c r="C756" s="98"/>
    </row>
    <row r="757" spans="3:3" ht="17" x14ac:dyDescent="0.45">
      <c r="C757" s="98"/>
    </row>
    <row r="758" spans="3:3" ht="17" x14ac:dyDescent="0.45">
      <c r="C758" s="98"/>
    </row>
    <row r="759" spans="3:3" ht="17" x14ac:dyDescent="0.45">
      <c r="C759" s="98"/>
    </row>
    <row r="760" spans="3:3" ht="17" x14ac:dyDescent="0.45">
      <c r="C760" s="98"/>
    </row>
    <row r="761" spans="3:3" ht="17" x14ac:dyDescent="0.45">
      <c r="C761" s="98"/>
    </row>
    <row r="762" spans="3:3" ht="17" x14ac:dyDescent="0.45">
      <c r="C762" s="98"/>
    </row>
    <row r="763" spans="3:3" ht="17" x14ac:dyDescent="0.45">
      <c r="C763" s="98"/>
    </row>
    <row r="764" spans="3:3" ht="17" x14ac:dyDescent="0.45">
      <c r="C764" s="98"/>
    </row>
    <row r="765" spans="3:3" ht="17" x14ac:dyDescent="0.45">
      <c r="C765" s="98"/>
    </row>
    <row r="766" spans="3:3" ht="17" x14ac:dyDescent="0.45">
      <c r="C766" s="98"/>
    </row>
    <row r="767" spans="3:3" ht="17" x14ac:dyDescent="0.45">
      <c r="C767" s="98"/>
    </row>
    <row r="768" spans="3:3" ht="17" x14ac:dyDescent="0.45">
      <c r="C768" s="98"/>
    </row>
    <row r="769" spans="3:3" ht="17" x14ac:dyDescent="0.45">
      <c r="C769" s="98"/>
    </row>
    <row r="770" spans="3:3" ht="17" x14ac:dyDescent="0.45">
      <c r="C770" s="98"/>
    </row>
    <row r="771" spans="3:3" ht="17" x14ac:dyDescent="0.45">
      <c r="C771" s="98"/>
    </row>
    <row r="772" spans="3:3" ht="17" x14ac:dyDescent="0.45">
      <c r="C772" s="98"/>
    </row>
    <row r="773" spans="3:3" ht="17" x14ac:dyDescent="0.45">
      <c r="C773" s="98"/>
    </row>
    <row r="774" spans="3:3" ht="17" x14ac:dyDescent="0.45">
      <c r="C774" s="98"/>
    </row>
    <row r="775" spans="3:3" ht="17" x14ac:dyDescent="0.45">
      <c r="C775" s="98"/>
    </row>
    <row r="776" spans="3:3" ht="17" x14ac:dyDescent="0.45">
      <c r="C776" s="98"/>
    </row>
    <row r="777" spans="3:3" ht="17" x14ac:dyDescent="0.45">
      <c r="C777" s="98"/>
    </row>
    <row r="778" spans="3:3" ht="17" x14ac:dyDescent="0.45">
      <c r="C778" s="98"/>
    </row>
    <row r="779" spans="3:3" ht="17" x14ac:dyDescent="0.45">
      <c r="C779" s="98"/>
    </row>
    <row r="780" spans="3:3" ht="17" x14ac:dyDescent="0.45">
      <c r="C780" s="98"/>
    </row>
    <row r="781" spans="3:3" ht="17" x14ac:dyDescent="0.45">
      <c r="C781" s="98"/>
    </row>
    <row r="782" spans="3:3" ht="17" x14ac:dyDescent="0.45">
      <c r="C782" s="98"/>
    </row>
    <row r="783" spans="3:3" ht="17" x14ac:dyDescent="0.45">
      <c r="C783" s="98"/>
    </row>
    <row r="784" spans="3:3" ht="17" x14ac:dyDescent="0.45">
      <c r="C784" s="98"/>
    </row>
    <row r="785" spans="3:3" ht="17" x14ac:dyDescent="0.45">
      <c r="C785" s="98"/>
    </row>
    <row r="786" spans="3:3" ht="17" x14ac:dyDescent="0.45">
      <c r="C786" s="98"/>
    </row>
    <row r="787" spans="3:3" ht="17" x14ac:dyDescent="0.45">
      <c r="C787" s="98"/>
    </row>
    <row r="788" spans="3:3" ht="17" x14ac:dyDescent="0.45">
      <c r="C788" s="98"/>
    </row>
    <row r="789" spans="3:3" ht="17" x14ac:dyDescent="0.45">
      <c r="C789" s="98"/>
    </row>
    <row r="790" spans="3:3" ht="17" x14ac:dyDescent="0.45">
      <c r="C790" s="98"/>
    </row>
    <row r="791" spans="3:3" ht="17" x14ac:dyDescent="0.45">
      <c r="C791" s="98"/>
    </row>
    <row r="792" spans="3:3" ht="17" x14ac:dyDescent="0.45">
      <c r="C792" s="98"/>
    </row>
    <row r="793" spans="3:3" ht="17" x14ac:dyDescent="0.45">
      <c r="C793" s="98"/>
    </row>
    <row r="794" spans="3:3" ht="17" x14ac:dyDescent="0.45">
      <c r="C794" s="98"/>
    </row>
    <row r="795" spans="3:3" ht="17" x14ac:dyDescent="0.45">
      <c r="C795" s="98"/>
    </row>
    <row r="796" spans="3:3" ht="17" x14ac:dyDescent="0.45">
      <c r="C796" s="98"/>
    </row>
    <row r="797" spans="3:3" ht="17" x14ac:dyDescent="0.45">
      <c r="C797" s="98"/>
    </row>
    <row r="798" spans="3:3" ht="17" x14ac:dyDescent="0.45">
      <c r="C798" s="98"/>
    </row>
    <row r="799" spans="3:3" ht="17" x14ac:dyDescent="0.45">
      <c r="C799" s="98"/>
    </row>
    <row r="800" spans="3:3" ht="17" x14ac:dyDescent="0.45">
      <c r="C800" s="98"/>
    </row>
    <row r="801" spans="3:3" ht="17" x14ac:dyDescent="0.45">
      <c r="C801" s="98"/>
    </row>
    <row r="802" spans="3:3" ht="17" x14ac:dyDescent="0.45">
      <c r="C802" s="98"/>
    </row>
    <row r="803" spans="3:3" ht="17" x14ac:dyDescent="0.45">
      <c r="C803" s="98"/>
    </row>
    <row r="804" spans="3:3" ht="17" x14ac:dyDescent="0.45">
      <c r="C804" s="98"/>
    </row>
    <row r="805" spans="3:3" ht="17" x14ac:dyDescent="0.45">
      <c r="C805" s="98"/>
    </row>
    <row r="806" spans="3:3" ht="17" x14ac:dyDescent="0.45">
      <c r="C806" s="98"/>
    </row>
    <row r="807" spans="3:3" ht="17" x14ac:dyDescent="0.45">
      <c r="C807" s="98"/>
    </row>
    <row r="808" spans="3:3" ht="17" x14ac:dyDescent="0.45">
      <c r="C808" s="98"/>
    </row>
    <row r="809" spans="3:3" ht="17" x14ac:dyDescent="0.45">
      <c r="C809" s="98"/>
    </row>
    <row r="810" spans="3:3" ht="17" x14ac:dyDescent="0.45">
      <c r="C810" s="98"/>
    </row>
    <row r="811" spans="3:3" ht="17" x14ac:dyDescent="0.45">
      <c r="C811" s="98"/>
    </row>
    <row r="812" spans="3:3" ht="17" x14ac:dyDescent="0.45">
      <c r="C812" s="98"/>
    </row>
    <row r="813" spans="3:3" ht="17" x14ac:dyDescent="0.45">
      <c r="C813" s="98"/>
    </row>
    <row r="814" spans="3:3" ht="17" x14ac:dyDescent="0.45">
      <c r="C814" s="98"/>
    </row>
    <row r="815" spans="3:3" ht="17" x14ac:dyDescent="0.45">
      <c r="C815" s="98"/>
    </row>
    <row r="816" spans="3:3" ht="17" x14ac:dyDescent="0.45">
      <c r="C816" s="98"/>
    </row>
    <row r="817" spans="3:3" ht="17" x14ac:dyDescent="0.45">
      <c r="C817" s="98"/>
    </row>
    <row r="818" spans="3:3" ht="17" x14ac:dyDescent="0.45">
      <c r="C818" s="98"/>
    </row>
    <row r="819" spans="3:3" ht="17" x14ac:dyDescent="0.45">
      <c r="C819" s="98"/>
    </row>
    <row r="820" spans="3:3" ht="17" x14ac:dyDescent="0.45">
      <c r="C820" s="98"/>
    </row>
    <row r="821" spans="3:3" ht="17" x14ac:dyDescent="0.45">
      <c r="C821" s="98"/>
    </row>
    <row r="822" spans="3:3" ht="17" x14ac:dyDescent="0.45">
      <c r="C822" s="98"/>
    </row>
    <row r="823" spans="3:3" ht="17" x14ac:dyDescent="0.45">
      <c r="C823" s="98"/>
    </row>
    <row r="824" spans="3:3" ht="17" x14ac:dyDescent="0.45">
      <c r="C824" s="98"/>
    </row>
    <row r="825" spans="3:3" ht="17" x14ac:dyDescent="0.45">
      <c r="C825" s="98"/>
    </row>
    <row r="826" spans="3:3" ht="17" x14ac:dyDescent="0.45">
      <c r="C826" s="98"/>
    </row>
    <row r="827" spans="3:3" ht="17" x14ac:dyDescent="0.45">
      <c r="C827" s="98"/>
    </row>
    <row r="828" spans="3:3" ht="17" x14ac:dyDescent="0.45">
      <c r="C828" s="98"/>
    </row>
    <row r="829" spans="3:3" ht="17" x14ac:dyDescent="0.45">
      <c r="C829" s="98"/>
    </row>
    <row r="830" spans="3:3" ht="17" x14ac:dyDescent="0.45">
      <c r="C830" s="98"/>
    </row>
    <row r="831" spans="3:3" ht="17" x14ac:dyDescent="0.45">
      <c r="C831" s="98"/>
    </row>
    <row r="832" spans="3:3" ht="17" x14ac:dyDescent="0.45">
      <c r="C832" s="98"/>
    </row>
    <row r="833" spans="3:3" ht="17" x14ac:dyDescent="0.45">
      <c r="C833" s="98"/>
    </row>
    <row r="834" spans="3:3" ht="17" x14ac:dyDescent="0.45">
      <c r="C834" s="98"/>
    </row>
    <row r="835" spans="3:3" ht="17" x14ac:dyDescent="0.45">
      <c r="C835" s="98"/>
    </row>
    <row r="836" spans="3:3" ht="17" x14ac:dyDescent="0.45">
      <c r="C836" s="98"/>
    </row>
    <row r="837" spans="3:3" ht="17" x14ac:dyDescent="0.45">
      <c r="C837" s="98"/>
    </row>
    <row r="838" spans="3:3" ht="17" x14ac:dyDescent="0.45">
      <c r="C838" s="98"/>
    </row>
    <row r="839" spans="3:3" ht="17" x14ac:dyDescent="0.45">
      <c r="C839" s="98"/>
    </row>
    <row r="840" spans="3:3" ht="17" x14ac:dyDescent="0.45">
      <c r="C840" s="98"/>
    </row>
    <row r="841" spans="3:3" ht="17" x14ac:dyDescent="0.45">
      <c r="C841" s="98"/>
    </row>
    <row r="842" spans="3:3" ht="17" x14ac:dyDescent="0.45">
      <c r="C842" s="98"/>
    </row>
    <row r="843" spans="3:3" ht="17" x14ac:dyDescent="0.45">
      <c r="C843" s="98"/>
    </row>
    <row r="844" spans="3:3" ht="17" x14ac:dyDescent="0.45">
      <c r="C844" s="98"/>
    </row>
    <row r="845" spans="3:3" ht="17" x14ac:dyDescent="0.45">
      <c r="C845" s="98"/>
    </row>
    <row r="846" spans="3:3" ht="17" x14ac:dyDescent="0.45">
      <c r="C846" s="98"/>
    </row>
    <row r="847" spans="3:3" ht="17" x14ac:dyDescent="0.45">
      <c r="C847" s="98"/>
    </row>
    <row r="848" spans="3:3" ht="17" x14ac:dyDescent="0.45">
      <c r="C848" s="98"/>
    </row>
    <row r="849" spans="3:3" ht="17" x14ac:dyDescent="0.45">
      <c r="C849" s="98"/>
    </row>
    <row r="850" spans="3:3" ht="17" x14ac:dyDescent="0.45">
      <c r="C850" s="98"/>
    </row>
    <row r="851" spans="3:3" ht="17" x14ac:dyDescent="0.45">
      <c r="C851" s="98"/>
    </row>
    <row r="852" spans="3:3" ht="17" x14ac:dyDescent="0.45">
      <c r="C852" s="98"/>
    </row>
    <row r="853" spans="3:3" ht="17" x14ac:dyDescent="0.45">
      <c r="C853" s="98"/>
    </row>
    <row r="854" spans="3:3" ht="17" x14ac:dyDescent="0.45">
      <c r="C854" s="98"/>
    </row>
    <row r="855" spans="3:3" ht="17" x14ac:dyDescent="0.45">
      <c r="C855" s="98"/>
    </row>
    <row r="856" spans="3:3" ht="17" x14ac:dyDescent="0.45">
      <c r="C856" s="98"/>
    </row>
    <row r="857" spans="3:3" ht="17" x14ac:dyDescent="0.45">
      <c r="C857" s="98"/>
    </row>
    <row r="858" spans="3:3" ht="17" x14ac:dyDescent="0.45">
      <c r="C858" s="98"/>
    </row>
    <row r="859" spans="3:3" ht="17" x14ac:dyDescent="0.45">
      <c r="C859" s="98"/>
    </row>
    <row r="860" spans="3:3" ht="17" x14ac:dyDescent="0.45">
      <c r="C860" s="98"/>
    </row>
    <row r="861" spans="3:3" ht="17" x14ac:dyDescent="0.45">
      <c r="C861" s="98"/>
    </row>
    <row r="862" spans="3:3" ht="17" x14ac:dyDescent="0.45">
      <c r="C862" s="98"/>
    </row>
    <row r="863" spans="3:3" ht="17" x14ac:dyDescent="0.45">
      <c r="C863" s="98"/>
    </row>
    <row r="864" spans="3:3" ht="17" x14ac:dyDescent="0.45">
      <c r="C864" s="98"/>
    </row>
    <row r="865" spans="3:3" ht="17" x14ac:dyDescent="0.45">
      <c r="C865" s="98"/>
    </row>
    <row r="866" spans="3:3" ht="17" x14ac:dyDescent="0.45">
      <c r="C866" s="98"/>
    </row>
    <row r="867" spans="3:3" ht="17" x14ac:dyDescent="0.45">
      <c r="C867" s="98"/>
    </row>
    <row r="868" spans="3:3" ht="17" x14ac:dyDescent="0.45">
      <c r="C868" s="98"/>
    </row>
    <row r="869" spans="3:3" ht="17" x14ac:dyDescent="0.45">
      <c r="C869" s="98"/>
    </row>
    <row r="870" spans="3:3" ht="17" x14ac:dyDescent="0.45">
      <c r="C870" s="98"/>
    </row>
    <row r="871" spans="3:3" ht="17" x14ac:dyDescent="0.45">
      <c r="C871" s="98"/>
    </row>
    <row r="872" spans="3:3" ht="17" x14ac:dyDescent="0.45">
      <c r="C872" s="98"/>
    </row>
    <row r="873" spans="3:3" ht="17" x14ac:dyDescent="0.45">
      <c r="C873" s="98"/>
    </row>
    <row r="874" spans="3:3" ht="17" x14ac:dyDescent="0.45">
      <c r="C874" s="98"/>
    </row>
    <row r="875" spans="3:3" ht="17" x14ac:dyDescent="0.45">
      <c r="C875" s="98"/>
    </row>
    <row r="876" spans="3:3" ht="17" x14ac:dyDescent="0.45">
      <c r="C876" s="98"/>
    </row>
    <row r="877" spans="3:3" ht="17" x14ac:dyDescent="0.45">
      <c r="C877" s="98"/>
    </row>
    <row r="878" spans="3:3" ht="17" x14ac:dyDescent="0.45">
      <c r="C878" s="98"/>
    </row>
    <row r="879" spans="3:3" ht="17" x14ac:dyDescent="0.45">
      <c r="C879" s="98"/>
    </row>
    <row r="880" spans="3:3" ht="17" x14ac:dyDescent="0.45">
      <c r="C880" s="98"/>
    </row>
    <row r="881" spans="3:3" ht="17" x14ac:dyDescent="0.45">
      <c r="C881" s="98"/>
    </row>
    <row r="882" spans="3:3" ht="17" x14ac:dyDescent="0.45">
      <c r="C882" s="98"/>
    </row>
    <row r="883" spans="3:3" ht="17" x14ac:dyDescent="0.45">
      <c r="C883" s="98"/>
    </row>
    <row r="884" spans="3:3" ht="17" x14ac:dyDescent="0.45">
      <c r="C884" s="98"/>
    </row>
    <row r="885" spans="3:3" ht="17" x14ac:dyDescent="0.45">
      <c r="C885" s="98"/>
    </row>
    <row r="886" spans="3:3" ht="17" x14ac:dyDescent="0.45">
      <c r="C886" s="98"/>
    </row>
    <row r="887" spans="3:3" ht="17" x14ac:dyDescent="0.45">
      <c r="C887" s="98"/>
    </row>
    <row r="888" spans="3:3" ht="17" x14ac:dyDescent="0.45">
      <c r="C888" s="98"/>
    </row>
    <row r="889" spans="3:3" ht="17" x14ac:dyDescent="0.45">
      <c r="C889" s="98"/>
    </row>
    <row r="890" spans="3:3" ht="17" x14ac:dyDescent="0.45">
      <c r="C890" s="98"/>
    </row>
    <row r="891" spans="3:3" ht="17" x14ac:dyDescent="0.45">
      <c r="C891" s="98"/>
    </row>
    <row r="892" spans="3:3" ht="17" x14ac:dyDescent="0.45">
      <c r="C892" s="98"/>
    </row>
    <row r="893" spans="3:3" ht="17" x14ac:dyDescent="0.45">
      <c r="C893" s="98"/>
    </row>
    <row r="894" spans="3:3" ht="17" x14ac:dyDescent="0.45">
      <c r="C894" s="98"/>
    </row>
    <row r="895" spans="3:3" ht="17" x14ac:dyDescent="0.45">
      <c r="C895" s="98"/>
    </row>
    <row r="896" spans="3:3" ht="17" x14ac:dyDescent="0.45">
      <c r="C896" s="98"/>
    </row>
    <row r="897" spans="3:3" ht="17" x14ac:dyDescent="0.45">
      <c r="C897" s="98"/>
    </row>
    <row r="898" spans="3:3" ht="17" x14ac:dyDescent="0.45">
      <c r="C898" s="98"/>
    </row>
    <row r="899" spans="3:3" ht="17" x14ac:dyDescent="0.45">
      <c r="C899" s="98"/>
    </row>
    <row r="900" spans="3:3" ht="17" x14ac:dyDescent="0.45">
      <c r="C900" s="98"/>
    </row>
    <row r="901" spans="3:3" ht="17" x14ac:dyDescent="0.45">
      <c r="C901" s="98"/>
    </row>
    <row r="902" spans="3:3" ht="17" x14ac:dyDescent="0.45">
      <c r="C902" s="98"/>
    </row>
    <row r="903" spans="3:3" ht="17" x14ac:dyDescent="0.45">
      <c r="C903" s="98"/>
    </row>
    <row r="904" spans="3:3" ht="17" x14ac:dyDescent="0.45">
      <c r="C904" s="98"/>
    </row>
    <row r="905" spans="3:3" ht="17" x14ac:dyDescent="0.45">
      <c r="C905" s="98"/>
    </row>
    <row r="906" spans="3:3" ht="17" x14ac:dyDescent="0.45">
      <c r="C906" s="98"/>
    </row>
    <row r="907" spans="3:3" ht="17" x14ac:dyDescent="0.45">
      <c r="C907" s="98"/>
    </row>
  </sheetData>
  <mergeCells count="26">
    <mergeCell ref="B18:D18"/>
    <mergeCell ref="AY18:BB18"/>
    <mergeCell ref="B19:C19"/>
    <mergeCell ref="Z9:Z10"/>
    <mergeCell ref="AA9:AA10"/>
    <mergeCell ref="B11:D11"/>
    <mergeCell ref="B12:D12"/>
    <mergeCell ref="B13:D13"/>
    <mergeCell ref="B14:D14"/>
    <mergeCell ref="Q9:Q10"/>
    <mergeCell ref="R9:R10"/>
    <mergeCell ref="S9:T9"/>
    <mergeCell ref="U9:U10"/>
    <mergeCell ref="V9:W9"/>
    <mergeCell ref="X9:Y9"/>
    <mergeCell ref="B15:D15"/>
    <mergeCell ref="B16:D16"/>
    <mergeCell ref="B17:D17"/>
    <mergeCell ref="F1:O7"/>
    <mergeCell ref="B9:B10"/>
    <mergeCell ref="C9:D9"/>
    <mergeCell ref="F9:G9"/>
    <mergeCell ref="H9:I9"/>
    <mergeCell ref="J9:K9"/>
    <mergeCell ref="L9:L10"/>
    <mergeCell ref="M9:O9"/>
  </mergeCells>
  <phoneticPr fontId="3" type="noConversion"/>
  <conditionalFormatting sqref="C1:C18 C908:C1048576 C601:C697">
    <cfRule type="duplicateValues" dxfId="101" priority="27"/>
  </conditionalFormatting>
  <conditionalFormatting sqref="C1:C1048576">
    <cfRule type="duplicateValues" dxfId="100" priority="3"/>
  </conditionalFormatting>
  <conditionalFormatting sqref="C20:C43 C47:C60">
    <cfRule type="duplicateValues" dxfId="99" priority="15"/>
  </conditionalFormatting>
  <conditionalFormatting sqref="C43:C47">
    <cfRule type="duplicateValues" dxfId="98" priority="12"/>
  </conditionalFormatting>
  <conditionalFormatting sqref="C60:C600">
    <cfRule type="duplicateValues" dxfId="97" priority="14"/>
  </conditionalFormatting>
  <conditionalFormatting sqref="C606:C907">
    <cfRule type="duplicateValues" dxfId="96" priority="4"/>
  </conditionalFormatting>
  <conditionalFormatting sqref="D20:E600">
    <cfRule type="containsText" dxfId="95" priority="11" operator="containsText" text="NG">
      <formula>NOT(ISERROR(SEARCH("NG",D20)))</formula>
    </cfRule>
  </conditionalFormatting>
  <conditionalFormatting sqref="D698:E1048576 D10:E10">
    <cfRule type="duplicateValues" dxfId="94" priority="961"/>
  </conditionalFormatting>
  <conditionalFormatting sqref="D698:E1048576">
    <cfRule type="duplicateValues" dxfId="93" priority="963"/>
  </conditionalFormatting>
  <conditionalFormatting sqref="L20:L697">
    <cfRule type="cellIs" dxfId="92" priority="1" operator="lessThan">
      <formula>70.8</formula>
    </cfRule>
    <cfRule type="cellIs" dxfId="91" priority="2" operator="lessThan">
      <formula>$L$11</formula>
    </cfRule>
  </conditionalFormatting>
  <conditionalFormatting sqref="O20:O697">
    <cfRule type="cellIs" dxfId="87" priority="5" operator="lessThan">
      <formula>900</formula>
    </cfRule>
    <cfRule type="cellIs" dxfId="86" priority="6" operator="greaterThan">
      <formula>945</formula>
    </cfRule>
  </conditionalFormatting>
  <conditionalFormatting sqref="Q20:Q697">
    <cfRule type="cellIs" dxfId="85" priority="7" operator="lessThan">
      <formula>1000</formula>
    </cfRule>
  </conditionalFormatting>
  <conditionalFormatting sqref="R20:R697">
    <cfRule type="cellIs" dxfId="90" priority="8" operator="greaterThan">
      <formula>0.005</formula>
    </cfRule>
  </conditionalFormatting>
  <conditionalFormatting sqref="S20:S697">
    <cfRule type="cellIs" dxfId="89" priority="9" operator="lessThan">
      <formula>80</formula>
    </cfRule>
  </conditionalFormatting>
  <conditionalFormatting sqref="T20:T697">
    <cfRule type="cellIs" dxfId="88" priority="10" operator="less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ECE6-D2BB-4EC3-8053-8B6BEFBC1271}">
  <dimension ref="B1:BB907"/>
  <sheetViews>
    <sheetView showGridLines="0" zoomScale="70" zoomScaleNormal="70" workbookViewId="0"/>
  </sheetViews>
  <sheetFormatPr defaultColWidth="8.33203125" defaultRowHeight="16" x14ac:dyDescent="0.45"/>
  <cols>
    <col min="1" max="1" width="4.83203125" style="1" customWidth="1"/>
    <col min="2" max="2" width="4.33203125" style="1" bestFit="1" customWidth="1"/>
    <col min="3" max="3" width="49.58203125" style="91" bestFit="1" customWidth="1"/>
    <col min="4" max="5" width="12.5" style="1" customWidth="1"/>
    <col min="6" max="14" width="9.58203125" style="1" customWidth="1"/>
    <col min="15" max="15" width="9.58203125" style="66" customWidth="1"/>
    <col min="16" max="16" width="9.58203125" style="85" customWidth="1"/>
    <col min="17" max="17" width="10.58203125" style="1" customWidth="1"/>
    <col min="18" max="18" width="19.08203125" style="1" bestFit="1" customWidth="1"/>
    <col min="19" max="20" width="10.58203125" style="1" customWidth="1"/>
    <col min="21" max="21" width="10.08203125" style="1" bestFit="1" customWidth="1"/>
    <col min="22" max="22" width="8" style="1" hidden="1" customWidth="1"/>
    <col min="23" max="23" width="10.5" style="1" hidden="1" customWidth="1"/>
    <col min="24" max="26" width="8" style="1" hidden="1" customWidth="1"/>
    <col min="27" max="27" width="13.33203125" style="1" customWidth="1"/>
    <col min="28" max="28" width="14.33203125" style="1" bestFit="1" customWidth="1"/>
    <col min="29" max="47" width="8.33203125" style="1"/>
    <col min="48" max="49" width="8.33203125" style="52" customWidth="1"/>
    <col min="50" max="16384" width="8.33203125" style="1"/>
  </cols>
  <sheetData>
    <row r="1" spans="2:29" ht="15.65" customHeight="1" x14ac:dyDescent="0.45">
      <c r="C1" s="86"/>
      <c r="D1" s="3"/>
      <c r="E1" s="2"/>
      <c r="F1" s="108" t="str">
        <f>R2&amp;"-"&amp;R3&amp;"-"&amp;R4&amp;" Optical Measurement"</f>
        <v>WINE-VDA129BLAC01- Optical Measurement</v>
      </c>
      <c r="G1" s="108"/>
      <c r="H1" s="108"/>
      <c r="I1" s="108"/>
      <c r="J1" s="108"/>
      <c r="K1" s="108"/>
      <c r="L1" s="108"/>
      <c r="M1" s="108"/>
      <c r="N1" s="108"/>
      <c r="O1" s="108"/>
      <c r="P1" s="4"/>
      <c r="Q1" s="4"/>
      <c r="R1" s="4"/>
      <c r="S1" s="2"/>
      <c r="T1" s="2"/>
      <c r="U1" s="2"/>
      <c r="V1" s="2"/>
      <c r="W1" s="2"/>
      <c r="X1" s="2"/>
      <c r="Y1" s="2"/>
      <c r="Z1" s="2"/>
      <c r="AA1" s="2"/>
    </row>
    <row r="2" spans="2:29" ht="15.65" customHeight="1" x14ac:dyDescent="0.45">
      <c r="C2" s="86"/>
      <c r="D2" s="3"/>
      <c r="E2" s="2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5" t="s">
        <v>0</v>
      </c>
      <c r="Q2" s="4"/>
      <c r="R2" s="6" t="s">
        <v>1</v>
      </c>
      <c r="S2" s="7"/>
      <c r="T2" s="2"/>
      <c r="U2" s="2"/>
      <c r="V2" s="2"/>
      <c r="W2" s="2"/>
      <c r="X2" s="2"/>
      <c r="Y2" s="2"/>
      <c r="Z2" s="2"/>
      <c r="AA2" s="2"/>
    </row>
    <row r="3" spans="2:29" ht="15.65" customHeight="1" x14ac:dyDescent="0.45">
      <c r="B3" s="3"/>
      <c r="C3" s="87"/>
      <c r="D3" s="3"/>
      <c r="E3" s="3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5" t="s">
        <v>2</v>
      </c>
      <c r="Q3" s="8"/>
      <c r="R3" s="6" t="s">
        <v>3</v>
      </c>
      <c r="S3" s="9"/>
      <c r="V3" s="10"/>
      <c r="W3" s="10"/>
      <c r="X3" s="10"/>
      <c r="Y3" s="10"/>
      <c r="Z3" s="10"/>
      <c r="AA3" s="10"/>
    </row>
    <row r="4" spans="2:29" ht="15.65" customHeight="1" x14ac:dyDescent="0.45">
      <c r="B4" s="3"/>
      <c r="C4" s="87"/>
      <c r="D4" s="3"/>
      <c r="E4" s="3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5" t="s">
        <v>4</v>
      </c>
      <c r="Q4" s="8"/>
      <c r="R4" s="6"/>
      <c r="S4" s="9"/>
      <c r="V4" s="10"/>
      <c r="W4" s="10"/>
      <c r="X4" s="10"/>
      <c r="Y4" s="10"/>
      <c r="Z4" s="10"/>
      <c r="AA4" s="10"/>
    </row>
    <row r="5" spans="2:29" ht="15.65" customHeight="1" x14ac:dyDescent="0.45">
      <c r="B5" s="3"/>
      <c r="C5" s="87"/>
      <c r="D5" s="3"/>
      <c r="E5" s="3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5" t="s">
        <v>5</v>
      </c>
      <c r="Q5" s="8"/>
      <c r="R5" s="11" t="s">
        <v>927</v>
      </c>
      <c r="S5" s="9"/>
      <c r="V5" s="10"/>
      <c r="W5" s="10"/>
      <c r="X5" s="10"/>
      <c r="Y5" s="10"/>
      <c r="Z5" s="10"/>
      <c r="AA5" s="10"/>
    </row>
    <row r="6" spans="2:29" ht="15.65" customHeight="1" x14ac:dyDescent="0.45">
      <c r="B6" s="3"/>
      <c r="C6" s="87"/>
      <c r="D6" s="3"/>
      <c r="E6" s="3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5" t="s">
        <v>6</v>
      </c>
      <c r="Q6" s="8"/>
      <c r="R6" s="6" t="s">
        <v>7</v>
      </c>
      <c r="S6" s="9"/>
      <c r="V6" s="10"/>
      <c r="W6" s="10"/>
      <c r="X6" s="10"/>
      <c r="Y6" s="10"/>
      <c r="Z6" s="10"/>
      <c r="AA6" s="10"/>
    </row>
    <row r="7" spans="2:29" ht="15.65" customHeight="1" x14ac:dyDescent="0.45">
      <c r="B7" s="3"/>
      <c r="C7" s="87"/>
      <c r="D7" s="3"/>
      <c r="E7" s="3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5" t="s">
        <v>8</v>
      </c>
      <c r="Q7" s="8"/>
      <c r="R7" s="8" t="str">
        <f>COUNTA(C20:C697)&amp;"ea"</f>
        <v>0ea</v>
      </c>
      <c r="V7" s="10"/>
      <c r="W7" s="10"/>
      <c r="X7" s="10"/>
      <c r="Y7" s="10"/>
      <c r="Z7" s="10"/>
      <c r="AA7" s="10"/>
    </row>
    <row r="8" spans="2:29" ht="15.65" customHeight="1" x14ac:dyDescent="0.45">
      <c r="B8" s="3"/>
      <c r="C8" s="8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3"/>
      <c r="T8" s="12"/>
      <c r="U8" s="12"/>
      <c r="V8" s="12"/>
      <c r="W8" s="12"/>
      <c r="X8" s="12"/>
      <c r="Y8" s="12"/>
      <c r="Z8" s="12"/>
      <c r="AA8" s="12"/>
    </row>
    <row r="9" spans="2:29" ht="17.149999999999999" customHeight="1" x14ac:dyDescent="0.45">
      <c r="B9" s="109" t="s">
        <v>9</v>
      </c>
      <c r="C9" s="111" t="s">
        <v>10</v>
      </c>
      <c r="D9" s="112"/>
      <c r="E9" s="15"/>
      <c r="F9" s="113" t="s">
        <v>11</v>
      </c>
      <c r="G9" s="113"/>
      <c r="H9" s="114" t="s">
        <v>12</v>
      </c>
      <c r="I9" s="114"/>
      <c r="J9" s="115" t="s">
        <v>13</v>
      </c>
      <c r="K9" s="115"/>
      <c r="L9" s="116" t="s">
        <v>14</v>
      </c>
      <c r="M9" s="117" t="s">
        <v>15</v>
      </c>
      <c r="N9" s="117"/>
      <c r="O9" s="117"/>
      <c r="P9" s="20" t="s">
        <v>16</v>
      </c>
      <c r="Q9" s="116" t="s">
        <v>17</v>
      </c>
      <c r="R9" s="116" t="s">
        <v>18</v>
      </c>
      <c r="S9" s="111" t="s">
        <v>19</v>
      </c>
      <c r="T9" s="112"/>
      <c r="U9" s="116" t="s">
        <v>20</v>
      </c>
      <c r="V9" s="124" t="s">
        <v>21</v>
      </c>
      <c r="W9" s="125"/>
      <c r="X9" s="126" t="s">
        <v>22</v>
      </c>
      <c r="Y9" s="126"/>
      <c r="Z9" s="116" t="s">
        <v>23</v>
      </c>
      <c r="AA9" s="116" t="s">
        <v>24</v>
      </c>
      <c r="AC9" s="22"/>
    </row>
    <row r="10" spans="2:29" x14ac:dyDescent="0.45">
      <c r="B10" s="110"/>
      <c r="C10" s="89" t="s">
        <v>25</v>
      </c>
      <c r="D10" s="19" t="s">
        <v>26</v>
      </c>
      <c r="E10" s="19" t="s">
        <v>27</v>
      </c>
      <c r="F10" s="16" t="s">
        <v>28</v>
      </c>
      <c r="G10" s="16" t="s">
        <v>29</v>
      </c>
      <c r="H10" s="17" t="s">
        <v>28</v>
      </c>
      <c r="I10" s="17" t="s">
        <v>29</v>
      </c>
      <c r="J10" s="18" t="s">
        <v>28</v>
      </c>
      <c r="K10" s="18" t="s">
        <v>29</v>
      </c>
      <c r="L10" s="109"/>
      <c r="M10" s="24" t="s">
        <v>28</v>
      </c>
      <c r="N10" s="24" t="s">
        <v>29</v>
      </c>
      <c r="O10" s="25" t="s">
        <v>30</v>
      </c>
      <c r="P10" s="26" t="s">
        <v>30</v>
      </c>
      <c r="Q10" s="109"/>
      <c r="R10" s="109"/>
      <c r="S10" s="19" t="s">
        <v>15</v>
      </c>
      <c r="T10" s="19" t="s">
        <v>16</v>
      </c>
      <c r="U10" s="116"/>
      <c r="V10" s="19" t="s">
        <v>31</v>
      </c>
      <c r="W10" s="21" t="s">
        <v>30</v>
      </c>
      <c r="X10" s="14" t="s">
        <v>28</v>
      </c>
      <c r="Y10" s="14" t="s">
        <v>29</v>
      </c>
      <c r="Z10" s="116"/>
      <c r="AA10" s="116"/>
      <c r="AB10" s="22"/>
      <c r="AC10" s="22"/>
    </row>
    <row r="11" spans="2:29" x14ac:dyDescent="0.45">
      <c r="B11" s="121" t="s">
        <v>32</v>
      </c>
      <c r="C11" s="122"/>
      <c r="D11" s="123"/>
      <c r="E11" s="28"/>
      <c r="F11" s="29">
        <f t="shared" ref="F11:K11" si="0">F12-F14</f>
        <v>0.61</v>
      </c>
      <c r="G11" s="29">
        <f t="shared" si="0"/>
        <v>0.32099999999999995</v>
      </c>
      <c r="H11" s="29">
        <f t="shared" si="0"/>
        <v>0.26200000000000001</v>
      </c>
      <c r="I11" s="29">
        <f t="shared" si="0"/>
        <v>0.61699999999999999</v>
      </c>
      <c r="J11" s="29">
        <f t="shared" si="0"/>
        <v>0.12</v>
      </c>
      <c r="K11" s="29">
        <f t="shared" si="0"/>
        <v>0.03</v>
      </c>
      <c r="L11" s="30">
        <v>70.8</v>
      </c>
      <c r="M11" s="31"/>
      <c r="N11" s="31"/>
      <c r="O11" s="30">
        <v>900</v>
      </c>
      <c r="P11" s="32"/>
      <c r="Q11" s="33">
        <v>1000</v>
      </c>
      <c r="R11" s="34"/>
      <c r="S11" s="35">
        <v>80</v>
      </c>
      <c r="T11" s="35">
        <v>50</v>
      </c>
      <c r="U11" s="34"/>
      <c r="V11" s="23"/>
      <c r="W11" s="23"/>
      <c r="X11" s="19"/>
      <c r="Y11" s="19"/>
      <c r="Z11" s="23"/>
      <c r="AA11" s="23"/>
    </row>
    <row r="12" spans="2:29" x14ac:dyDescent="0.45">
      <c r="B12" s="121" t="s">
        <v>33</v>
      </c>
      <c r="C12" s="122"/>
      <c r="D12" s="123"/>
      <c r="E12" s="27"/>
      <c r="F12" s="36">
        <v>0.64</v>
      </c>
      <c r="G12" s="36">
        <v>0.35099999999999998</v>
      </c>
      <c r="H12" s="36">
        <v>0.29199999999999998</v>
      </c>
      <c r="I12" s="36">
        <v>0.64700000000000002</v>
      </c>
      <c r="J12" s="36">
        <v>0.15</v>
      </c>
      <c r="K12" s="36">
        <v>0.06</v>
      </c>
      <c r="L12" s="31"/>
      <c r="M12" s="36">
        <v>0.29299999999999998</v>
      </c>
      <c r="N12" s="36">
        <v>0.32</v>
      </c>
      <c r="O12" s="31"/>
      <c r="P12" s="37"/>
      <c r="Q12" s="34"/>
      <c r="R12" s="34"/>
      <c r="S12" s="34"/>
      <c r="T12" s="34"/>
      <c r="U12" s="38">
        <v>7800</v>
      </c>
      <c r="V12" s="23"/>
      <c r="W12" s="39"/>
      <c r="X12" s="23"/>
      <c r="Y12" s="23"/>
      <c r="Z12" s="23"/>
      <c r="AA12" s="23"/>
    </row>
    <row r="13" spans="2:29" x14ac:dyDescent="0.45">
      <c r="B13" s="121" t="s">
        <v>34</v>
      </c>
      <c r="C13" s="122"/>
      <c r="D13" s="123"/>
      <c r="E13" s="28"/>
      <c r="F13" s="29">
        <f t="shared" ref="F13:K13" si="1">F12+F14</f>
        <v>0.67</v>
      </c>
      <c r="G13" s="29">
        <f t="shared" si="1"/>
        <v>0.38100000000000001</v>
      </c>
      <c r="H13" s="29">
        <f t="shared" si="1"/>
        <v>0.32199999999999995</v>
      </c>
      <c r="I13" s="29">
        <f t="shared" si="1"/>
        <v>0.67700000000000005</v>
      </c>
      <c r="J13" s="29">
        <f t="shared" si="1"/>
        <v>0.18</v>
      </c>
      <c r="K13" s="29">
        <f t="shared" si="1"/>
        <v>0.09</v>
      </c>
      <c r="L13" s="31"/>
      <c r="M13" s="31"/>
      <c r="N13" s="31"/>
      <c r="O13" s="30">
        <v>945</v>
      </c>
      <c r="P13" s="40"/>
      <c r="Q13" s="34"/>
      <c r="R13" s="41">
        <v>5.0000000000000001E-3</v>
      </c>
      <c r="S13" s="34"/>
      <c r="T13" s="34"/>
      <c r="U13" s="34"/>
      <c r="V13" s="23"/>
      <c r="W13" s="39"/>
      <c r="X13" s="23"/>
      <c r="Y13" s="23"/>
      <c r="Z13" s="23"/>
      <c r="AA13" s="23"/>
    </row>
    <row r="14" spans="2:29" x14ac:dyDescent="0.45">
      <c r="B14" s="121" t="s">
        <v>35</v>
      </c>
      <c r="C14" s="122"/>
      <c r="D14" s="123"/>
      <c r="E14" s="28"/>
      <c r="F14" s="41">
        <v>0.03</v>
      </c>
      <c r="G14" s="41">
        <v>0.03</v>
      </c>
      <c r="H14" s="41">
        <v>0.03</v>
      </c>
      <c r="I14" s="41">
        <v>0.03</v>
      </c>
      <c r="J14" s="41">
        <v>0.03</v>
      </c>
      <c r="K14" s="41">
        <v>0.03</v>
      </c>
      <c r="L14" s="31"/>
      <c r="M14" s="31"/>
      <c r="N14" s="31"/>
      <c r="O14" s="31"/>
      <c r="P14" s="40"/>
      <c r="Q14" s="34"/>
      <c r="R14" s="34"/>
      <c r="S14" s="34"/>
      <c r="T14" s="34"/>
      <c r="U14" s="34"/>
      <c r="V14" s="23"/>
      <c r="W14" s="39"/>
      <c r="X14" s="23"/>
      <c r="Y14" s="23"/>
      <c r="Z14" s="23"/>
      <c r="AA14" s="23"/>
    </row>
    <row r="15" spans="2:29" x14ac:dyDescent="0.45">
      <c r="B15" s="127" t="s">
        <v>36</v>
      </c>
      <c r="C15" s="128"/>
      <c r="D15" s="129"/>
      <c r="E15" s="42"/>
      <c r="F15" s="43" t="e">
        <f t="shared" ref="F15:T15" si="2">AVERAGE(F20:F697)</f>
        <v>#N/A</v>
      </c>
      <c r="G15" s="43" t="e">
        <f t="shared" si="2"/>
        <v>#N/A</v>
      </c>
      <c r="H15" s="43" t="e">
        <f t="shared" si="2"/>
        <v>#N/A</v>
      </c>
      <c r="I15" s="43" t="e">
        <f t="shared" si="2"/>
        <v>#N/A</v>
      </c>
      <c r="J15" s="43" t="e">
        <f t="shared" si="2"/>
        <v>#N/A</v>
      </c>
      <c r="K15" s="43" t="e">
        <f t="shared" si="2"/>
        <v>#N/A</v>
      </c>
      <c r="L15" s="43" t="e">
        <f t="shared" si="2"/>
        <v>#N/A</v>
      </c>
      <c r="M15" s="43" t="e">
        <f t="shared" si="2"/>
        <v>#N/A</v>
      </c>
      <c r="N15" s="43" t="e">
        <f t="shared" si="2"/>
        <v>#N/A</v>
      </c>
      <c r="O15" s="43" t="e">
        <f t="shared" si="2"/>
        <v>#N/A</v>
      </c>
      <c r="P15" s="43" t="e">
        <f t="shared" si="2"/>
        <v>#N/A</v>
      </c>
      <c r="Q15" s="44" t="e">
        <f t="shared" si="2"/>
        <v>#N/A</v>
      </c>
      <c r="R15" s="43" t="e">
        <f t="shared" si="2"/>
        <v>#N/A</v>
      </c>
      <c r="S15" s="43" t="e">
        <f t="shared" si="2"/>
        <v>#N/A</v>
      </c>
      <c r="T15" s="43" t="e">
        <f t="shared" si="2"/>
        <v>#N/A</v>
      </c>
      <c r="U15" s="43" t="e">
        <f t="shared" ref="U15:Z15" si="3">AVERAGE(U20:U76)</f>
        <v>#N/A</v>
      </c>
      <c r="V15" s="43" t="e">
        <f t="shared" si="3"/>
        <v>#N/A</v>
      </c>
      <c r="W15" s="43" t="e">
        <f t="shared" si="3"/>
        <v>#N/A</v>
      </c>
      <c r="X15" s="43" t="e">
        <f t="shared" si="3"/>
        <v>#N/A</v>
      </c>
      <c r="Y15" s="43" t="e">
        <f t="shared" si="3"/>
        <v>#N/A</v>
      </c>
      <c r="Z15" s="43" t="e">
        <f t="shared" si="3"/>
        <v>#N/A</v>
      </c>
      <c r="AA15" s="45"/>
    </row>
    <row r="16" spans="2:29" x14ac:dyDescent="0.45">
      <c r="B16" s="104" t="s">
        <v>37</v>
      </c>
      <c r="C16" s="105"/>
      <c r="D16" s="106"/>
      <c r="E16" s="46"/>
      <c r="F16" s="47" t="e">
        <f t="shared" ref="F16:L16" si="4">F15-F12</f>
        <v>#N/A</v>
      </c>
      <c r="G16" s="47" t="e">
        <f>G15-G12</f>
        <v>#N/A</v>
      </c>
      <c r="H16" s="47" t="e">
        <f t="shared" si="4"/>
        <v>#N/A</v>
      </c>
      <c r="I16" s="47" t="e">
        <f t="shared" si="4"/>
        <v>#N/A</v>
      </c>
      <c r="J16" s="47" t="e">
        <f t="shared" si="4"/>
        <v>#N/A</v>
      </c>
      <c r="K16" s="47" t="e">
        <f t="shared" si="4"/>
        <v>#N/A</v>
      </c>
      <c r="L16" s="47" t="e">
        <f t="shared" si="4"/>
        <v>#N/A</v>
      </c>
      <c r="M16" s="47" t="e">
        <f>M15-M12</f>
        <v>#N/A</v>
      </c>
      <c r="N16" s="48" t="e">
        <f>N15-N12</f>
        <v>#N/A</v>
      </c>
      <c r="O16" s="47" t="e">
        <f>O15-O12</f>
        <v>#N/A</v>
      </c>
      <c r="P16" s="47" t="e">
        <f t="shared" ref="P16:Z16" si="5">P15-P12</f>
        <v>#N/A</v>
      </c>
      <c r="Q16" s="49" t="e">
        <f t="shared" si="5"/>
        <v>#N/A</v>
      </c>
      <c r="R16" s="47" t="e">
        <f t="shared" si="5"/>
        <v>#N/A</v>
      </c>
      <c r="S16" s="47" t="e">
        <f t="shared" si="5"/>
        <v>#N/A</v>
      </c>
      <c r="T16" s="47" t="e">
        <f t="shared" si="5"/>
        <v>#N/A</v>
      </c>
      <c r="U16" s="47" t="e">
        <f t="shared" si="5"/>
        <v>#N/A</v>
      </c>
      <c r="V16" s="47" t="e">
        <f t="shared" si="5"/>
        <v>#N/A</v>
      </c>
      <c r="W16" s="47" t="e">
        <f t="shared" si="5"/>
        <v>#N/A</v>
      </c>
      <c r="X16" s="47" t="e">
        <f t="shared" si="5"/>
        <v>#N/A</v>
      </c>
      <c r="Y16" s="47" t="e">
        <f t="shared" si="5"/>
        <v>#N/A</v>
      </c>
      <c r="Z16" s="47" t="e">
        <f t="shared" si="5"/>
        <v>#N/A</v>
      </c>
      <c r="AA16" s="45"/>
    </row>
    <row r="17" spans="2:54" x14ac:dyDescent="0.45">
      <c r="B17" s="107" t="s">
        <v>38</v>
      </c>
      <c r="C17" s="107"/>
      <c r="D17" s="107"/>
      <c r="E17" s="50"/>
      <c r="F17" s="43" t="e">
        <f t="shared" ref="F17:T17" si="6">MIN(F20:F697)</f>
        <v>#N/A</v>
      </c>
      <c r="G17" s="43" t="e">
        <f t="shared" si="6"/>
        <v>#N/A</v>
      </c>
      <c r="H17" s="43" t="e">
        <f t="shared" si="6"/>
        <v>#N/A</v>
      </c>
      <c r="I17" s="43" t="e">
        <f t="shared" si="6"/>
        <v>#N/A</v>
      </c>
      <c r="J17" s="43" t="e">
        <f t="shared" si="6"/>
        <v>#N/A</v>
      </c>
      <c r="K17" s="43" t="e">
        <f t="shared" si="6"/>
        <v>#N/A</v>
      </c>
      <c r="L17" s="43" t="e">
        <f t="shared" si="6"/>
        <v>#N/A</v>
      </c>
      <c r="M17" s="43" t="e">
        <f t="shared" si="6"/>
        <v>#N/A</v>
      </c>
      <c r="N17" s="43" t="e">
        <f t="shared" si="6"/>
        <v>#N/A</v>
      </c>
      <c r="O17" s="43" t="e">
        <f t="shared" si="6"/>
        <v>#N/A</v>
      </c>
      <c r="P17" s="43" t="e">
        <f t="shared" si="6"/>
        <v>#N/A</v>
      </c>
      <c r="Q17" s="44" t="e">
        <f t="shared" si="6"/>
        <v>#N/A</v>
      </c>
      <c r="R17" s="43" t="e">
        <f t="shared" si="6"/>
        <v>#N/A</v>
      </c>
      <c r="S17" s="43" t="e">
        <f t="shared" si="6"/>
        <v>#N/A</v>
      </c>
      <c r="T17" s="43" t="e">
        <f t="shared" si="6"/>
        <v>#N/A</v>
      </c>
      <c r="U17" s="43" t="e">
        <f t="shared" ref="U17:Z17" si="7">MIN(U20:U76)</f>
        <v>#N/A</v>
      </c>
      <c r="V17" s="43" t="e">
        <f t="shared" si="7"/>
        <v>#N/A</v>
      </c>
      <c r="W17" s="43" t="e">
        <f t="shared" si="7"/>
        <v>#N/A</v>
      </c>
      <c r="X17" s="43" t="e">
        <f t="shared" si="7"/>
        <v>#N/A</v>
      </c>
      <c r="Y17" s="43" t="e">
        <f t="shared" si="7"/>
        <v>#N/A</v>
      </c>
      <c r="Z17" s="43" t="e">
        <f t="shared" si="7"/>
        <v>#N/A</v>
      </c>
      <c r="AA17" s="45"/>
      <c r="AH17" s="51"/>
      <c r="AI17" s="51"/>
    </row>
    <row r="18" spans="2:54" x14ac:dyDescent="0.45">
      <c r="B18" s="107" t="s">
        <v>39</v>
      </c>
      <c r="C18" s="107"/>
      <c r="D18" s="107"/>
      <c r="E18" s="50"/>
      <c r="F18" s="43" t="e">
        <f t="shared" ref="F18:T18" si="8">MAX(F20:F697)</f>
        <v>#N/A</v>
      </c>
      <c r="G18" s="43" t="e">
        <f t="shared" si="8"/>
        <v>#N/A</v>
      </c>
      <c r="H18" s="43" t="e">
        <f t="shared" si="8"/>
        <v>#N/A</v>
      </c>
      <c r="I18" s="43" t="e">
        <f t="shared" si="8"/>
        <v>#N/A</v>
      </c>
      <c r="J18" s="43" t="e">
        <f t="shared" si="8"/>
        <v>#N/A</v>
      </c>
      <c r="K18" s="43" t="e">
        <f t="shared" si="8"/>
        <v>#N/A</v>
      </c>
      <c r="L18" s="43" t="e">
        <f t="shared" si="8"/>
        <v>#N/A</v>
      </c>
      <c r="M18" s="43" t="e">
        <f t="shared" si="8"/>
        <v>#N/A</v>
      </c>
      <c r="N18" s="43" t="e">
        <f t="shared" si="8"/>
        <v>#N/A</v>
      </c>
      <c r="O18" s="43" t="e">
        <f t="shared" si="8"/>
        <v>#N/A</v>
      </c>
      <c r="P18" s="43" t="e">
        <f t="shared" si="8"/>
        <v>#N/A</v>
      </c>
      <c r="Q18" s="44" t="e">
        <f t="shared" si="8"/>
        <v>#N/A</v>
      </c>
      <c r="R18" s="43" t="e">
        <f t="shared" si="8"/>
        <v>#N/A</v>
      </c>
      <c r="S18" s="43" t="e">
        <f t="shared" si="8"/>
        <v>#N/A</v>
      </c>
      <c r="T18" s="43" t="e">
        <f t="shared" si="8"/>
        <v>#N/A</v>
      </c>
      <c r="U18" s="43" t="e">
        <f t="shared" ref="U18:Z18" si="9">MAX(U20:U76)</f>
        <v>#N/A</v>
      </c>
      <c r="V18" s="43" t="e">
        <f t="shared" si="9"/>
        <v>#N/A</v>
      </c>
      <c r="W18" s="43" t="e">
        <f t="shared" si="9"/>
        <v>#N/A</v>
      </c>
      <c r="X18" s="43" t="e">
        <f t="shared" si="9"/>
        <v>#N/A</v>
      </c>
      <c r="Y18" s="43" t="e">
        <f t="shared" si="9"/>
        <v>#N/A</v>
      </c>
      <c r="Z18" s="43" t="e">
        <f t="shared" si="9"/>
        <v>#N/A</v>
      </c>
      <c r="AA18" s="45"/>
      <c r="AY18" s="118" t="s">
        <v>40</v>
      </c>
      <c r="AZ18" s="118"/>
      <c r="BA18" s="118"/>
      <c r="BB18" s="118"/>
    </row>
    <row r="19" spans="2:54" x14ac:dyDescent="0.45">
      <c r="B19" s="119" t="s">
        <v>41</v>
      </c>
      <c r="C19" s="120"/>
      <c r="D19" s="53" t="s">
        <v>560</v>
      </c>
      <c r="E19" s="53" t="s">
        <v>559</v>
      </c>
      <c r="F19" s="54" t="e">
        <f t="shared" ref="F19:K19" si="10">(1-ABS(((F13+F11)/2)-AVERAGE(F20:F697))/((F13-F11)/2))*((F13-F11)/(STDEV(F20:F697)*6))</f>
        <v>#N/A</v>
      </c>
      <c r="G19" s="54" t="e">
        <f t="shared" si="10"/>
        <v>#N/A</v>
      </c>
      <c r="H19" s="54" t="e">
        <f t="shared" si="10"/>
        <v>#N/A</v>
      </c>
      <c r="I19" s="54" t="e">
        <f t="shared" si="10"/>
        <v>#N/A</v>
      </c>
      <c r="J19" s="54" t="e">
        <f t="shared" si="10"/>
        <v>#N/A</v>
      </c>
      <c r="K19" s="54" t="e">
        <f t="shared" si="10"/>
        <v>#N/A</v>
      </c>
      <c r="L19" s="54" t="e">
        <f>((AVERAGE(L20:L697)-L11)/(3*STDEV(L20:L697)))</f>
        <v>#N/A</v>
      </c>
      <c r="M19" s="54" t="e">
        <f>(1-ABS(((M13+M11)/2)-AVERAGE(M20:M697))/((M13-M11)/2))*((M13-M11)/(STDEV(M20:M697)*6))</f>
        <v>#N/A</v>
      </c>
      <c r="N19" s="54" t="e">
        <f>(1-ABS(((N13+N11)/2)-AVERAGE(N20:N697))/((N13-N11)/2))*((N13-N11)/(STDEV(N20:N697)*6))</f>
        <v>#N/A</v>
      </c>
      <c r="O19" s="54" t="e">
        <f>((AVERAGE(O20:O697)-O11)/(3*STDEV(O20:O697)))</f>
        <v>#N/A</v>
      </c>
      <c r="P19" s="54" t="e">
        <f>(1-ABS(((P13+P11)/2)-AVERAGE(P20:P697))/((P13-P11)/2))*((P13-P11)/(STDEV(P20:P697)*6))</f>
        <v>#N/A</v>
      </c>
      <c r="Q19" s="55" t="e">
        <f>((AVERAGE(Q20:Q697)-Q11)/(3*STDEV(Q20:Q697)))</f>
        <v>#N/A</v>
      </c>
      <c r="R19" s="54" t="e">
        <f>(R13-AVERAGE(R20:R697))/(3*STDEV(R20:R697))</f>
        <v>#N/A</v>
      </c>
      <c r="S19" s="54" t="e">
        <f>((AVERAGE(S20:S697)-S11)/(3*STDEV(S20:S697)))</f>
        <v>#N/A</v>
      </c>
      <c r="T19" s="54" t="e">
        <f>((AVERAGE(T20:T697)-T11)/(3*STDEV(T20:T697)))</f>
        <v>#N/A</v>
      </c>
      <c r="U19" s="54" t="e">
        <f t="shared" ref="U19:Z19" si="11">(1-ABS(((U13+U11)/2)-AVERAGE(U20:U697))/((U13-U11)/2))*((U13-U11)/(STDEV(U20:U697)*6))</f>
        <v>#N/A</v>
      </c>
      <c r="V19" s="54" t="e">
        <f t="shared" si="11"/>
        <v>#N/A</v>
      </c>
      <c r="W19" s="54" t="e">
        <f t="shared" si="11"/>
        <v>#N/A</v>
      </c>
      <c r="X19" s="54" t="e">
        <f t="shared" si="11"/>
        <v>#N/A</v>
      </c>
      <c r="Y19" s="54" t="e">
        <f t="shared" si="11"/>
        <v>#N/A</v>
      </c>
      <c r="Z19" s="54" t="e">
        <f t="shared" si="11"/>
        <v>#N/A</v>
      </c>
      <c r="AA19" s="45"/>
      <c r="AY19" s="1" t="s">
        <v>42</v>
      </c>
      <c r="AZ19" s="1" t="s">
        <v>43</v>
      </c>
      <c r="BA19" s="1" t="s">
        <v>44</v>
      </c>
      <c r="BB19" s="1" t="s">
        <v>45</v>
      </c>
    </row>
    <row r="20" spans="2:54" x14ac:dyDescent="0.45">
      <c r="B20" s="45" t="s">
        <v>46</v>
      </c>
      <c r="C20" s="90"/>
      <c r="D20" s="56"/>
      <c r="E20" s="57"/>
      <c r="F20" s="58" t="e">
        <f>VLOOKUP($C20,'Daily_BU설비데이터 '!$C$20:$T$1000,4,0)</f>
        <v>#N/A</v>
      </c>
      <c r="G20" s="58" t="e">
        <f>VLOOKUP($C20,'Daily_BU설비데이터 '!$C$20:$T$1000,5,0)</f>
        <v>#N/A</v>
      </c>
      <c r="H20" s="58" t="e">
        <f>VLOOKUP($C20,'Daily_BU설비데이터 '!$C$20:$T$1000,6,0)</f>
        <v>#N/A</v>
      </c>
      <c r="I20" s="58" t="e">
        <f>VLOOKUP($C20,'Daily_BU설비데이터 '!$C$20:$T$1000,7,0)</f>
        <v>#N/A</v>
      </c>
      <c r="J20" s="58" t="e">
        <f>VLOOKUP($C20,'Daily_BU설비데이터 '!$C$20:$T$1000,8,0)</f>
        <v>#N/A</v>
      </c>
      <c r="K20" s="58" t="e">
        <f>VLOOKUP($C20,'Daily_BU설비데이터 '!$C$20:$T$1000,9,0)</f>
        <v>#N/A</v>
      </c>
      <c r="L20" s="59" t="e">
        <f t="shared" ref="L20" si="12">1/2*((F20*I20+H20*K20+J20*G20)-(G20*H20+I20*J20+K20*F20))/0.1582*100</f>
        <v>#N/A</v>
      </c>
      <c r="M20" s="68" t="e">
        <f>VLOOKUP($C20,'Daily_BU설비데이터 '!$C$20:$T$1000,11,0)</f>
        <v>#N/A</v>
      </c>
      <c r="N20" s="68" t="e">
        <f>VLOOKUP($C20,'Daily_BU설비데이터 '!$C$20:$T$1000,12,0)</f>
        <v>#N/A</v>
      </c>
      <c r="O20" s="68" t="e">
        <f>VLOOKUP($C20,'Daily_BU설비데이터 '!$C$20:$T$1000,13,0)</f>
        <v>#N/A</v>
      </c>
      <c r="P20" s="68" t="e">
        <f>VLOOKUP($C20,'Daily_BU설비데이터 '!$C$20:$T$1000,14,0)</f>
        <v>#N/A</v>
      </c>
      <c r="Q20" s="99" t="e">
        <f t="shared" ref="Q20" si="13">O20/P20</f>
        <v>#N/A</v>
      </c>
      <c r="R20" s="100" t="e">
        <f t="shared" ref="R20" si="14">SQRT(POWER(M20-$M$12,2)+POWER(N20-$N$12,2))</f>
        <v>#N/A</v>
      </c>
      <c r="S20" s="83" t="e">
        <f>VLOOKUP($C20,'Daily_BU설비데이터 '!$C$20:$T$1000,17,0)</f>
        <v>#N/A</v>
      </c>
      <c r="T20" s="83" t="e">
        <f>VLOOKUP($C20,'Daily_BU설비데이터 '!$C$20:$T$1000,18,0)</f>
        <v>#N/A</v>
      </c>
      <c r="U20" s="101" t="e">
        <f t="shared" ref="U20:Z68" si="15">(-449*((M20-0.332)/(N20-0.1858))^3)+(3525*((M20-0.332)/(N20-0.1858))^2)+(-6823.3*(M20-0.332)/(N20-0.1858))+5520.33</f>
        <v>#N/A</v>
      </c>
      <c r="V20" s="62" t="e">
        <f t="shared" si="15"/>
        <v>#N/A</v>
      </c>
      <c r="W20" s="62" t="e">
        <f t="shared" si="15"/>
        <v>#N/A</v>
      </c>
      <c r="X20" s="62" t="e">
        <f t="shared" si="15"/>
        <v>#N/A</v>
      </c>
      <c r="Y20" s="62" t="e">
        <f t="shared" si="15"/>
        <v>#N/A</v>
      </c>
      <c r="Z20" s="62" t="e">
        <f t="shared" si="15"/>
        <v>#N/A</v>
      </c>
      <c r="AA20" s="61"/>
      <c r="AY20" s="66"/>
      <c r="AZ20" s="66"/>
      <c r="BA20" s="66"/>
      <c r="BB20" s="22"/>
    </row>
    <row r="21" spans="2:54" x14ac:dyDescent="0.45">
      <c r="B21" s="45" t="s">
        <v>504</v>
      </c>
      <c r="C21" s="90"/>
      <c r="D21" s="56"/>
      <c r="E21" s="58"/>
      <c r="F21" s="58" t="e">
        <f>VLOOKUP($C21,'Daily_BU설비데이터 '!$C$20:$T$1000,4,0)</f>
        <v>#N/A</v>
      </c>
      <c r="G21" s="58" t="e">
        <f>VLOOKUP($C21,'Daily_BU설비데이터 '!$C$20:$T$1000,5,0)</f>
        <v>#N/A</v>
      </c>
      <c r="H21" s="58" t="e">
        <f>VLOOKUP($C21,'Daily_BU설비데이터 '!$C$20:$T$1000,6,0)</f>
        <v>#N/A</v>
      </c>
      <c r="I21" s="58" t="e">
        <f>VLOOKUP($C21,'Daily_BU설비데이터 '!$C$20:$T$1000,7,0)</f>
        <v>#N/A</v>
      </c>
      <c r="J21" s="58" t="e">
        <f>VLOOKUP($C21,'Daily_BU설비데이터 '!$C$20:$T$1000,8,0)</f>
        <v>#N/A</v>
      </c>
      <c r="K21" s="58" t="e">
        <f>VLOOKUP($C21,'Daily_BU설비데이터 '!$C$20:$T$1000,9,0)</f>
        <v>#N/A</v>
      </c>
      <c r="L21" s="59" t="e">
        <f t="shared" ref="L21:L68" si="16">1/2*((F21*I21+H21*K21+J21*G21)-(G21*H21+I21*J21+K21*F21))/0.1582*100</f>
        <v>#N/A</v>
      </c>
      <c r="M21" s="68" t="e">
        <f>VLOOKUP($C21,'Daily_BU설비데이터 '!$C$20:$T$1000,11,0)</f>
        <v>#N/A</v>
      </c>
      <c r="N21" s="68" t="e">
        <f>VLOOKUP($C21,'Daily_BU설비데이터 '!$C$20:$T$1000,12,0)</f>
        <v>#N/A</v>
      </c>
      <c r="O21" s="68" t="e">
        <f>VLOOKUP($C21,'Daily_BU설비데이터 '!$C$20:$T$1000,13,0)</f>
        <v>#N/A</v>
      </c>
      <c r="P21" s="68" t="e">
        <f>VLOOKUP($C21,'Daily_BU설비데이터 '!$C$20:$T$1000,14,0)</f>
        <v>#N/A</v>
      </c>
      <c r="Q21" s="99" t="e">
        <f t="shared" ref="Q21:Q68" si="17">O21/P21</f>
        <v>#N/A</v>
      </c>
      <c r="R21" s="100" t="e">
        <f t="shared" ref="R21:R68" si="18">SQRT(POWER(M21-$M$12,2)+POWER(N21-$N$12,2))</f>
        <v>#N/A</v>
      </c>
      <c r="S21" s="83" t="e">
        <f>VLOOKUP($C21,'Daily_BU설비데이터 '!$C$20:$T$1000,17,0)</f>
        <v>#N/A</v>
      </c>
      <c r="T21" s="83" t="e">
        <f>VLOOKUP($C21,'Daily_BU설비데이터 '!$C$20:$T$1000,18,0)</f>
        <v>#N/A</v>
      </c>
      <c r="U21" s="101" t="e">
        <f t="shared" si="15"/>
        <v>#N/A</v>
      </c>
      <c r="V21" s="45"/>
      <c r="W21" s="63"/>
      <c r="X21" s="64"/>
      <c r="Y21" s="64"/>
      <c r="Z21" s="65"/>
      <c r="AA21" s="45"/>
      <c r="AY21" s="66"/>
      <c r="AZ21" s="66"/>
      <c r="BA21" s="66"/>
      <c r="BB21" s="22"/>
    </row>
    <row r="22" spans="2:54" x14ac:dyDescent="0.45">
      <c r="B22" s="45" t="s">
        <v>47</v>
      </c>
      <c r="C22" s="90"/>
      <c r="D22" s="56"/>
      <c r="E22" s="58"/>
      <c r="F22" s="58" t="e">
        <f>VLOOKUP($C22,'Daily_BU설비데이터 '!$C$20:$T$1000,4,0)</f>
        <v>#N/A</v>
      </c>
      <c r="G22" s="58" t="e">
        <f>VLOOKUP($C22,'Daily_BU설비데이터 '!$C$20:$T$1000,5,0)</f>
        <v>#N/A</v>
      </c>
      <c r="H22" s="58" t="e">
        <f>VLOOKUP($C22,'Daily_BU설비데이터 '!$C$20:$T$1000,6,0)</f>
        <v>#N/A</v>
      </c>
      <c r="I22" s="58" t="e">
        <f>VLOOKUP($C22,'Daily_BU설비데이터 '!$C$20:$T$1000,7,0)</f>
        <v>#N/A</v>
      </c>
      <c r="J22" s="58" t="e">
        <f>VLOOKUP($C22,'Daily_BU설비데이터 '!$C$20:$T$1000,8,0)</f>
        <v>#N/A</v>
      </c>
      <c r="K22" s="58" t="e">
        <f>VLOOKUP($C22,'Daily_BU설비데이터 '!$C$20:$T$1000,9,0)</f>
        <v>#N/A</v>
      </c>
      <c r="L22" s="59" t="e">
        <f t="shared" si="16"/>
        <v>#N/A</v>
      </c>
      <c r="M22" s="68" t="e">
        <f>VLOOKUP($C22,'Daily_BU설비데이터 '!$C$20:$T$1000,11,0)</f>
        <v>#N/A</v>
      </c>
      <c r="N22" s="68" t="e">
        <f>VLOOKUP($C22,'Daily_BU설비데이터 '!$C$20:$T$1000,12,0)</f>
        <v>#N/A</v>
      </c>
      <c r="O22" s="68" t="e">
        <f>VLOOKUP($C22,'Daily_BU설비데이터 '!$C$20:$T$1000,13,0)</f>
        <v>#N/A</v>
      </c>
      <c r="P22" s="68" t="e">
        <f>VLOOKUP($C22,'Daily_BU설비데이터 '!$C$20:$T$1000,14,0)</f>
        <v>#N/A</v>
      </c>
      <c r="Q22" s="99" t="e">
        <f t="shared" si="17"/>
        <v>#N/A</v>
      </c>
      <c r="R22" s="100" t="e">
        <f t="shared" si="18"/>
        <v>#N/A</v>
      </c>
      <c r="S22" s="83" t="e">
        <f>VLOOKUP($C22,'Daily_BU설비데이터 '!$C$20:$T$1000,17,0)</f>
        <v>#N/A</v>
      </c>
      <c r="T22" s="83" t="e">
        <f>VLOOKUP($C22,'Daily_BU설비데이터 '!$C$20:$T$1000,18,0)</f>
        <v>#N/A</v>
      </c>
      <c r="U22" s="101" t="e">
        <f t="shared" si="15"/>
        <v>#N/A</v>
      </c>
      <c r="V22" s="45"/>
      <c r="W22" s="63"/>
      <c r="X22" s="64"/>
      <c r="Y22" s="64"/>
      <c r="Z22" s="65"/>
      <c r="AA22" s="45"/>
      <c r="AY22" s="66"/>
      <c r="AZ22" s="66"/>
      <c r="BA22" s="66"/>
      <c r="BB22" s="22"/>
    </row>
    <row r="23" spans="2:54" x14ac:dyDescent="0.45">
      <c r="B23" s="45" t="s">
        <v>48</v>
      </c>
      <c r="C23" s="90"/>
      <c r="D23" s="56"/>
      <c r="E23" s="57"/>
      <c r="F23" s="58" t="e">
        <f>VLOOKUP($C23,'Daily_BU설비데이터 '!$C$20:$T$1000,4,0)</f>
        <v>#N/A</v>
      </c>
      <c r="G23" s="58" t="e">
        <f>VLOOKUP($C23,'Daily_BU설비데이터 '!$C$20:$T$1000,5,0)</f>
        <v>#N/A</v>
      </c>
      <c r="H23" s="58" t="e">
        <f>VLOOKUP($C23,'Daily_BU설비데이터 '!$C$20:$T$1000,6,0)</f>
        <v>#N/A</v>
      </c>
      <c r="I23" s="58" t="e">
        <f>VLOOKUP($C23,'Daily_BU설비데이터 '!$C$20:$T$1000,7,0)</f>
        <v>#N/A</v>
      </c>
      <c r="J23" s="58" t="e">
        <f>VLOOKUP($C23,'Daily_BU설비데이터 '!$C$20:$T$1000,8,0)</f>
        <v>#N/A</v>
      </c>
      <c r="K23" s="58" t="e">
        <f>VLOOKUP($C23,'Daily_BU설비데이터 '!$C$20:$T$1000,9,0)</f>
        <v>#N/A</v>
      </c>
      <c r="L23" s="59" t="e">
        <f t="shared" si="16"/>
        <v>#N/A</v>
      </c>
      <c r="M23" s="68" t="e">
        <f>VLOOKUP($C23,'Daily_BU설비데이터 '!$C$20:$T$1000,11,0)</f>
        <v>#N/A</v>
      </c>
      <c r="N23" s="68" t="e">
        <f>VLOOKUP($C23,'Daily_BU설비데이터 '!$C$20:$T$1000,12,0)</f>
        <v>#N/A</v>
      </c>
      <c r="O23" s="68" t="e">
        <f>VLOOKUP($C23,'Daily_BU설비데이터 '!$C$20:$T$1000,13,0)</f>
        <v>#N/A</v>
      </c>
      <c r="P23" s="68" t="e">
        <f>VLOOKUP($C23,'Daily_BU설비데이터 '!$C$20:$T$1000,14,0)</f>
        <v>#N/A</v>
      </c>
      <c r="Q23" s="99" t="e">
        <f t="shared" si="17"/>
        <v>#N/A</v>
      </c>
      <c r="R23" s="100" t="e">
        <f t="shared" si="18"/>
        <v>#N/A</v>
      </c>
      <c r="S23" s="83" t="e">
        <f>VLOOKUP($C23,'Daily_BU설비데이터 '!$C$20:$T$1000,17,0)</f>
        <v>#N/A</v>
      </c>
      <c r="T23" s="83" t="e">
        <f>VLOOKUP($C23,'Daily_BU설비데이터 '!$C$20:$T$1000,18,0)</f>
        <v>#N/A</v>
      </c>
      <c r="U23" s="101" t="e">
        <f t="shared" si="15"/>
        <v>#N/A</v>
      </c>
      <c r="V23" s="45"/>
      <c r="W23" s="63"/>
      <c r="X23" s="64"/>
      <c r="Y23" s="64"/>
      <c r="Z23" s="65"/>
      <c r="AA23" s="45"/>
      <c r="AY23" s="66">
        <f t="shared" ref="AY23:AY86" si="19">$L$11</f>
        <v>70.8</v>
      </c>
      <c r="AZ23" s="66">
        <f t="shared" ref="AZ23:AZ86" si="20">$O$11</f>
        <v>900</v>
      </c>
      <c r="BA23" s="66">
        <f t="shared" ref="BA23:BA86" si="21">$Q$11</f>
        <v>1000</v>
      </c>
      <c r="BB23" s="22">
        <f t="shared" ref="BB23:BB86" si="22">$R$13</f>
        <v>5.0000000000000001E-3</v>
      </c>
    </row>
    <row r="24" spans="2:54" x14ac:dyDescent="0.45">
      <c r="B24" s="45" t="s">
        <v>49</v>
      </c>
      <c r="C24" s="90"/>
      <c r="D24" s="56"/>
      <c r="E24" s="58"/>
      <c r="F24" s="58" t="e">
        <f>VLOOKUP($C24,'Daily_BU설비데이터 '!$C$20:$T$1000,4,0)</f>
        <v>#N/A</v>
      </c>
      <c r="G24" s="58" t="e">
        <f>VLOOKUP($C24,'Daily_BU설비데이터 '!$C$20:$T$1000,5,0)</f>
        <v>#N/A</v>
      </c>
      <c r="H24" s="58" t="e">
        <f>VLOOKUP($C24,'Daily_BU설비데이터 '!$C$20:$T$1000,6,0)</f>
        <v>#N/A</v>
      </c>
      <c r="I24" s="58" t="e">
        <f>VLOOKUP($C24,'Daily_BU설비데이터 '!$C$20:$T$1000,7,0)</f>
        <v>#N/A</v>
      </c>
      <c r="J24" s="58" t="e">
        <f>VLOOKUP($C24,'Daily_BU설비데이터 '!$C$20:$T$1000,8,0)</f>
        <v>#N/A</v>
      </c>
      <c r="K24" s="58" t="e">
        <f>VLOOKUP($C24,'Daily_BU설비데이터 '!$C$20:$T$1000,9,0)</f>
        <v>#N/A</v>
      </c>
      <c r="L24" s="59" t="e">
        <f t="shared" si="16"/>
        <v>#N/A</v>
      </c>
      <c r="M24" s="68" t="e">
        <f>VLOOKUP($C24,'Daily_BU설비데이터 '!$C$20:$T$1000,11,0)</f>
        <v>#N/A</v>
      </c>
      <c r="N24" s="68" t="e">
        <f>VLOOKUP($C24,'Daily_BU설비데이터 '!$C$20:$T$1000,12,0)</f>
        <v>#N/A</v>
      </c>
      <c r="O24" s="68" t="e">
        <f>VLOOKUP($C24,'Daily_BU설비데이터 '!$C$20:$T$1000,13,0)</f>
        <v>#N/A</v>
      </c>
      <c r="P24" s="68" t="e">
        <f>VLOOKUP($C24,'Daily_BU설비데이터 '!$C$20:$T$1000,14,0)</f>
        <v>#N/A</v>
      </c>
      <c r="Q24" s="99" t="e">
        <f t="shared" si="17"/>
        <v>#N/A</v>
      </c>
      <c r="R24" s="100" t="e">
        <f t="shared" si="18"/>
        <v>#N/A</v>
      </c>
      <c r="S24" s="83" t="e">
        <f>VLOOKUP($C24,'Daily_BU설비데이터 '!$C$20:$T$1000,17,0)</f>
        <v>#N/A</v>
      </c>
      <c r="T24" s="83" t="e">
        <f>VLOOKUP($C24,'Daily_BU설비데이터 '!$C$20:$T$1000,18,0)</f>
        <v>#N/A</v>
      </c>
      <c r="U24" s="101" t="e">
        <f t="shared" si="15"/>
        <v>#N/A</v>
      </c>
      <c r="V24" s="45"/>
      <c r="W24" s="63"/>
      <c r="X24" s="64"/>
      <c r="Y24" s="64"/>
      <c r="Z24" s="65"/>
      <c r="AA24" s="45"/>
      <c r="AY24" s="66">
        <f t="shared" si="19"/>
        <v>70.8</v>
      </c>
      <c r="AZ24" s="66">
        <f t="shared" si="20"/>
        <v>900</v>
      </c>
      <c r="BA24" s="66">
        <f t="shared" si="21"/>
        <v>1000</v>
      </c>
      <c r="BB24" s="22">
        <f t="shared" si="22"/>
        <v>5.0000000000000001E-3</v>
      </c>
    </row>
    <row r="25" spans="2:54" x14ac:dyDescent="0.45">
      <c r="B25" s="45" t="s">
        <v>50</v>
      </c>
      <c r="C25" s="90"/>
      <c r="D25" s="56"/>
      <c r="E25" s="57"/>
      <c r="F25" s="68" t="e">
        <f>VLOOKUP($C25,'Daily_BU설비데이터 '!$C$20:$T$1000,4,0)</f>
        <v>#N/A</v>
      </c>
      <c r="G25" s="68" t="e">
        <f>VLOOKUP($C25,'Daily_BU설비데이터 '!$C$20:$T$1000,5,0)</f>
        <v>#N/A</v>
      </c>
      <c r="H25" s="68" t="e">
        <f>VLOOKUP($C25,'Daily_BU설비데이터 '!$C$20:$T$1000,6,0)</f>
        <v>#N/A</v>
      </c>
      <c r="I25" s="68" t="e">
        <f>VLOOKUP($C25,'Daily_BU설비데이터 '!$C$20:$T$1000,7,0)</f>
        <v>#N/A</v>
      </c>
      <c r="J25" s="68" t="e">
        <f>VLOOKUP($C25,'Daily_BU설비데이터 '!$C$20:$T$1000,8,0)</f>
        <v>#N/A</v>
      </c>
      <c r="K25" s="68" t="e">
        <f>VLOOKUP($C25,'Daily_BU설비데이터 '!$C$20:$T$1000,9,0)</f>
        <v>#N/A</v>
      </c>
      <c r="L25" s="59" t="e">
        <f t="shared" si="16"/>
        <v>#N/A</v>
      </c>
      <c r="M25" s="68" t="e">
        <f>VLOOKUP($C25,'Daily_BU설비데이터 '!$C$20:$T$1000,11,0)</f>
        <v>#N/A</v>
      </c>
      <c r="N25" s="68" t="e">
        <f>VLOOKUP($C25,'Daily_BU설비데이터 '!$C$20:$T$1000,12,0)</f>
        <v>#N/A</v>
      </c>
      <c r="O25" s="68" t="e">
        <f>VLOOKUP($C25,'Daily_BU설비데이터 '!$C$20:$T$1000,13,0)</f>
        <v>#N/A</v>
      </c>
      <c r="P25" s="68" t="e">
        <f>VLOOKUP($C25,'Daily_BU설비데이터 '!$C$20:$T$1000,14,0)</f>
        <v>#N/A</v>
      </c>
      <c r="Q25" s="99" t="e">
        <f t="shared" si="17"/>
        <v>#N/A</v>
      </c>
      <c r="R25" s="100" t="e">
        <f t="shared" si="18"/>
        <v>#N/A</v>
      </c>
      <c r="S25" s="83" t="e">
        <f>VLOOKUP($C25,'Daily_BU설비데이터 '!$C$20:$T$1000,17,0)</f>
        <v>#N/A</v>
      </c>
      <c r="T25" s="83" t="e">
        <f>VLOOKUP($C25,'Daily_BU설비데이터 '!$C$20:$T$1000,18,0)</f>
        <v>#N/A</v>
      </c>
      <c r="U25" s="101" t="e">
        <f t="shared" si="15"/>
        <v>#N/A</v>
      </c>
      <c r="V25" s="45"/>
      <c r="W25" s="63"/>
      <c r="X25" s="64"/>
      <c r="Y25" s="64"/>
      <c r="Z25" s="65"/>
      <c r="AA25" s="45"/>
      <c r="AQ25" s="52"/>
      <c r="AR25" s="52"/>
      <c r="AY25" s="66">
        <f t="shared" si="19"/>
        <v>70.8</v>
      </c>
      <c r="AZ25" s="66">
        <f t="shared" si="20"/>
        <v>900</v>
      </c>
      <c r="BA25" s="66">
        <f t="shared" si="21"/>
        <v>1000</v>
      </c>
      <c r="BB25" s="22">
        <f t="shared" si="22"/>
        <v>5.0000000000000001E-3</v>
      </c>
    </row>
    <row r="26" spans="2:54" x14ac:dyDescent="0.45">
      <c r="B26" s="45" t="s">
        <v>51</v>
      </c>
      <c r="C26" s="90"/>
      <c r="D26" s="56"/>
      <c r="E26" s="58"/>
      <c r="F26" s="58" t="e">
        <f>VLOOKUP($C26,'Daily_BU설비데이터 '!$C$20:$T$1000,4,0)</f>
        <v>#N/A</v>
      </c>
      <c r="G26" s="58" t="e">
        <f>VLOOKUP($C26,'Daily_BU설비데이터 '!$C$20:$T$1000,5,0)</f>
        <v>#N/A</v>
      </c>
      <c r="H26" s="58" t="e">
        <f>VLOOKUP($C26,'Daily_BU설비데이터 '!$C$20:$T$1000,6,0)</f>
        <v>#N/A</v>
      </c>
      <c r="I26" s="58" t="e">
        <f>VLOOKUP($C26,'Daily_BU설비데이터 '!$C$20:$T$1000,7,0)</f>
        <v>#N/A</v>
      </c>
      <c r="J26" s="58" t="e">
        <f>VLOOKUP($C26,'Daily_BU설비데이터 '!$C$20:$T$1000,8,0)</f>
        <v>#N/A</v>
      </c>
      <c r="K26" s="58" t="e">
        <f>VLOOKUP($C26,'Daily_BU설비데이터 '!$C$20:$T$1000,9,0)</f>
        <v>#N/A</v>
      </c>
      <c r="L26" s="59" t="e">
        <f t="shared" si="16"/>
        <v>#N/A</v>
      </c>
      <c r="M26" s="68" t="e">
        <f>VLOOKUP($C26,'Daily_BU설비데이터 '!$C$20:$T$1000,11,0)</f>
        <v>#N/A</v>
      </c>
      <c r="N26" s="68" t="e">
        <f>VLOOKUP($C26,'Daily_BU설비데이터 '!$C$20:$T$1000,12,0)</f>
        <v>#N/A</v>
      </c>
      <c r="O26" s="68" t="e">
        <f>VLOOKUP($C26,'Daily_BU설비데이터 '!$C$20:$T$1000,13,0)</f>
        <v>#N/A</v>
      </c>
      <c r="P26" s="68" t="e">
        <f>VLOOKUP($C26,'Daily_BU설비데이터 '!$C$20:$T$1000,14,0)</f>
        <v>#N/A</v>
      </c>
      <c r="Q26" s="99" t="e">
        <f t="shared" si="17"/>
        <v>#N/A</v>
      </c>
      <c r="R26" s="100" t="e">
        <f t="shared" si="18"/>
        <v>#N/A</v>
      </c>
      <c r="S26" s="83" t="e">
        <f>VLOOKUP($C26,'Daily_BU설비데이터 '!$C$20:$T$1000,17,0)</f>
        <v>#N/A</v>
      </c>
      <c r="T26" s="83" t="e">
        <f>VLOOKUP($C26,'Daily_BU설비데이터 '!$C$20:$T$1000,18,0)</f>
        <v>#N/A</v>
      </c>
      <c r="U26" s="101" t="e">
        <f t="shared" si="15"/>
        <v>#N/A</v>
      </c>
      <c r="V26" s="45"/>
      <c r="W26" s="63"/>
      <c r="X26" s="64"/>
      <c r="Y26" s="64"/>
      <c r="Z26" s="65"/>
      <c r="AA26" s="45"/>
      <c r="AQ26" s="52"/>
      <c r="AR26" s="52"/>
      <c r="AY26" s="66">
        <f t="shared" si="19"/>
        <v>70.8</v>
      </c>
      <c r="AZ26" s="66">
        <f t="shared" si="20"/>
        <v>900</v>
      </c>
      <c r="BA26" s="66">
        <f t="shared" si="21"/>
        <v>1000</v>
      </c>
      <c r="BB26" s="22">
        <f t="shared" si="22"/>
        <v>5.0000000000000001E-3</v>
      </c>
    </row>
    <row r="27" spans="2:54" x14ac:dyDescent="0.45">
      <c r="B27" s="45" t="s">
        <v>52</v>
      </c>
      <c r="C27" s="90"/>
      <c r="D27" s="56"/>
      <c r="E27" s="57"/>
      <c r="F27" s="68" t="e">
        <f>VLOOKUP($C27,'Daily_BU설비데이터 '!$C$20:$T$1000,4,0)</f>
        <v>#N/A</v>
      </c>
      <c r="G27" s="68" t="e">
        <f>VLOOKUP($C27,'Daily_BU설비데이터 '!$C$20:$T$1000,5,0)</f>
        <v>#N/A</v>
      </c>
      <c r="H27" s="68" t="e">
        <f>VLOOKUP($C27,'Daily_BU설비데이터 '!$C$20:$T$1000,6,0)</f>
        <v>#N/A</v>
      </c>
      <c r="I27" s="68" t="e">
        <f>VLOOKUP($C27,'Daily_BU설비데이터 '!$C$20:$T$1000,7,0)</f>
        <v>#N/A</v>
      </c>
      <c r="J27" s="68" t="e">
        <f>VLOOKUP($C27,'Daily_BU설비데이터 '!$C$20:$T$1000,8,0)</f>
        <v>#N/A</v>
      </c>
      <c r="K27" s="68" t="e">
        <f>VLOOKUP($C27,'Daily_BU설비데이터 '!$C$20:$T$1000,9,0)</f>
        <v>#N/A</v>
      </c>
      <c r="L27" s="59" t="e">
        <f t="shared" si="16"/>
        <v>#N/A</v>
      </c>
      <c r="M27" s="68" t="e">
        <f>VLOOKUP($C27,'Daily_BU설비데이터 '!$C$20:$T$1000,11,0)</f>
        <v>#N/A</v>
      </c>
      <c r="N27" s="68" t="e">
        <f>VLOOKUP($C27,'Daily_BU설비데이터 '!$C$20:$T$1000,12,0)</f>
        <v>#N/A</v>
      </c>
      <c r="O27" s="68" t="e">
        <f>VLOOKUP($C27,'Daily_BU설비데이터 '!$C$20:$T$1000,13,0)</f>
        <v>#N/A</v>
      </c>
      <c r="P27" s="68" t="e">
        <f>VLOOKUP($C27,'Daily_BU설비데이터 '!$C$20:$T$1000,14,0)</f>
        <v>#N/A</v>
      </c>
      <c r="Q27" s="99" t="e">
        <f t="shared" si="17"/>
        <v>#N/A</v>
      </c>
      <c r="R27" s="100" t="e">
        <f t="shared" si="18"/>
        <v>#N/A</v>
      </c>
      <c r="S27" s="83" t="e">
        <f>VLOOKUP($C27,'Daily_BU설비데이터 '!$C$20:$T$1000,17,0)</f>
        <v>#N/A</v>
      </c>
      <c r="T27" s="83" t="e">
        <f>VLOOKUP($C27,'Daily_BU설비데이터 '!$C$20:$T$1000,18,0)</f>
        <v>#N/A</v>
      </c>
      <c r="U27" s="101" t="e">
        <f t="shared" si="15"/>
        <v>#N/A</v>
      </c>
      <c r="V27" s="45"/>
      <c r="W27" s="63"/>
      <c r="X27" s="64"/>
      <c r="Y27" s="64"/>
      <c r="Z27" s="65"/>
      <c r="AA27" s="45"/>
      <c r="AQ27" s="52"/>
      <c r="AR27" s="52"/>
      <c r="AY27" s="66">
        <f t="shared" si="19"/>
        <v>70.8</v>
      </c>
      <c r="AZ27" s="66">
        <f t="shared" si="20"/>
        <v>900</v>
      </c>
      <c r="BA27" s="66">
        <f t="shared" si="21"/>
        <v>1000</v>
      </c>
      <c r="BB27" s="22">
        <f t="shared" si="22"/>
        <v>5.0000000000000001E-3</v>
      </c>
    </row>
    <row r="28" spans="2:54" x14ac:dyDescent="0.45">
      <c r="B28" s="45" t="s">
        <v>53</v>
      </c>
      <c r="C28" s="90"/>
      <c r="D28" s="56"/>
      <c r="E28" s="57"/>
      <c r="F28" s="68" t="e">
        <f>VLOOKUP($C28,'Daily_BU설비데이터 '!$C$20:$T$1000,4,0)</f>
        <v>#N/A</v>
      </c>
      <c r="G28" s="68" t="e">
        <f>VLOOKUP($C28,'Daily_BU설비데이터 '!$C$20:$T$1000,5,0)</f>
        <v>#N/A</v>
      </c>
      <c r="H28" s="68" t="e">
        <f>VLOOKUP($C28,'Daily_BU설비데이터 '!$C$20:$T$1000,6,0)</f>
        <v>#N/A</v>
      </c>
      <c r="I28" s="68" t="e">
        <f>VLOOKUP($C28,'Daily_BU설비데이터 '!$C$20:$T$1000,7,0)</f>
        <v>#N/A</v>
      </c>
      <c r="J28" s="68" t="e">
        <f>VLOOKUP($C28,'Daily_BU설비데이터 '!$C$20:$T$1000,8,0)</f>
        <v>#N/A</v>
      </c>
      <c r="K28" s="68" t="e">
        <f>VLOOKUP($C28,'Daily_BU설비데이터 '!$C$20:$T$1000,9,0)</f>
        <v>#N/A</v>
      </c>
      <c r="L28" s="59" t="e">
        <f t="shared" si="16"/>
        <v>#N/A</v>
      </c>
      <c r="M28" s="68" t="e">
        <f>VLOOKUP($C28,'Daily_BU설비데이터 '!$C$20:$T$1000,11,0)</f>
        <v>#N/A</v>
      </c>
      <c r="N28" s="68" t="e">
        <f>VLOOKUP($C28,'Daily_BU설비데이터 '!$C$20:$T$1000,12,0)</f>
        <v>#N/A</v>
      </c>
      <c r="O28" s="68" t="e">
        <f>VLOOKUP($C28,'Daily_BU설비데이터 '!$C$20:$T$1000,13,0)</f>
        <v>#N/A</v>
      </c>
      <c r="P28" s="68" t="e">
        <f>VLOOKUP($C28,'Daily_BU설비데이터 '!$C$20:$T$1000,14,0)</f>
        <v>#N/A</v>
      </c>
      <c r="Q28" s="99" t="e">
        <f t="shared" si="17"/>
        <v>#N/A</v>
      </c>
      <c r="R28" s="100" t="e">
        <f t="shared" si="18"/>
        <v>#N/A</v>
      </c>
      <c r="S28" s="83" t="e">
        <f>VLOOKUP($C28,'Daily_BU설비데이터 '!$C$20:$T$1000,17,0)</f>
        <v>#N/A</v>
      </c>
      <c r="T28" s="83" t="e">
        <f>VLOOKUP($C28,'Daily_BU설비데이터 '!$C$20:$T$1000,18,0)</f>
        <v>#N/A</v>
      </c>
      <c r="U28" s="101" t="e">
        <f t="shared" si="15"/>
        <v>#N/A</v>
      </c>
      <c r="V28" s="45"/>
      <c r="W28" s="63"/>
      <c r="X28" s="64"/>
      <c r="Y28" s="64"/>
      <c r="Z28" s="65"/>
      <c r="AA28" s="45"/>
      <c r="AQ28" s="52"/>
      <c r="AR28" s="52"/>
      <c r="AY28" s="66">
        <f t="shared" si="19"/>
        <v>70.8</v>
      </c>
      <c r="AZ28" s="66">
        <f t="shared" si="20"/>
        <v>900</v>
      </c>
      <c r="BA28" s="66">
        <f t="shared" si="21"/>
        <v>1000</v>
      </c>
      <c r="BB28" s="22">
        <f t="shared" si="22"/>
        <v>5.0000000000000001E-3</v>
      </c>
    </row>
    <row r="29" spans="2:54" x14ac:dyDescent="0.45">
      <c r="B29" s="45" t="s">
        <v>54</v>
      </c>
      <c r="C29" s="90"/>
      <c r="D29" s="56"/>
      <c r="E29" s="57"/>
      <c r="F29" s="58" t="e">
        <f>VLOOKUP($C29,'Daily_BU설비데이터 '!$C$20:$T$1000,4,0)</f>
        <v>#N/A</v>
      </c>
      <c r="G29" s="58" t="e">
        <f>VLOOKUP($C29,'Daily_BU설비데이터 '!$C$20:$T$1000,5,0)</f>
        <v>#N/A</v>
      </c>
      <c r="H29" s="58" t="e">
        <f>VLOOKUP($C29,'Daily_BU설비데이터 '!$C$20:$T$1000,6,0)</f>
        <v>#N/A</v>
      </c>
      <c r="I29" s="58" t="e">
        <f>VLOOKUP($C29,'Daily_BU설비데이터 '!$C$20:$T$1000,7,0)</f>
        <v>#N/A</v>
      </c>
      <c r="J29" s="58" t="e">
        <f>VLOOKUP($C29,'Daily_BU설비데이터 '!$C$20:$T$1000,8,0)</f>
        <v>#N/A</v>
      </c>
      <c r="K29" s="58" t="e">
        <f>VLOOKUP($C29,'Daily_BU설비데이터 '!$C$20:$T$1000,9,0)</f>
        <v>#N/A</v>
      </c>
      <c r="L29" s="59" t="e">
        <f t="shared" si="16"/>
        <v>#N/A</v>
      </c>
      <c r="M29" s="68" t="e">
        <f>VLOOKUP($C29,'Daily_BU설비데이터 '!$C$20:$T$1000,11,0)</f>
        <v>#N/A</v>
      </c>
      <c r="N29" s="68" t="e">
        <f>VLOOKUP($C29,'Daily_BU설비데이터 '!$C$20:$T$1000,12,0)</f>
        <v>#N/A</v>
      </c>
      <c r="O29" s="68" t="e">
        <f>VLOOKUP($C29,'Daily_BU설비데이터 '!$C$20:$T$1000,13,0)</f>
        <v>#N/A</v>
      </c>
      <c r="P29" s="68" t="e">
        <f>VLOOKUP($C29,'Daily_BU설비데이터 '!$C$20:$T$1000,14,0)</f>
        <v>#N/A</v>
      </c>
      <c r="Q29" s="99" t="e">
        <f t="shared" si="17"/>
        <v>#N/A</v>
      </c>
      <c r="R29" s="100" t="e">
        <f t="shared" si="18"/>
        <v>#N/A</v>
      </c>
      <c r="S29" s="83" t="e">
        <f>VLOOKUP($C29,'Daily_BU설비데이터 '!$C$20:$T$1000,17,0)</f>
        <v>#N/A</v>
      </c>
      <c r="T29" s="83" t="e">
        <f>VLOOKUP($C29,'Daily_BU설비데이터 '!$C$20:$T$1000,18,0)</f>
        <v>#N/A</v>
      </c>
      <c r="U29" s="101" t="e">
        <f t="shared" si="15"/>
        <v>#N/A</v>
      </c>
      <c r="V29" s="45"/>
      <c r="W29" s="63"/>
      <c r="X29" s="64"/>
      <c r="Y29" s="64"/>
      <c r="Z29" s="65"/>
      <c r="AA29" s="45"/>
      <c r="AQ29" s="52"/>
      <c r="AR29" s="52"/>
      <c r="AY29" s="66">
        <f t="shared" si="19"/>
        <v>70.8</v>
      </c>
      <c r="AZ29" s="66">
        <f t="shared" si="20"/>
        <v>900</v>
      </c>
      <c r="BA29" s="66">
        <f t="shared" si="21"/>
        <v>1000</v>
      </c>
      <c r="BB29" s="22">
        <f t="shared" si="22"/>
        <v>5.0000000000000001E-3</v>
      </c>
    </row>
    <row r="30" spans="2:54" x14ac:dyDescent="0.45">
      <c r="B30" s="45" t="s">
        <v>55</v>
      </c>
      <c r="C30" s="90"/>
      <c r="D30" s="56"/>
      <c r="E30" s="57"/>
      <c r="F30" s="58" t="e">
        <f>VLOOKUP($C30,'Daily_BU설비데이터 '!$C$20:$T$1000,4,0)</f>
        <v>#N/A</v>
      </c>
      <c r="G30" s="58" t="e">
        <f>VLOOKUP($C30,'Daily_BU설비데이터 '!$C$20:$T$1000,5,0)</f>
        <v>#N/A</v>
      </c>
      <c r="H30" s="58" t="e">
        <f>VLOOKUP($C30,'Daily_BU설비데이터 '!$C$20:$T$1000,6,0)</f>
        <v>#N/A</v>
      </c>
      <c r="I30" s="58" t="e">
        <f>VLOOKUP($C30,'Daily_BU설비데이터 '!$C$20:$T$1000,7,0)</f>
        <v>#N/A</v>
      </c>
      <c r="J30" s="58" t="e">
        <f>VLOOKUP($C30,'Daily_BU설비데이터 '!$C$20:$T$1000,8,0)</f>
        <v>#N/A</v>
      </c>
      <c r="K30" s="58" t="e">
        <f>VLOOKUP($C30,'Daily_BU설비데이터 '!$C$20:$T$1000,9,0)</f>
        <v>#N/A</v>
      </c>
      <c r="L30" s="59" t="e">
        <f t="shared" si="16"/>
        <v>#N/A</v>
      </c>
      <c r="M30" s="68" t="e">
        <f>VLOOKUP($C30,'Daily_BU설비데이터 '!$C$20:$T$1000,11,0)</f>
        <v>#N/A</v>
      </c>
      <c r="N30" s="68" t="e">
        <f>VLOOKUP($C30,'Daily_BU설비데이터 '!$C$20:$T$1000,12,0)</f>
        <v>#N/A</v>
      </c>
      <c r="O30" s="68" t="e">
        <f>VLOOKUP($C30,'Daily_BU설비데이터 '!$C$20:$T$1000,13,0)</f>
        <v>#N/A</v>
      </c>
      <c r="P30" s="68" t="e">
        <f>VLOOKUP($C30,'Daily_BU설비데이터 '!$C$20:$T$1000,14,0)</f>
        <v>#N/A</v>
      </c>
      <c r="Q30" s="99" t="e">
        <f t="shared" si="17"/>
        <v>#N/A</v>
      </c>
      <c r="R30" s="100" t="e">
        <f t="shared" si="18"/>
        <v>#N/A</v>
      </c>
      <c r="S30" s="83" t="e">
        <f>VLOOKUP($C30,'Daily_BU설비데이터 '!$C$20:$T$1000,17,0)</f>
        <v>#N/A</v>
      </c>
      <c r="T30" s="83" t="e">
        <f>VLOOKUP($C30,'Daily_BU설비데이터 '!$C$20:$T$1000,18,0)</f>
        <v>#N/A</v>
      </c>
      <c r="U30" s="101" t="e">
        <f t="shared" si="15"/>
        <v>#N/A</v>
      </c>
      <c r="V30" s="45"/>
      <c r="W30" s="63"/>
      <c r="X30" s="64"/>
      <c r="Y30" s="64"/>
      <c r="Z30" s="65"/>
      <c r="AA30" s="45"/>
      <c r="AQ30" s="69">
        <v>0.61</v>
      </c>
      <c r="AR30" s="69">
        <v>0.32099999999999995</v>
      </c>
      <c r="AY30" s="66">
        <f t="shared" si="19"/>
        <v>70.8</v>
      </c>
      <c r="AZ30" s="66">
        <f t="shared" si="20"/>
        <v>900</v>
      </c>
      <c r="BA30" s="66">
        <f t="shared" si="21"/>
        <v>1000</v>
      </c>
      <c r="BB30" s="22">
        <f t="shared" si="22"/>
        <v>5.0000000000000001E-3</v>
      </c>
    </row>
    <row r="31" spans="2:54" s="74" customFormat="1" x14ac:dyDescent="0.45">
      <c r="B31" s="45" t="s">
        <v>56</v>
      </c>
      <c r="C31" s="90"/>
      <c r="D31" s="56"/>
      <c r="E31" s="57"/>
      <c r="F31" s="58" t="e">
        <f>VLOOKUP($C31,'Daily_BU설비데이터 '!$C$20:$T$1000,4,0)</f>
        <v>#N/A</v>
      </c>
      <c r="G31" s="58" t="e">
        <f>VLOOKUP($C31,'Daily_BU설비데이터 '!$C$20:$T$1000,5,0)</f>
        <v>#N/A</v>
      </c>
      <c r="H31" s="58" t="e">
        <f>VLOOKUP($C31,'Daily_BU설비데이터 '!$C$20:$T$1000,6,0)</f>
        <v>#N/A</v>
      </c>
      <c r="I31" s="58" t="e">
        <f>VLOOKUP($C31,'Daily_BU설비데이터 '!$C$20:$T$1000,7,0)</f>
        <v>#N/A</v>
      </c>
      <c r="J31" s="58" t="e">
        <f>VLOOKUP($C31,'Daily_BU설비데이터 '!$C$20:$T$1000,8,0)</f>
        <v>#N/A</v>
      </c>
      <c r="K31" s="58" t="e">
        <f>VLOOKUP($C31,'Daily_BU설비데이터 '!$C$20:$T$1000,9,0)</f>
        <v>#N/A</v>
      </c>
      <c r="L31" s="59" t="e">
        <f t="shared" si="16"/>
        <v>#N/A</v>
      </c>
      <c r="M31" s="68" t="e">
        <f>VLOOKUP($C31,'Daily_BU설비데이터 '!$C$20:$T$1000,11,0)</f>
        <v>#N/A</v>
      </c>
      <c r="N31" s="68" t="e">
        <f>VLOOKUP($C31,'Daily_BU설비데이터 '!$C$20:$T$1000,12,0)</f>
        <v>#N/A</v>
      </c>
      <c r="O31" s="68" t="e">
        <f>VLOOKUP($C31,'Daily_BU설비데이터 '!$C$20:$T$1000,13,0)</f>
        <v>#N/A</v>
      </c>
      <c r="P31" s="68" t="e">
        <f>VLOOKUP($C31,'Daily_BU설비데이터 '!$C$20:$T$1000,14,0)</f>
        <v>#N/A</v>
      </c>
      <c r="Q31" s="99" t="e">
        <f t="shared" si="17"/>
        <v>#N/A</v>
      </c>
      <c r="R31" s="100" t="e">
        <f t="shared" si="18"/>
        <v>#N/A</v>
      </c>
      <c r="S31" s="83" t="e">
        <f>VLOOKUP($C31,'Daily_BU설비데이터 '!$C$20:$T$1000,17,0)</f>
        <v>#N/A</v>
      </c>
      <c r="T31" s="83" t="e">
        <f>VLOOKUP($C31,'Daily_BU설비데이터 '!$C$20:$T$1000,18,0)</f>
        <v>#N/A</v>
      </c>
      <c r="U31" s="101" t="e">
        <f t="shared" si="15"/>
        <v>#N/A</v>
      </c>
      <c r="V31" s="70"/>
      <c r="W31" s="71"/>
      <c r="X31" s="72"/>
      <c r="Y31" s="72"/>
      <c r="Z31" s="73"/>
      <c r="AA31" s="70"/>
      <c r="AH31" s="74">
        <v>0.29799999999999999</v>
      </c>
      <c r="AI31" s="74">
        <v>0.32500000000000001</v>
      </c>
      <c r="AQ31" s="69">
        <v>0.61</v>
      </c>
      <c r="AR31" s="69">
        <v>0.38100000000000001</v>
      </c>
      <c r="AV31" s="52"/>
      <c r="AW31" s="52"/>
      <c r="AY31" s="66">
        <f t="shared" si="19"/>
        <v>70.8</v>
      </c>
      <c r="AZ31" s="66">
        <f t="shared" si="20"/>
        <v>900</v>
      </c>
      <c r="BA31" s="66">
        <f t="shared" si="21"/>
        <v>1000</v>
      </c>
      <c r="BB31" s="22">
        <f t="shared" si="22"/>
        <v>5.0000000000000001E-3</v>
      </c>
    </row>
    <row r="32" spans="2:54" s="74" customFormat="1" x14ac:dyDescent="0.45">
      <c r="B32" s="45" t="s">
        <v>57</v>
      </c>
      <c r="C32" s="90"/>
      <c r="D32" s="56"/>
      <c r="E32" s="57"/>
      <c r="F32" s="58" t="e">
        <f>VLOOKUP($C32,'Daily_BU설비데이터 '!$C$20:$T$1000,4,0)</f>
        <v>#N/A</v>
      </c>
      <c r="G32" s="58" t="e">
        <f>VLOOKUP($C32,'Daily_BU설비데이터 '!$C$20:$T$1000,5,0)</f>
        <v>#N/A</v>
      </c>
      <c r="H32" s="58" t="e">
        <f>VLOOKUP($C32,'Daily_BU설비데이터 '!$C$20:$T$1000,6,0)</f>
        <v>#N/A</v>
      </c>
      <c r="I32" s="58" t="e">
        <f>VLOOKUP($C32,'Daily_BU설비데이터 '!$C$20:$T$1000,7,0)</f>
        <v>#N/A</v>
      </c>
      <c r="J32" s="58" t="e">
        <f>VLOOKUP($C32,'Daily_BU설비데이터 '!$C$20:$T$1000,8,0)</f>
        <v>#N/A</v>
      </c>
      <c r="K32" s="58" t="e">
        <f>VLOOKUP($C32,'Daily_BU설비데이터 '!$C$20:$T$1000,9,0)</f>
        <v>#N/A</v>
      </c>
      <c r="L32" s="59" t="e">
        <f t="shared" si="16"/>
        <v>#N/A</v>
      </c>
      <c r="M32" s="68" t="e">
        <f>VLOOKUP($C32,'Daily_BU설비데이터 '!$C$20:$T$1000,11,0)</f>
        <v>#N/A</v>
      </c>
      <c r="N32" s="68" t="e">
        <f>VLOOKUP($C32,'Daily_BU설비데이터 '!$C$20:$T$1000,12,0)</f>
        <v>#N/A</v>
      </c>
      <c r="O32" s="68" t="e">
        <f>VLOOKUP($C32,'Daily_BU설비데이터 '!$C$20:$T$1000,13,0)</f>
        <v>#N/A</v>
      </c>
      <c r="P32" s="68" t="e">
        <f>VLOOKUP($C32,'Daily_BU설비데이터 '!$C$20:$T$1000,14,0)</f>
        <v>#N/A</v>
      </c>
      <c r="Q32" s="99" t="e">
        <f t="shared" si="17"/>
        <v>#N/A</v>
      </c>
      <c r="R32" s="100" t="e">
        <f t="shared" si="18"/>
        <v>#N/A</v>
      </c>
      <c r="S32" s="83" t="e">
        <f>VLOOKUP($C32,'Daily_BU설비데이터 '!$C$20:$T$1000,17,0)</f>
        <v>#N/A</v>
      </c>
      <c r="T32" s="83" t="e">
        <f>VLOOKUP($C32,'Daily_BU설비데이터 '!$C$20:$T$1000,18,0)</f>
        <v>#N/A</v>
      </c>
      <c r="U32" s="101" t="e">
        <f t="shared" si="15"/>
        <v>#N/A</v>
      </c>
      <c r="V32" s="75"/>
      <c r="W32" s="71"/>
      <c r="X32" s="72"/>
      <c r="Y32" s="72"/>
      <c r="Z32" s="73"/>
      <c r="AA32" s="75"/>
      <c r="AH32" s="74">
        <v>0.29799999999999999</v>
      </c>
      <c r="AI32" s="74">
        <v>0.315</v>
      </c>
      <c r="AQ32" s="69">
        <v>0.67</v>
      </c>
      <c r="AR32" s="69">
        <v>0.38100000000000001</v>
      </c>
      <c r="AV32" s="52"/>
      <c r="AW32" s="52"/>
      <c r="AY32" s="66">
        <f t="shared" si="19"/>
        <v>70.8</v>
      </c>
      <c r="AZ32" s="66">
        <f t="shared" si="20"/>
        <v>900</v>
      </c>
      <c r="BA32" s="66">
        <f t="shared" si="21"/>
        <v>1000</v>
      </c>
      <c r="BB32" s="22">
        <f t="shared" si="22"/>
        <v>5.0000000000000001E-3</v>
      </c>
    </row>
    <row r="33" spans="2:54" s="74" customFormat="1" x14ac:dyDescent="0.45">
      <c r="B33" s="45" t="s">
        <v>58</v>
      </c>
      <c r="C33" s="90"/>
      <c r="D33" s="56"/>
      <c r="E33" s="57"/>
      <c r="F33" s="58" t="e">
        <f>VLOOKUP($C33,'Daily_BU설비데이터 '!$C$20:$T$1000,4,0)</f>
        <v>#N/A</v>
      </c>
      <c r="G33" s="58" t="e">
        <f>VLOOKUP($C33,'Daily_BU설비데이터 '!$C$20:$T$1000,5,0)</f>
        <v>#N/A</v>
      </c>
      <c r="H33" s="58" t="e">
        <f>VLOOKUP($C33,'Daily_BU설비데이터 '!$C$20:$T$1000,6,0)</f>
        <v>#N/A</v>
      </c>
      <c r="I33" s="58" t="e">
        <f>VLOOKUP($C33,'Daily_BU설비데이터 '!$C$20:$T$1000,7,0)</f>
        <v>#N/A</v>
      </c>
      <c r="J33" s="58" t="e">
        <f>VLOOKUP($C33,'Daily_BU설비데이터 '!$C$20:$T$1000,8,0)</f>
        <v>#N/A</v>
      </c>
      <c r="K33" s="58" t="e">
        <f>VLOOKUP($C33,'Daily_BU설비데이터 '!$C$20:$T$1000,9,0)</f>
        <v>#N/A</v>
      </c>
      <c r="L33" s="59" t="e">
        <f t="shared" si="16"/>
        <v>#N/A</v>
      </c>
      <c r="M33" s="68" t="e">
        <f>VLOOKUP($C33,'Daily_BU설비데이터 '!$C$20:$T$1000,11,0)</f>
        <v>#N/A</v>
      </c>
      <c r="N33" s="68" t="e">
        <f>VLOOKUP($C33,'Daily_BU설비데이터 '!$C$20:$T$1000,12,0)</f>
        <v>#N/A</v>
      </c>
      <c r="O33" s="68" t="e">
        <f>VLOOKUP($C33,'Daily_BU설비데이터 '!$C$20:$T$1000,13,0)</f>
        <v>#N/A</v>
      </c>
      <c r="P33" s="68" t="e">
        <f>VLOOKUP($C33,'Daily_BU설비데이터 '!$C$20:$T$1000,14,0)</f>
        <v>#N/A</v>
      </c>
      <c r="Q33" s="99" t="e">
        <f t="shared" si="17"/>
        <v>#N/A</v>
      </c>
      <c r="R33" s="100" t="e">
        <f t="shared" si="18"/>
        <v>#N/A</v>
      </c>
      <c r="S33" s="83" t="e">
        <f>VLOOKUP($C33,'Daily_BU설비데이터 '!$C$20:$T$1000,17,0)</f>
        <v>#N/A</v>
      </c>
      <c r="T33" s="83" t="e">
        <f>VLOOKUP($C33,'Daily_BU설비데이터 '!$C$20:$T$1000,18,0)</f>
        <v>#N/A</v>
      </c>
      <c r="U33" s="101" t="e">
        <f t="shared" si="15"/>
        <v>#N/A</v>
      </c>
      <c r="V33" s="70"/>
      <c r="W33" s="71"/>
      <c r="X33" s="72"/>
      <c r="Y33" s="72"/>
      <c r="Z33" s="73"/>
      <c r="AA33" s="70"/>
      <c r="AH33" s="74">
        <v>0.28799999999999998</v>
      </c>
      <c r="AI33" s="74">
        <v>0.315</v>
      </c>
      <c r="AQ33" s="69">
        <v>0.67</v>
      </c>
      <c r="AR33" s="69">
        <v>0.32099999999999995</v>
      </c>
      <c r="AV33" s="52"/>
      <c r="AW33" s="52"/>
      <c r="AY33" s="66">
        <f t="shared" si="19"/>
        <v>70.8</v>
      </c>
      <c r="AZ33" s="66">
        <f t="shared" si="20"/>
        <v>900</v>
      </c>
      <c r="BA33" s="66">
        <f t="shared" si="21"/>
        <v>1000</v>
      </c>
      <c r="BB33" s="22">
        <f t="shared" si="22"/>
        <v>5.0000000000000001E-3</v>
      </c>
    </row>
    <row r="34" spans="2:54" s="74" customFormat="1" x14ac:dyDescent="0.45">
      <c r="B34" s="45" t="s">
        <v>59</v>
      </c>
      <c r="C34" s="90"/>
      <c r="D34" s="56"/>
      <c r="E34" s="57"/>
      <c r="F34" s="58" t="e">
        <f>VLOOKUP($C34,'Daily_BU설비데이터 '!$C$20:$T$1000,4,0)</f>
        <v>#N/A</v>
      </c>
      <c r="G34" s="58" t="e">
        <f>VLOOKUP($C34,'Daily_BU설비데이터 '!$C$20:$T$1000,5,0)</f>
        <v>#N/A</v>
      </c>
      <c r="H34" s="58" t="e">
        <f>VLOOKUP($C34,'Daily_BU설비데이터 '!$C$20:$T$1000,6,0)</f>
        <v>#N/A</v>
      </c>
      <c r="I34" s="58" t="e">
        <f>VLOOKUP($C34,'Daily_BU설비데이터 '!$C$20:$T$1000,7,0)</f>
        <v>#N/A</v>
      </c>
      <c r="J34" s="58" t="e">
        <f>VLOOKUP($C34,'Daily_BU설비데이터 '!$C$20:$T$1000,8,0)</f>
        <v>#N/A</v>
      </c>
      <c r="K34" s="58" t="e">
        <f>VLOOKUP($C34,'Daily_BU설비데이터 '!$C$20:$T$1000,9,0)</f>
        <v>#N/A</v>
      </c>
      <c r="L34" s="59" t="e">
        <f t="shared" si="16"/>
        <v>#N/A</v>
      </c>
      <c r="M34" s="68" t="e">
        <f>VLOOKUP($C34,'Daily_BU설비데이터 '!$C$20:$T$1000,11,0)</f>
        <v>#N/A</v>
      </c>
      <c r="N34" s="68" t="e">
        <f>VLOOKUP($C34,'Daily_BU설비데이터 '!$C$20:$T$1000,12,0)</f>
        <v>#N/A</v>
      </c>
      <c r="O34" s="68" t="e">
        <f>VLOOKUP($C34,'Daily_BU설비데이터 '!$C$20:$T$1000,13,0)</f>
        <v>#N/A</v>
      </c>
      <c r="P34" s="68" t="e">
        <f>VLOOKUP($C34,'Daily_BU설비데이터 '!$C$20:$T$1000,14,0)</f>
        <v>#N/A</v>
      </c>
      <c r="Q34" s="99" t="e">
        <f t="shared" si="17"/>
        <v>#N/A</v>
      </c>
      <c r="R34" s="100" t="e">
        <f t="shared" si="18"/>
        <v>#N/A</v>
      </c>
      <c r="S34" s="83" t="e">
        <f>VLOOKUP($C34,'Daily_BU설비데이터 '!$C$20:$T$1000,17,0)</f>
        <v>#N/A</v>
      </c>
      <c r="T34" s="83" t="e">
        <f>VLOOKUP($C34,'Daily_BU설비데이터 '!$C$20:$T$1000,18,0)</f>
        <v>#N/A</v>
      </c>
      <c r="U34" s="101" t="e">
        <f t="shared" si="15"/>
        <v>#N/A</v>
      </c>
      <c r="V34" s="70"/>
      <c r="W34" s="71"/>
      <c r="X34" s="72"/>
      <c r="Y34" s="72"/>
      <c r="Z34" s="73"/>
      <c r="AA34" s="70"/>
      <c r="AQ34" s="69">
        <v>0.61</v>
      </c>
      <c r="AR34" s="69">
        <v>0.32099999999999995</v>
      </c>
      <c r="AV34" s="52"/>
      <c r="AW34" s="52"/>
      <c r="AY34" s="66">
        <f t="shared" si="19"/>
        <v>70.8</v>
      </c>
      <c r="AZ34" s="66">
        <f t="shared" si="20"/>
        <v>900</v>
      </c>
      <c r="BA34" s="66">
        <f t="shared" si="21"/>
        <v>1000</v>
      </c>
      <c r="BB34" s="22">
        <f t="shared" si="22"/>
        <v>5.0000000000000001E-3</v>
      </c>
    </row>
    <row r="35" spans="2:54" x14ac:dyDescent="0.45">
      <c r="B35" s="45" t="s">
        <v>60</v>
      </c>
      <c r="C35" s="90"/>
      <c r="D35" s="56"/>
      <c r="E35" s="57"/>
      <c r="F35" s="58" t="e">
        <f>VLOOKUP($C35,'Daily_BU설비데이터 '!$C$20:$T$1000,4,0)</f>
        <v>#N/A</v>
      </c>
      <c r="G35" s="58" t="e">
        <f>VLOOKUP($C35,'Daily_BU설비데이터 '!$C$20:$T$1000,5,0)</f>
        <v>#N/A</v>
      </c>
      <c r="H35" s="58" t="e">
        <f>VLOOKUP($C35,'Daily_BU설비데이터 '!$C$20:$T$1000,6,0)</f>
        <v>#N/A</v>
      </c>
      <c r="I35" s="58" t="e">
        <f>VLOOKUP($C35,'Daily_BU설비데이터 '!$C$20:$T$1000,7,0)</f>
        <v>#N/A</v>
      </c>
      <c r="J35" s="58" t="e">
        <f>VLOOKUP($C35,'Daily_BU설비데이터 '!$C$20:$T$1000,8,0)</f>
        <v>#N/A</v>
      </c>
      <c r="K35" s="58" t="e">
        <f>VLOOKUP($C35,'Daily_BU설비데이터 '!$C$20:$T$1000,9,0)</f>
        <v>#N/A</v>
      </c>
      <c r="L35" s="59" t="e">
        <f t="shared" si="16"/>
        <v>#N/A</v>
      </c>
      <c r="M35" s="68" t="e">
        <f>VLOOKUP($C35,'Daily_BU설비데이터 '!$C$20:$T$1000,11,0)</f>
        <v>#N/A</v>
      </c>
      <c r="N35" s="68" t="e">
        <f>VLOOKUP($C35,'Daily_BU설비데이터 '!$C$20:$T$1000,12,0)</f>
        <v>#N/A</v>
      </c>
      <c r="O35" s="68" t="e">
        <f>VLOOKUP($C35,'Daily_BU설비데이터 '!$C$20:$T$1000,13,0)</f>
        <v>#N/A</v>
      </c>
      <c r="P35" s="68" t="e">
        <f>VLOOKUP($C35,'Daily_BU설비데이터 '!$C$20:$T$1000,14,0)</f>
        <v>#N/A</v>
      </c>
      <c r="Q35" s="99" t="e">
        <f t="shared" si="17"/>
        <v>#N/A</v>
      </c>
      <c r="R35" s="100" t="e">
        <f t="shared" si="18"/>
        <v>#N/A</v>
      </c>
      <c r="S35" s="83" t="e">
        <f>VLOOKUP($C35,'Daily_BU설비데이터 '!$C$20:$T$1000,17,0)</f>
        <v>#N/A</v>
      </c>
      <c r="T35" s="83" t="e">
        <f>VLOOKUP($C35,'Daily_BU설비데이터 '!$C$20:$T$1000,18,0)</f>
        <v>#N/A</v>
      </c>
      <c r="U35" s="101" t="e">
        <f t="shared" si="15"/>
        <v>#N/A</v>
      </c>
      <c r="V35" s="76"/>
      <c r="W35" s="77"/>
      <c r="X35" s="78"/>
      <c r="Y35" s="78"/>
      <c r="Z35" s="79"/>
      <c r="AA35" s="76"/>
      <c r="AQ35" s="52"/>
      <c r="AR35" s="52"/>
      <c r="AY35" s="66">
        <f t="shared" si="19"/>
        <v>70.8</v>
      </c>
      <c r="AZ35" s="66">
        <f t="shared" si="20"/>
        <v>900</v>
      </c>
      <c r="BA35" s="66">
        <f t="shared" si="21"/>
        <v>1000</v>
      </c>
      <c r="BB35" s="22">
        <f t="shared" si="22"/>
        <v>5.0000000000000001E-3</v>
      </c>
    </row>
    <row r="36" spans="2:54" x14ac:dyDescent="0.45">
      <c r="B36" s="45" t="s">
        <v>61</v>
      </c>
      <c r="C36" s="90"/>
      <c r="D36" s="56"/>
      <c r="E36" s="57"/>
      <c r="F36" s="58" t="e">
        <f>VLOOKUP($C36,'Daily_BU설비데이터 '!$C$20:$T$1000,4,0)</f>
        <v>#N/A</v>
      </c>
      <c r="G36" s="58" t="e">
        <f>VLOOKUP($C36,'Daily_BU설비데이터 '!$C$20:$T$1000,5,0)</f>
        <v>#N/A</v>
      </c>
      <c r="H36" s="58" t="e">
        <f>VLOOKUP($C36,'Daily_BU설비데이터 '!$C$20:$T$1000,6,0)</f>
        <v>#N/A</v>
      </c>
      <c r="I36" s="58" t="e">
        <f>VLOOKUP($C36,'Daily_BU설비데이터 '!$C$20:$T$1000,7,0)</f>
        <v>#N/A</v>
      </c>
      <c r="J36" s="58" t="e">
        <f>VLOOKUP($C36,'Daily_BU설비데이터 '!$C$20:$T$1000,8,0)</f>
        <v>#N/A</v>
      </c>
      <c r="K36" s="58" t="e">
        <f>VLOOKUP($C36,'Daily_BU설비데이터 '!$C$20:$T$1000,9,0)</f>
        <v>#N/A</v>
      </c>
      <c r="L36" s="59" t="e">
        <f t="shared" si="16"/>
        <v>#N/A</v>
      </c>
      <c r="M36" s="68" t="e">
        <f>VLOOKUP($C36,'Daily_BU설비데이터 '!$C$20:$T$1000,11,0)</f>
        <v>#N/A</v>
      </c>
      <c r="N36" s="68" t="e">
        <f>VLOOKUP($C36,'Daily_BU설비데이터 '!$C$20:$T$1000,12,0)</f>
        <v>#N/A</v>
      </c>
      <c r="O36" s="68" t="e">
        <f>VLOOKUP($C36,'Daily_BU설비데이터 '!$C$20:$T$1000,13,0)</f>
        <v>#N/A</v>
      </c>
      <c r="P36" s="68" t="e">
        <f>VLOOKUP($C36,'Daily_BU설비데이터 '!$C$20:$T$1000,14,0)</f>
        <v>#N/A</v>
      </c>
      <c r="Q36" s="99" t="e">
        <f t="shared" si="17"/>
        <v>#N/A</v>
      </c>
      <c r="R36" s="100" t="e">
        <f t="shared" si="18"/>
        <v>#N/A</v>
      </c>
      <c r="S36" s="83" t="e">
        <f>VLOOKUP($C36,'Daily_BU설비데이터 '!$C$20:$T$1000,17,0)</f>
        <v>#N/A</v>
      </c>
      <c r="T36" s="83" t="e">
        <f>VLOOKUP($C36,'Daily_BU설비데이터 '!$C$20:$T$1000,18,0)</f>
        <v>#N/A</v>
      </c>
      <c r="U36" s="101" t="e">
        <f t="shared" si="15"/>
        <v>#N/A</v>
      </c>
      <c r="V36" s="76"/>
      <c r="W36" s="77"/>
      <c r="X36" s="78"/>
      <c r="Y36" s="78"/>
      <c r="Z36" s="79"/>
      <c r="AA36" s="76"/>
      <c r="AQ36" s="52"/>
      <c r="AR36" s="52"/>
      <c r="AY36" s="66">
        <f t="shared" si="19"/>
        <v>70.8</v>
      </c>
      <c r="AZ36" s="66">
        <f t="shared" si="20"/>
        <v>900</v>
      </c>
      <c r="BA36" s="66">
        <f t="shared" si="21"/>
        <v>1000</v>
      </c>
      <c r="BB36" s="22">
        <f t="shared" si="22"/>
        <v>5.0000000000000001E-3</v>
      </c>
    </row>
    <row r="37" spans="2:54" ht="15.75" customHeight="1" x14ac:dyDescent="0.45">
      <c r="B37" s="45" t="s">
        <v>62</v>
      </c>
      <c r="C37" s="90"/>
      <c r="D37" s="56"/>
      <c r="E37" s="57"/>
      <c r="F37" s="58" t="e">
        <f>VLOOKUP($C37,'Daily_BU설비데이터 '!$C$20:$T$1000,4,0)</f>
        <v>#N/A</v>
      </c>
      <c r="G37" s="58" t="e">
        <f>VLOOKUP($C37,'Daily_BU설비데이터 '!$C$20:$T$1000,5,0)</f>
        <v>#N/A</v>
      </c>
      <c r="H37" s="58" t="e">
        <f>VLOOKUP($C37,'Daily_BU설비데이터 '!$C$20:$T$1000,6,0)</f>
        <v>#N/A</v>
      </c>
      <c r="I37" s="58" t="e">
        <f>VLOOKUP($C37,'Daily_BU설비데이터 '!$C$20:$T$1000,7,0)</f>
        <v>#N/A</v>
      </c>
      <c r="J37" s="58" t="e">
        <f>VLOOKUP($C37,'Daily_BU설비데이터 '!$C$20:$T$1000,8,0)</f>
        <v>#N/A</v>
      </c>
      <c r="K37" s="58" t="e">
        <f>VLOOKUP($C37,'Daily_BU설비데이터 '!$C$20:$T$1000,9,0)</f>
        <v>#N/A</v>
      </c>
      <c r="L37" s="59" t="e">
        <f t="shared" si="16"/>
        <v>#N/A</v>
      </c>
      <c r="M37" s="68" t="e">
        <f>VLOOKUP($C37,'Daily_BU설비데이터 '!$C$20:$T$1000,11,0)</f>
        <v>#N/A</v>
      </c>
      <c r="N37" s="68" t="e">
        <f>VLOOKUP($C37,'Daily_BU설비데이터 '!$C$20:$T$1000,12,0)</f>
        <v>#N/A</v>
      </c>
      <c r="O37" s="68" t="e">
        <f>VLOOKUP($C37,'Daily_BU설비데이터 '!$C$20:$T$1000,13,0)</f>
        <v>#N/A</v>
      </c>
      <c r="P37" s="68" t="e">
        <f>VLOOKUP($C37,'Daily_BU설비데이터 '!$C$20:$T$1000,14,0)</f>
        <v>#N/A</v>
      </c>
      <c r="Q37" s="99" t="e">
        <f t="shared" si="17"/>
        <v>#N/A</v>
      </c>
      <c r="R37" s="100" t="e">
        <f t="shared" si="18"/>
        <v>#N/A</v>
      </c>
      <c r="S37" s="83" t="e">
        <f>VLOOKUP($C37,'Daily_BU설비데이터 '!$C$20:$T$1000,17,0)</f>
        <v>#N/A</v>
      </c>
      <c r="T37" s="83" t="e">
        <f>VLOOKUP($C37,'Daily_BU설비데이터 '!$C$20:$T$1000,18,0)</f>
        <v>#N/A</v>
      </c>
      <c r="U37" s="101" t="e">
        <f t="shared" si="15"/>
        <v>#N/A</v>
      </c>
      <c r="V37" s="76"/>
      <c r="W37" s="77"/>
      <c r="X37" s="78"/>
      <c r="Y37" s="78"/>
      <c r="Z37" s="79"/>
      <c r="AA37" s="76"/>
      <c r="AY37" s="66">
        <f t="shared" si="19"/>
        <v>70.8</v>
      </c>
      <c r="AZ37" s="66">
        <f t="shared" si="20"/>
        <v>900</v>
      </c>
      <c r="BA37" s="66">
        <f t="shared" si="21"/>
        <v>1000</v>
      </c>
      <c r="BB37" s="22">
        <f t="shared" si="22"/>
        <v>5.0000000000000001E-3</v>
      </c>
    </row>
    <row r="38" spans="2:54" s="74" customFormat="1" x14ac:dyDescent="0.45">
      <c r="B38" s="45" t="s">
        <v>63</v>
      </c>
      <c r="C38" s="90"/>
      <c r="D38" s="56"/>
      <c r="E38" s="57"/>
      <c r="F38" s="58" t="e">
        <f>VLOOKUP($C38,'Daily_BU설비데이터 '!$C$20:$T$1000,4,0)</f>
        <v>#N/A</v>
      </c>
      <c r="G38" s="58" t="e">
        <f>VLOOKUP($C38,'Daily_BU설비데이터 '!$C$20:$T$1000,5,0)</f>
        <v>#N/A</v>
      </c>
      <c r="H38" s="58" t="e">
        <f>VLOOKUP($C38,'Daily_BU설비데이터 '!$C$20:$T$1000,6,0)</f>
        <v>#N/A</v>
      </c>
      <c r="I38" s="58" t="e">
        <f>VLOOKUP($C38,'Daily_BU설비데이터 '!$C$20:$T$1000,7,0)</f>
        <v>#N/A</v>
      </c>
      <c r="J38" s="58" t="e">
        <f>VLOOKUP($C38,'Daily_BU설비데이터 '!$C$20:$T$1000,8,0)</f>
        <v>#N/A</v>
      </c>
      <c r="K38" s="58" t="e">
        <f>VLOOKUP($C38,'Daily_BU설비데이터 '!$C$20:$T$1000,9,0)</f>
        <v>#N/A</v>
      </c>
      <c r="L38" s="59" t="e">
        <f t="shared" si="16"/>
        <v>#N/A</v>
      </c>
      <c r="M38" s="68" t="e">
        <f>VLOOKUP($C38,'Daily_BU설비데이터 '!$C$20:$T$1000,11,0)</f>
        <v>#N/A</v>
      </c>
      <c r="N38" s="68" t="e">
        <f>VLOOKUP($C38,'Daily_BU설비데이터 '!$C$20:$T$1000,12,0)</f>
        <v>#N/A</v>
      </c>
      <c r="O38" s="68" t="e">
        <f>VLOOKUP($C38,'Daily_BU설비데이터 '!$C$20:$T$1000,13,0)</f>
        <v>#N/A</v>
      </c>
      <c r="P38" s="68" t="e">
        <f>VLOOKUP($C38,'Daily_BU설비데이터 '!$C$20:$T$1000,14,0)</f>
        <v>#N/A</v>
      </c>
      <c r="Q38" s="99" t="e">
        <f t="shared" si="17"/>
        <v>#N/A</v>
      </c>
      <c r="R38" s="100" t="e">
        <f t="shared" si="18"/>
        <v>#N/A</v>
      </c>
      <c r="S38" s="83" t="e">
        <f>VLOOKUP($C38,'Daily_BU설비데이터 '!$C$20:$T$1000,17,0)</f>
        <v>#N/A</v>
      </c>
      <c r="T38" s="83" t="e">
        <f>VLOOKUP($C38,'Daily_BU설비데이터 '!$C$20:$T$1000,18,0)</f>
        <v>#N/A</v>
      </c>
      <c r="U38" s="101" t="e">
        <f t="shared" si="15"/>
        <v>#N/A</v>
      </c>
      <c r="V38" s="70"/>
      <c r="W38" s="71"/>
      <c r="X38" s="72"/>
      <c r="Y38" s="72"/>
      <c r="Z38" s="73"/>
      <c r="AA38" s="70"/>
      <c r="AV38" s="52"/>
      <c r="AW38" s="52"/>
      <c r="AY38" s="66">
        <f t="shared" si="19"/>
        <v>70.8</v>
      </c>
      <c r="AZ38" s="66">
        <f t="shared" si="20"/>
        <v>900</v>
      </c>
      <c r="BA38" s="66">
        <f t="shared" si="21"/>
        <v>1000</v>
      </c>
      <c r="BB38" s="22">
        <f t="shared" si="22"/>
        <v>5.0000000000000001E-3</v>
      </c>
    </row>
    <row r="39" spans="2:54" x14ac:dyDescent="0.45">
      <c r="B39" s="45" t="s">
        <v>64</v>
      </c>
      <c r="C39" s="90"/>
      <c r="D39" s="56"/>
      <c r="E39" s="57"/>
      <c r="F39" s="58" t="e">
        <f>VLOOKUP($C39,'Daily_BU설비데이터 '!$C$20:$T$1000,4,0)</f>
        <v>#N/A</v>
      </c>
      <c r="G39" s="58" t="e">
        <f>VLOOKUP($C39,'Daily_BU설비데이터 '!$C$20:$T$1000,5,0)</f>
        <v>#N/A</v>
      </c>
      <c r="H39" s="58" t="e">
        <f>VLOOKUP($C39,'Daily_BU설비데이터 '!$C$20:$T$1000,6,0)</f>
        <v>#N/A</v>
      </c>
      <c r="I39" s="58" t="e">
        <f>VLOOKUP($C39,'Daily_BU설비데이터 '!$C$20:$T$1000,7,0)</f>
        <v>#N/A</v>
      </c>
      <c r="J39" s="58" t="e">
        <f>VLOOKUP($C39,'Daily_BU설비데이터 '!$C$20:$T$1000,8,0)</f>
        <v>#N/A</v>
      </c>
      <c r="K39" s="58" t="e">
        <f>VLOOKUP($C39,'Daily_BU설비데이터 '!$C$20:$T$1000,9,0)</f>
        <v>#N/A</v>
      </c>
      <c r="L39" s="59" t="e">
        <f t="shared" si="16"/>
        <v>#N/A</v>
      </c>
      <c r="M39" s="68" t="e">
        <f>VLOOKUP($C39,'Daily_BU설비데이터 '!$C$20:$T$1000,11,0)</f>
        <v>#N/A</v>
      </c>
      <c r="N39" s="68" t="e">
        <f>VLOOKUP($C39,'Daily_BU설비데이터 '!$C$20:$T$1000,12,0)</f>
        <v>#N/A</v>
      </c>
      <c r="O39" s="68" t="e">
        <f>VLOOKUP($C39,'Daily_BU설비데이터 '!$C$20:$T$1000,13,0)</f>
        <v>#N/A</v>
      </c>
      <c r="P39" s="68" t="e">
        <f>VLOOKUP($C39,'Daily_BU설비데이터 '!$C$20:$T$1000,14,0)</f>
        <v>#N/A</v>
      </c>
      <c r="Q39" s="99" t="e">
        <f t="shared" si="17"/>
        <v>#N/A</v>
      </c>
      <c r="R39" s="100" t="e">
        <f t="shared" si="18"/>
        <v>#N/A</v>
      </c>
      <c r="S39" s="83" t="e">
        <f>VLOOKUP($C39,'Daily_BU설비데이터 '!$C$20:$T$1000,17,0)</f>
        <v>#N/A</v>
      </c>
      <c r="T39" s="83" t="e">
        <f>VLOOKUP($C39,'Daily_BU설비데이터 '!$C$20:$T$1000,18,0)</f>
        <v>#N/A</v>
      </c>
      <c r="U39" s="101" t="e">
        <f t="shared" si="15"/>
        <v>#N/A</v>
      </c>
      <c r="V39" s="76"/>
      <c r="W39" s="77"/>
      <c r="X39" s="78"/>
      <c r="Y39" s="78"/>
      <c r="Z39" s="79"/>
      <c r="AA39" s="76"/>
      <c r="AY39" s="66">
        <f t="shared" si="19"/>
        <v>70.8</v>
      </c>
      <c r="AZ39" s="66">
        <f t="shared" si="20"/>
        <v>900</v>
      </c>
      <c r="BA39" s="66">
        <f t="shared" si="21"/>
        <v>1000</v>
      </c>
      <c r="BB39" s="22">
        <f t="shared" si="22"/>
        <v>5.0000000000000001E-3</v>
      </c>
    </row>
    <row r="40" spans="2:54" s="74" customFormat="1" x14ac:dyDescent="0.45">
      <c r="B40" s="45" t="s">
        <v>65</v>
      </c>
      <c r="C40" s="90"/>
      <c r="D40" s="56"/>
      <c r="E40" s="57"/>
      <c r="F40" s="68" t="e">
        <f>VLOOKUP($C40,'Daily_BU설비데이터 '!$C$20:$T$1000,4,0)</f>
        <v>#N/A</v>
      </c>
      <c r="G40" s="68" t="e">
        <f>VLOOKUP($C40,'Daily_BU설비데이터 '!$C$20:$T$1000,5,0)</f>
        <v>#N/A</v>
      </c>
      <c r="H40" s="68" t="e">
        <f>VLOOKUP($C40,'Daily_BU설비데이터 '!$C$20:$T$1000,6,0)</f>
        <v>#N/A</v>
      </c>
      <c r="I40" s="68" t="e">
        <f>VLOOKUP($C40,'Daily_BU설비데이터 '!$C$20:$T$1000,7,0)</f>
        <v>#N/A</v>
      </c>
      <c r="J40" s="68" t="e">
        <f>VLOOKUP($C40,'Daily_BU설비데이터 '!$C$20:$T$1000,8,0)</f>
        <v>#N/A</v>
      </c>
      <c r="K40" s="68" t="e">
        <f>VLOOKUP($C40,'Daily_BU설비데이터 '!$C$20:$T$1000,9,0)</f>
        <v>#N/A</v>
      </c>
      <c r="L40" s="59" t="e">
        <f t="shared" si="16"/>
        <v>#N/A</v>
      </c>
      <c r="M40" s="68" t="e">
        <f>VLOOKUP($C40,'Daily_BU설비데이터 '!$C$20:$T$1000,11,0)</f>
        <v>#N/A</v>
      </c>
      <c r="N40" s="68" t="e">
        <f>VLOOKUP($C40,'Daily_BU설비데이터 '!$C$20:$T$1000,12,0)</f>
        <v>#N/A</v>
      </c>
      <c r="O40" s="68" t="e">
        <f>VLOOKUP($C40,'Daily_BU설비데이터 '!$C$20:$T$1000,13,0)</f>
        <v>#N/A</v>
      </c>
      <c r="P40" s="68" t="e">
        <f>VLOOKUP($C40,'Daily_BU설비데이터 '!$C$20:$T$1000,14,0)</f>
        <v>#N/A</v>
      </c>
      <c r="Q40" s="99" t="e">
        <f t="shared" si="17"/>
        <v>#N/A</v>
      </c>
      <c r="R40" s="100" t="e">
        <f t="shared" si="18"/>
        <v>#N/A</v>
      </c>
      <c r="S40" s="83" t="e">
        <f>VLOOKUP($C40,'Daily_BU설비데이터 '!$C$20:$T$1000,17,0)</f>
        <v>#N/A</v>
      </c>
      <c r="T40" s="83" t="e">
        <f>VLOOKUP($C40,'Daily_BU설비데이터 '!$C$20:$T$1000,18,0)</f>
        <v>#N/A</v>
      </c>
      <c r="U40" s="101" t="e">
        <f t="shared" si="15"/>
        <v>#N/A</v>
      </c>
      <c r="V40" s="70"/>
      <c r="W40" s="71"/>
      <c r="X40" s="72"/>
      <c r="Y40" s="72"/>
      <c r="Z40" s="73"/>
      <c r="AA40" s="70"/>
      <c r="AV40" s="52"/>
      <c r="AW40" s="52"/>
      <c r="AY40" s="66">
        <f t="shared" si="19"/>
        <v>70.8</v>
      </c>
      <c r="AZ40" s="66">
        <f t="shared" si="20"/>
        <v>900</v>
      </c>
      <c r="BA40" s="66">
        <f t="shared" si="21"/>
        <v>1000</v>
      </c>
      <c r="BB40" s="22">
        <f t="shared" si="22"/>
        <v>5.0000000000000001E-3</v>
      </c>
    </row>
    <row r="41" spans="2:54" s="74" customFormat="1" x14ac:dyDescent="0.45">
      <c r="B41" s="45" t="s">
        <v>66</v>
      </c>
      <c r="C41" s="90"/>
      <c r="D41" s="56"/>
      <c r="E41" s="57"/>
      <c r="F41" s="68" t="e">
        <f>VLOOKUP($C41,'Daily_BU설비데이터 '!$C$20:$T$1000,4,0)</f>
        <v>#N/A</v>
      </c>
      <c r="G41" s="68" t="e">
        <f>VLOOKUP($C41,'Daily_BU설비데이터 '!$C$20:$T$1000,5,0)</f>
        <v>#N/A</v>
      </c>
      <c r="H41" s="68" t="e">
        <f>VLOOKUP($C41,'Daily_BU설비데이터 '!$C$20:$T$1000,6,0)</f>
        <v>#N/A</v>
      </c>
      <c r="I41" s="68" t="e">
        <f>VLOOKUP($C41,'Daily_BU설비데이터 '!$C$20:$T$1000,7,0)</f>
        <v>#N/A</v>
      </c>
      <c r="J41" s="68" t="e">
        <f>VLOOKUP($C41,'Daily_BU설비데이터 '!$C$20:$T$1000,8,0)</f>
        <v>#N/A</v>
      </c>
      <c r="K41" s="68" t="e">
        <f>VLOOKUP($C41,'Daily_BU설비데이터 '!$C$20:$T$1000,9,0)</f>
        <v>#N/A</v>
      </c>
      <c r="L41" s="59" t="e">
        <f t="shared" si="16"/>
        <v>#N/A</v>
      </c>
      <c r="M41" s="68" t="e">
        <f>VLOOKUP($C41,'Daily_BU설비데이터 '!$C$20:$T$1000,11,0)</f>
        <v>#N/A</v>
      </c>
      <c r="N41" s="68" t="e">
        <f>VLOOKUP($C41,'Daily_BU설비데이터 '!$C$20:$T$1000,12,0)</f>
        <v>#N/A</v>
      </c>
      <c r="O41" s="68" t="e">
        <f>VLOOKUP($C41,'Daily_BU설비데이터 '!$C$20:$T$1000,13,0)</f>
        <v>#N/A</v>
      </c>
      <c r="P41" s="68" t="e">
        <f>VLOOKUP($C41,'Daily_BU설비데이터 '!$C$20:$T$1000,14,0)</f>
        <v>#N/A</v>
      </c>
      <c r="Q41" s="99" t="e">
        <f t="shared" si="17"/>
        <v>#N/A</v>
      </c>
      <c r="R41" s="100" t="e">
        <f t="shared" si="18"/>
        <v>#N/A</v>
      </c>
      <c r="S41" s="83" t="e">
        <f>VLOOKUP($C41,'Daily_BU설비데이터 '!$C$20:$T$1000,17,0)</f>
        <v>#N/A</v>
      </c>
      <c r="T41" s="83" t="e">
        <f>VLOOKUP($C41,'Daily_BU설비데이터 '!$C$20:$T$1000,18,0)</f>
        <v>#N/A</v>
      </c>
      <c r="U41" s="101" t="e">
        <f t="shared" si="15"/>
        <v>#N/A</v>
      </c>
      <c r="V41" s="70"/>
      <c r="W41" s="71"/>
      <c r="X41" s="72"/>
      <c r="Y41" s="72"/>
      <c r="Z41" s="73"/>
      <c r="AA41" s="70"/>
      <c r="AV41" s="52"/>
      <c r="AW41" s="52"/>
      <c r="AY41" s="66">
        <f t="shared" si="19"/>
        <v>70.8</v>
      </c>
      <c r="AZ41" s="66">
        <f t="shared" si="20"/>
        <v>900</v>
      </c>
      <c r="BA41" s="66">
        <f t="shared" si="21"/>
        <v>1000</v>
      </c>
      <c r="BB41" s="22">
        <f t="shared" si="22"/>
        <v>5.0000000000000001E-3</v>
      </c>
    </row>
    <row r="42" spans="2:54" s="74" customFormat="1" x14ac:dyDescent="0.45">
      <c r="B42" s="45" t="s">
        <v>67</v>
      </c>
      <c r="C42" s="90"/>
      <c r="D42" s="56"/>
      <c r="E42" s="57"/>
      <c r="F42" s="68" t="e">
        <f>VLOOKUP($C42,'Daily_BU설비데이터 '!$C$20:$T$1000,4,0)</f>
        <v>#N/A</v>
      </c>
      <c r="G42" s="68" t="e">
        <f>VLOOKUP($C42,'Daily_BU설비데이터 '!$C$20:$T$1000,5,0)</f>
        <v>#N/A</v>
      </c>
      <c r="H42" s="68" t="e">
        <f>VLOOKUP($C42,'Daily_BU설비데이터 '!$C$20:$T$1000,6,0)</f>
        <v>#N/A</v>
      </c>
      <c r="I42" s="68" t="e">
        <f>VLOOKUP($C42,'Daily_BU설비데이터 '!$C$20:$T$1000,7,0)</f>
        <v>#N/A</v>
      </c>
      <c r="J42" s="68" t="e">
        <f>VLOOKUP($C42,'Daily_BU설비데이터 '!$C$20:$T$1000,8,0)</f>
        <v>#N/A</v>
      </c>
      <c r="K42" s="68" t="e">
        <f>VLOOKUP($C42,'Daily_BU설비데이터 '!$C$20:$T$1000,9,0)</f>
        <v>#N/A</v>
      </c>
      <c r="L42" s="59" t="e">
        <f t="shared" si="16"/>
        <v>#N/A</v>
      </c>
      <c r="M42" s="102" t="e">
        <f>VLOOKUP($C42,'Daily_BU설비데이터 '!$C$20:$T$1000,11,0)</f>
        <v>#N/A</v>
      </c>
      <c r="N42" s="102" t="e">
        <f>VLOOKUP($C42,'Daily_BU설비데이터 '!$C$20:$T$1000,12,0)</f>
        <v>#N/A</v>
      </c>
      <c r="O42" s="103" t="e">
        <f>VLOOKUP($C42,'Daily_BU설비데이터 '!$C$20:$T$1000,13,0)</f>
        <v>#N/A</v>
      </c>
      <c r="P42" s="68" t="e">
        <f>VLOOKUP($C42,'Daily_BU설비데이터 '!$C$20:$T$1000,14,0)</f>
        <v>#N/A</v>
      </c>
      <c r="Q42" s="99" t="e">
        <f t="shared" si="17"/>
        <v>#N/A</v>
      </c>
      <c r="R42" s="100" t="e">
        <f t="shared" si="18"/>
        <v>#N/A</v>
      </c>
      <c r="S42" s="83" t="e">
        <f>VLOOKUP($C42,'Daily_BU설비데이터 '!$C$20:$T$1000,17,0)</f>
        <v>#N/A</v>
      </c>
      <c r="T42" s="83" t="e">
        <f>VLOOKUP($C42,'Daily_BU설비데이터 '!$C$20:$T$1000,18,0)</f>
        <v>#N/A</v>
      </c>
      <c r="U42" s="101" t="e">
        <f t="shared" si="15"/>
        <v>#N/A</v>
      </c>
      <c r="V42" s="70"/>
      <c r="W42" s="71"/>
      <c r="X42" s="72"/>
      <c r="Y42" s="72"/>
      <c r="Z42" s="73"/>
      <c r="AA42" s="70"/>
      <c r="AV42" s="52"/>
      <c r="AW42" s="52"/>
      <c r="AY42" s="66">
        <f t="shared" si="19"/>
        <v>70.8</v>
      </c>
      <c r="AZ42" s="66">
        <f t="shared" si="20"/>
        <v>900</v>
      </c>
      <c r="BA42" s="66">
        <f t="shared" si="21"/>
        <v>1000</v>
      </c>
      <c r="BB42" s="22">
        <f t="shared" si="22"/>
        <v>5.0000000000000001E-3</v>
      </c>
    </row>
    <row r="43" spans="2:54" x14ac:dyDescent="0.45">
      <c r="B43" s="45" t="s">
        <v>68</v>
      </c>
      <c r="C43" s="90"/>
      <c r="D43" s="56"/>
      <c r="E43" s="57"/>
      <c r="F43" s="68" t="e">
        <f>VLOOKUP($C43,'Daily_BU설비데이터 '!$C$20:$T$1000,4,0)</f>
        <v>#N/A</v>
      </c>
      <c r="G43" s="68" t="e">
        <f>VLOOKUP($C43,'Daily_BU설비데이터 '!$C$20:$T$1000,5,0)</f>
        <v>#N/A</v>
      </c>
      <c r="H43" s="68" t="e">
        <f>VLOOKUP($C43,'Daily_BU설비데이터 '!$C$20:$T$1000,6,0)</f>
        <v>#N/A</v>
      </c>
      <c r="I43" s="68" t="e">
        <f>VLOOKUP($C43,'Daily_BU설비데이터 '!$C$20:$T$1000,7,0)</f>
        <v>#N/A</v>
      </c>
      <c r="J43" s="68" t="e">
        <f>VLOOKUP($C43,'Daily_BU설비데이터 '!$C$20:$T$1000,8,0)</f>
        <v>#N/A</v>
      </c>
      <c r="K43" s="68" t="e">
        <f>VLOOKUP($C43,'Daily_BU설비데이터 '!$C$20:$T$1000,9,0)</f>
        <v>#N/A</v>
      </c>
      <c r="L43" s="59" t="e">
        <f t="shared" si="16"/>
        <v>#N/A</v>
      </c>
      <c r="M43" s="68" t="e">
        <f>VLOOKUP($C43,'Daily_BU설비데이터 '!$C$20:$T$1000,11,0)</f>
        <v>#N/A</v>
      </c>
      <c r="N43" s="68" t="e">
        <f>VLOOKUP($C43,'Daily_BU설비데이터 '!$C$20:$T$1000,12,0)</f>
        <v>#N/A</v>
      </c>
      <c r="O43" s="68" t="e">
        <f>VLOOKUP($C43,'Daily_BU설비데이터 '!$C$20:$T$1000,13,0)</f>
        <v>#N/A</v>
      </c>
      <c r="P43" s="68" t="e">
        <f>VLOOKUP($C43,'Daily_BU설비데이터 '!$C$20:$T$1000,14,0)</f>
        <v>#N/A</v>
      </c>
      <c r="Q43" s="99" t="e">
        <f t="shared" si="17"/>
        <v>#N/A</v>
      </c>
      <c r="R43" s="100" t="e">
        <f t="shared" si="18"/>
        <v>#N/A</v>
      </c>
      <c r="S43" s="83" t="e">
        <f>VLOOKUP($C43,'Daily_BU설비데이터 '!$C$20:$T$1000,17,0)</f>
        <v>#N/A</v>
      </c>
      <c r="T43" s="83" t="e">
        <f>VLOOKUP($C43,'Daily_BU설비데이터 '!$C$20:$T$1000,18,0)</f>
        <v>#N/A</v>
      </c>
      <c r="U43" s="101" t="e">
        <f t="shared" si="15"/>
        <v>#N/A</v>
      </c>
      <c r="V43" s="76"/>
      <c r="W43" s="77"/>
      <c r="X43" s="78"/>
      <c r="Y43" s="78"/>
      <c r="Z43" s="79"/>
      <c r="AA43" s="76"/>
      <c r="AY43" s="66">
        <f t="shared" si="19"/>
        <v>70.8</v>
      </c>
      <c r="AZ43" s="66">
        <f t="shared" si="20"/>
        <v>900</v>
      </c>
      <c r="BA43" s="66">
        <f t="shared" si="21"/>
        <v>1000</v>
      </c>
      <c r="BB43" s="22">
        <f t="shared" si="22"/>
        <v>5.0000000000000001E-3</v>
      </c>
    </row>
    <row r="44" spans="2:54" x14ac:dyDescent="0.45">
      <c r="B44" s="45" t="s">
        <v>69</v>
      </c>
      <c r="C44" s="90"/>
      <c r="D44" s="56"/>
      <c r="E44" s="57"/>
      <c r="F44" s="68" t="e">
        <f>VLOOKUP($C44,'Daily_BU설비데이터 '!$C$20:$T$1000,4,0)</f>
        <v>#N/A</v>
      </c>
      <c r="G44" s="68" t="e">
        <f>VLOOKUP($C44,'Daily_BU설비데이터 '!$C$20:$T$1000,5,0)</f>
        <v>#N/A</v>
      </c>
      <c r="H44" s="68" t="e">
        <f>VLOOKUP($C44,'Daily_BU설비데이터 '!$C$20:$T$1000,6,0)</f>
        <v>#N/A</v>
      </c>
      <c r="I44" s="68" t="e">
        <f>VLOOKUP($C44,'Daily_BU설비데이터 '!$C$20:$T$1000,7,0)</f>
        <v>#N/A</v>
      </c>
      <c r="J44" s="68" t="e">
        <f>VLOOKUP($C44,'Daily_BU설비데이터 '!$C$20:$T$1000,8,0)</f>
        <v>#N/A</v>
      </c>
      <c r="K44" s="68" t="e">
        <f>VLOOKUP($C44,'Daily_BU설비데이터 '!$C$20:$T$1000,9,0)</f>
        <v>#N/A</v>
      </c>
      <c r="L44" s="59" t="e">
        <f t="shared" si="16"/>
        <v>#N/A</v>
      </c>
      <c r="M44" s="68" t="e">
        <f>VLOOKUP($C44,'Daily_BU설비데이터 '!$C$20:$T$1000,11,0)</f>
        <v>#N/A</v>
      </c>
      <c r="N44" s="68" t="e">
        <f>VLOOKUP($C44,'Daily_BU설비데이터 '!$C$20:$T$1000,12,0)</f>
        <v>#N/A</v>
      </c>
      <c r="O44" s="68" t="e">
        <f>VLOOKUP($C44,'Daily_BU설비데이터 '!$C$20:$T$1000,13,0)</f>
        <v>#N/A</v>
      </c>
      <c r="P44" s="68" t="e">
        <f>VLOOKUP($C44,'Daily_BU설비데이터 '!$C$20:$T$1000,14,0)</f>
        <v>#N/A</v>
      </c>
      <c r="Q44" s="99" t="e">
        <f t="shared" si="17"/>
        <v>#N/A</v>
      </c>
      <c r="R44" s="100" t="e">
        <f t="shared" si="18"/>
        <v>#N/A</v>
      </c>
      <c r="S44" s="83" t="e">
        <f>VLOOKUP($C44,'Daily_BU설비데이터 '!$C$20:$T$1000,17,0)</f>
        <v>#N/A</v>
      </c>
      <c r="T44" s="83" t="e">
        <f>VLOOKUP($C44,'Daily_BU설비데이터 '!$C$20:$T$1000,18,0)</f>
        <v>#N/A</v>
      </c>
      <c r="U44" s="101" t="e">
        <f t="shared" si="15"/>
        <v>#N/A</v>
      </c>
      <c r="V44" s="76"/>
      <c r="W44" s="77"/>
      <c r="X44" s="78"/>
      <c r="Y44" s="78"/>
      <c r="Z44" s="79"/>
      <c r="AA44" s="76"/>
      <c r="AQ44" s="52"/>
      <c r="AR44" s="52"/>
      <c r="AY44" s="66">
        <f t="shared" si="19"/>
        <v>70.8</v>
      </c>
      <c r="AZ44" s="66">
        <f t="shared" si="20"/>
        <v>900</v>
      </c>
      <c r="BA44" s="66">
        <f t="shared" si="21"/>
        <v>1000</v>
      </c>
      <c r="BB44" s="22">
        <f t="shared" si="22"/>
        <v>5.0000000000000001E-3</v>
      </c>
    </row>
    <row r="45" spans="2:54" x14ac:dyDescent="0.45">
      <c r="B45" s="45" t="s">
        <v>70</v>
      </c>
      <c r="C45" s="90"/>
      <c r="D45" s="56"/>
      <c r="E45" s="57"/>
      <c r="F45" s="68" t="e">
        <f>VLOOKUP($C45,'Daily_BU설비데이터 '!$C$20:$T$1000,4,0)</f>
        <v>#N/A</v>
      </c>
      <c r="G45" s="68" t="e">
        <f>VLOOKUP($C45,'Daily_BU설비데이터 '!$C$20:$T$1000,5,0)</f>
        <v>#N/A</v>
      </c>
      <c r="H45" s="68" t="e">
        <f>VLOOKUP($C45,'Daily_BU설비데이터 '!$C$20:$T$1000,6,0)</f>
        <v>#N/A</v>
      </c>
      <c r="I45" s="68" t="e">
        <f>VLOOKUP($C45,'Daily_BU설비데이터 '!$C$20:$T$1000,7,0)</f>
        <v>#N/A</v>
      </c>
      <c r="J45" s="68" t="e">
        <f>VLOOKUP($C45,'Daily_BU설비데이터 '!$C$20:$T$1000,8,0)</f>
        <v>#N/A</v>
      </c>
      <c r="K45" s="68" t="e">
        <f>VLOOKUP($C45,'Daily_BU설비데이터 '!$C$20:$T$1000,9,0)</f>
        <v>#N/A</v>
      </c>
      <c r="L45" s="59" t="e">
        <f t="shared" si="16"/>
        <v>#N/A</v>
      </c>
      <c r="M45" s="68" t="e">
        <f>VLOOKUP($C45,'Daily_BU설비데이터 '!$C$20:$T$1000,11,0)</f>
        <v>#N/A</v>
      </c>
      <c r="N45" s="68" t="e">
        <f>VLOOKUP($C45,'Daily_BU설비데이터 '!$C$20:$T$1000,12,0)</f>
        <v>#N/A</v>
      </c>
      <c r="O45" s="68" t="e">
        <f>VLOOKUP($C45,'Daily_BU설비데이터 '!$C$20:$T$1000,13,0)</f>
        <v>#N/A</v>
      </c>
      <c r="P45" s="68" t="e">
        <f>VLOOKUP($C45,'Daily_BU설비데이터 '!$C$20:$T$1000,14,0)</f>
        <v>#N/A</v>
      </c>
      <c r="Q45" s="99" t="e">
        <f t="shared" si="17"/>
        <v>#N/A</v>
      </c>
      <c r="R45" s="100" t="e">
        <f t="shared" si="18"/>
        <v>#N/A</v>
      </c>
      <c r="S45" s="83" t="e">
        <f>VLOOKUP($C45,'Daily_BU설비데이터 '!$C$20:$T$1000,17,0)</f>
        <v>#N/A</v>
      </c>
      <c r="T45" s="83" t="e">
        <f>VLOOKUP($C45,'Daily_BU설비데이터 '!$C$20:$T$1000,18,0)</f>
        <v>#N/A</v>
      </c>
      <c r="U45" s="101" t="e">
        <f t="shared" si="15"/>
        <v>#N/A</v>
      </c>
      <c r="V45" s="76"/>
      <c r="W45" s="77"/>
      <c r="X45" s="78"/>
      <c r="Y45" s="78"/>
      <c r="Z45" s="79"/>
      <c r="AA45" s="76"/>
      <c r="AQ45" s="52"/>
      <c r="AR45" s="52"/>
      <c r="AY45" s="66">
        <f t="shared" si="19"/>
        <v>70.8</v>
      </c>
      <c r="AZ45" s="66">
        <f t="shared" si="20"/>
        <v>900</v>
      </c>
      <c r="BA45" s="66">
        <f t="shared" si="21"/>
        <v>1000</v>
      </c>
      <c r="BB45" s="22">
        <f t="shared" si="22"/>
        <v>5.0000000000000001E-3</v>
      </c>
    </row>
    <row r="46" spans="2:54" s="74" customFormat="1" x14ac:dyDescent="0.45">
      <c r="B46" s="45" t="s">
        <v>71</v>
      </c>
      <c r="C46" s="90"/>
      <c r="D46" s="56"/>
      <c r="E46" s="57"/>
      <c r="F46" s="68" t="e">
        <f>VLOOKUP($C46,'Daily_BU설비데이터 '!$C$20:$T$1000,4,0)</f>
        <v>#N/A</v>
      </c>
      <c r="G46" s="68" t="e">
        <f>VLOOKUP($C46,'Daily_BU설비데이터 '!$C$20:$T$1000,5,0)</f>
        <v>#N/A</v>
      </c>
      <c r="H46" s="68" t="e">
        <f>VLOOKUP($C46,'Daily_BU설비데이터 '!$C$20:$T$1000,6,0)</f>
        <v>#N/A</v>
      </c>
      <c r="I46" s="68" t="e">
        <f>VLOOKUP($C46,'Daily_BU설비데이터 '!$C$20:$T$1000,7,0)</f>
        <v>#N/A</v>
      </c>
      <c r="J46" s="68" t="e">
        <f>VLOOKUP($C46,'Daily_BU설비데이터 '!$C$20:$T$1000,8,0)</f>
        <v>#N/A</v>
      </c>
      <c r="K46" s="68" t="e">
        <f>VLOOKUP($C46,'Daily_BU설비데이터 '!$C$20:$T$1000,9,0)</f>
        <v>#N/A</v>
      </c>
      <c r="L46" s="59" t="e">
        <f t="shared" si="16"/>
        <v>#N/A</v>
      </c>
      <c r="M46" s="68" t="e">
        <f>VLOOKUP($C46,'Daily_BU설비데이터 '!$C$20:$T$1000,11,0)</f>
        <v>#N/A</v>
      </c>
      <c r="N46" s="68" t="e">
        <f>VLOOKUP($C46,'Daily_BU설비데이터 '!$C$20:$T$1000,12,0)</f>
        <v>#N/A</v>
      </c>
      <c r="O46" s="68" t="e">
        <f>VLOOKUP($C46,'Daily_BU설비데이터 '!$C$20:$T$1000,13,0)</f>
        <v>#N/A</v>
      </c>
      <c r="P46" s="68" t="e">
        <f>VLOOKUP($C46,'Daily_BU설비데이터 '!$C$20:$T$1000,14,0)</f>
        <v>#N/A</v>
      </c>
      <c r="Q46" s="99" t="e">
        <f t="shared" si="17"/>
        <v>#N/A</v>
      </c>
      <c r="R46" s="100" t="e">
        <f t="shared" si="18"/>
        <v>#N/A</v>
      </c>
      <c r="S46" s="83" t="e">
        <f>VLOOKUP($C46,'Daily_BU설비데이터 '!$C$20:$T$1000,17,0)</f>
        <v>#N/A</v>
      </c>
      <c r="T46" s="83" t="e">
        <f>VLOOKUP($C46,'Daily_BU설비데이터 '!$C$20:$T$1000,18,0)</f>
        <v>#N/A</v>
      </c>
      <c r="U46" s="101" t="e">
        <f t="shared" si="15"/>
        <v>#N/A</v>
      </c>
      <c r="V46" s="70"/>
      <c r="W46" s="71"/>
      <c r="X46" s="72"/>
      <c r="Y46" s="72"/>
      <c r="Z46" s="73"/>
      <c r="AA46" s="70"/>
      <c r="AQ46" s="52"/>
      <c r="AR46" s="52"/>
      <c r="AV46" s="52"/>
      <c r="AW46" s="52"/>
      <c r="AY46" s="66">
        <f t="shared" si="19"/>
        <v>70.8</v>
      </c>
      <c r="AZ46" s="66">
        <f t="shared" si="20"/>
        <v>900</v>
      </c>
      <c r="BA46" s="66">
        <f t="shared" si="21"/>
        <v>1000</v>
      </c>
      <c r="BB46" s="22">
        <f t="shared" si="22"/>
        <v>5.0000000000000001E-3</v>
      </c>
    </row>
    <row r="47" spans="2:54" s="74" customFormat="1" x14ac:dyDescent="0.45">
      <c r="B47" s="45" t="s">
        <v>72</v>
      </c>
      <c r="C47" s="90"/>
      <c r="D47" s="56"/>
      <c r="E47" s="80"/>
      <c r="F47" s="68" t="e">
        <f>VLOOKUP($C47,'Daily_BU설비데이터 '!$C$20:$T$1000,4,0)</f>
        <v>#N/A</v>
      </c>
      <c r="G47" s="68" t="e">
        <f>VLOOKUP($C47,'Daily_BU설비데이터 '!$C$20:$T$1000,5,0)</f>
        <v>#N/A</v>
      </c>
      <c r="H47" s="68" t="e">
        <f>VLOOKUP($C47,'Daily_BU설비데이터 '!$C$20:$T$1000,6,0)</f>
        <v>#N/A</v>
      </c>
      <c r="I47" s="68" t="e">
        <f>VLOOKUP($C47,'Daily_BU설비데이터 '!$C$20:$T$1000,7,0)</f>
        <v>#N/A</v>
      </c>
      <c r="J47" s="68" t="e">
        <f>VLOOKUP($C47,'Daily_BU설비데이터 '!$C$20:$T$1000,8,0)</f>
        <v>#N/A</v>
      </c>
      <c r="K47" s="68" t="e">
        <f>VLOOKUP($C47,'Daily_BU설비데이터 '!$C$20:$T$1000,9,0)</f>
        <v>#N/A</v>
      </c>
      <c r="L47" s="59" t="e">
        <f t="shared" si="16"/>
        <v>#N/A</v>
      </c>
      <c r="M47" s="68" t="e">
        <f>VLOOKUP($C47,'Daily_BU설비데이터 '!$C$20:$T$1000,11,0)</f>
        <v>#N/A</v>
      </c>
      <c r="N47" s="68" t="e">
        <f>VLOOKUP($C47,'Daily_BU설비데이터 '!$C$20:$T$1000,12,0)</f>
        <v>#N/A</v>
      </c>
      <c r="O47" s="68" t="e">
        <f>VLOOKUP($C47,'Daily_BU설비데이터 '!$C$20:$T$1000,13,0)</f>
        <v>#N/A</v>
      </c>
      <c r="P47" s="68" t="e">
        <f>VLOOKUP($C47,'Daily_BU설비데이터 '!$C$20:$T$1000,14,0)</f>
        <v>#N/A</v>
      </c>
      <c r="Q47" s="99" t="e">
        <f t="shared" si="17"/>
        <v>#N/A</v>
      </c>
      <c r="R47" s="100" t="e">
        <f t="shared" si="18"/>
        <v>#N/A</v>
      </c>
      <c r="S47" s="83" t="e">
        <f>VLOOKUP($C47,'Daily_BU설비데이터 '!$C$20:$T$1000,17,0)</f>
        <v>#N/A</v>
      </c>
      <c r="T47" s="83" t="e">
        <f>VLOOKUP($C47,'Daily_BU설비데이터 '!$C$20:$T$1000,18,0)</f>
        <v>#N/A</v>
      </c>
      <c r="U47" s="101" t="e">
        <f t="shared" si="15"/>
        <v>#N/A</v>
      </c>
      <c r="V47" s="70"/>
      <c r="W47" s="71"/>
      <c r="X47" s="72"/>
      <c r="Y47" s="72"/>
      <c r="Z47" s="73"/>
      <c r="AA47" s="70"/>
      <c r="AQ47" s="52"/>
      <c r="AR47" s="52"/>
      <c r="AV47" s="52"/>
      <c r="AW47" s="52"/>
      <c r="AY47" s="66">
        <f t="shared" si="19"/>
        <v>70.8</v>
      </c>
      <c r="AZ47" s="66">
        <f t="shared" si="20"/>
        <v>900</v>
      </c>
      <c r="BA47" s="66">
        <f t="shared" si="21"/>
        <v>1000</v>
      </c>
      <c r="BB47" s="22">
        <f t="shared" si="22"/>
        <v>5.0000000000000001E-3</v>
      </c>
    </row>
    <row r="48" spans="2:54" x14ac:dyDescent="0.45">
      <c r="B48" s="45" t="s">
        <v>73</v>
      </c>
      <c r="C48" s="90"/>
      <c r="D48" s="56"/>
      <c r="E48" s="57"/>
      <c r="F48" s="68" t="e">
        <f>VLOOKUP($C48,'Daily_BU설비데이터 '!$C$20:$T$1000,4,0)</f>
        <v>#N/A</v>
      </c>
      <c r="G48" s="68" t="e">
        <f>VLOOKUP($C48,'Daily_BU설비데이터 '!$C$20:$T$1000,5,0)</f>
        <v>#N/A</v>
      </c>
      <c r="H48" s="68" t="e">
        <f>VLOOKUP($C48,'Daily_BU설비데이터 '!$C$20:$T$1000,6,0)</f>
        <v>#N/A</v>
      </c>
      <c r="I48" s="68" t="e">
        <f>VLOOKUP($C48,'Daily_BU설비데이터 '!$C$20:$T$1000,7,0)</f>
        <v>#N/A</v>
      </c>
      <c r="J48" s="68" t="e">
        <f>VLOOKUP($C48,'Daily_BU설비데이터 '!$C$20:$T$1000,8,0)</f>
        <v>#N/A</v>
      </c>
      <c r="K48" s="68" t="e">
        <f>VLOOKUP($C48,'Daily_BU설비데이터 '!$C$20:$T$1000,9,0)</f>
        <v>#N/A</v>
      </c>
      <c r="L48" s="59" t="e">
        <f t="shared" si="16"/>
        <v>#N/A</v>
      </c>
      <c r="M48" s="103" t="e">
        <f>VLOOKUP($C48,'Daily_BU설비데이터 '!$C$20:$T$1000,11,0)</f>
        <v>#N/A</v>
      </c>
      <c r="N48" s="103" t="e">
        <f>VLOOKUP($C48,'Daily_BU설비데이터 '!$C$20:$T$1000,12,0)</f>
        <v>#N/A</v>
      </c>
      <c r="O48" s="103" t="e">
        <f>VLOOKUP($C48,'Daily_BU설비데이터 '!$C$20:$T$1000,13,0)</f>
        <v>#N/A</v>
      </c>
      <c r="P48" s="68" t="e">
        <f>VLOOKUP($C48,'Daily_BU설비데이터 '!$C$20:$T$1000,14,0)</f>
        <v>#N/A</v>
      </c>
      <c r="Q48" s="99" t="e">
        <f t="shared" si="17"/>
        <v>#N/A</v>
      </c>
      <c r="R48" s="100" t="e">
        <f t="shared" si="18"/>
        <v>#N/A</v>
      </c>
      <c r="S48" s="83" t="e">
        <f>VLOOKUP($C48,'Daily_BU설비데이터 '!$C$20:$T$1000,17,0)</f>
        <v>#N/A</v>
      </c>
      <c r="T48" s="83" t="e">
        <f>VLOOKUP($C48,'Daily_BU설비데이터 '!$C$20:$T$1000,18,0)</f>
        <v>#N/A</v>
      </c>
      <c r="U48" s="101" t="e">
        <f t="shared" si="15"/>
        <v>#N/A</v>
      </c>
      <c r="V48" s="76"/>
      <c r="W48" s="77"/>
      <c r="X48" s="78"/>
      <c r="Y48" s="78"/>
      <c r="Z48" s="79"/>
      <c r="AA48" s="76"/>
      <c r="AH48" s="96">
        <f>H11</f>
        <v>0.26200000000000001</v>
      </c>
      <c r="AI48" s="96">
        <f>I11</f>
        <v>0.61699999999999999</v>
      </c>
      <c r="AQ48" s="96">
        <f>J11</f>
        <v>0.12</v>
      </c>
      <c r="AR48" s="96">
        <f>K11</f>
        <v>0.03</v>
      </c>
      <c r="AY48" s="66">
        <f t="shared" si="19"/>
        <v>70.8</v>
      </c>
      <c r="AZ48" s="66">
        <f t="shared" si="20"/>
        <v>900</v>
      </c>
      <c r="BA48" s="66">
        <f t="shared" si="21"/>
        <v>1000</v>
      </c>
      <c r="BB48" s="22">
        <f t="shared" si="22"/>
        <v>5.0000000000000001E-3</v>
      </c>
    </row>
    <row r="49" spans="2:54" x14ac:dyDescent="0.45">
      <c r="B49" s="45" t="s">
        <v>74</v>
      </c>
      <c r="C49" s="90"/>
      <c r="D49" s="56"/>
      <c r="E49" s="57"/>
      <c r="F49" s="68" t="e">
        <f>VLOOKUP($C49,'Daily_BU설비데이터 '!$C$20:$T$1000,4,0)</f>
        <v>#N/A</v>
      </c>
      <c r="G49" s="68" t="e">
        <f>VLOOKUP($C49,'Daily_BU설비데이터 '!$C$20:$T$1000,5,0)</f>
        <v>#N/A</v>
      </c>
      <c r="H49" s="68" t="e">
        <f>VLOOKUP($C49,'Daily_BU설비데이터 '!$C$20:$T$1000,6,0)</f>
        <v>#N/A</v>
      </c>
      <c r="I49" s="68" t="e">
        <f>VLOOKUP($C49,'Daily_BU설비데이터 '!$C$20:$T$1000,7,0)</f>
        <v>#N/A</v>
      </c>
      <c r="J49" s="68" t="e">
        <f>VLOOKUP($C49,'Daily_BU설비데이터 '!$C$20:$T$1000,8,0)</f>
        <v>#N/A</v>
      </c>
      <c r="K49" s="68" t="e">
        <f>VLOOKUP($C49,'Daily_BU설비데이터 '!$C$20:$T$1000,9,0)</f>
        <v>#N/A</v>
      </c>
      <c r="L49" s="59" t="e">
        <f t="shared" si="16"/>
        <v>#N/A</v>
      </c>
      <c r="M49" s="68" t="e">
        <f>VLOOKUP($C49,'Daily_BU설비데이터 '!$C$20:$T$1000,11,0)</f>
        <v>#N/A</v>
      </c>
      <c r="N49" s="68" t="e">
        <f>VLOOKUP($C49,'Daily_BU설비데이터 '!$C$20:$T$1000,12,0)</f>
        <v>#N/A</v>
      </c>
      <c r="O49" s="68" t="e">
        <f>VLOOKUP($C49,'Daily_BU설비데이터 '!$C$20:$T$1000,13,0)</f>
        <v>#N/A</v>
      </c>
      <c r="P49" s="68" t="e">
        <f>VLOOKUP($C49,'Daily_BU설비데이터 '!$C$20:$T$1000,14,0)</f>
        <v>#N/A</v>
      </c>
      <c r="Q49" s="99" t="e">
        <f t="shared" si="17"/>
        <v>#N/A</v>
      </c>
      <c r="R49" s="100" t="e">
        <f t="shared" si="18"/>
        <v>#N/A</v>
      </c>
      <c r="S49" s="83" t="e">
        <f>VLOOKUP($C49,'Daily_BU설비데이터 '!$C$20:$T$1000,17,0)</f>
        <v>#N/A</v>
      </c>
      <c r="T49" s="83" t="e">
        <f>VLOOKUP($C49,'Daily_BU설비데이터 '!$C$20:$T$1000,18,0)</f>
        <v>#N/A</v>
      </c>
      <c r="U49" s="101" t="e">
        <f t="shared" si="15"/>
        <v>#N/A</v>
      </c>
      <c r="V49" s="45"/>
      <c r="W49" s="63"/>
      <c r="X49" s="64"/>
      <c r="Y49" s="64"/>
      <c r="Z49" s="65"/>
      <c r="AA49" s="45"/>
      <c r="AH49" s="81">
        <f>H11</f>
        <v>0.26200000000000001</v>
      </c>
      <c r="AI49" s="81">
        <f>I13</f>
        <v>0.67700000000000005</v>
      </c>
      <c r="AQ49" s="82">
        <f>J11</f>
        <v>0.12</v>
      </c>
      <c r="AR49" s="82">
        <f>K13</f>
        <v>0.09</v>
      </c>
      <c r="AY49" s="66">
        <f t="shared" si="19"/>
        <v>70.8</v>
      </c>
      <c r="AZ49" s="66">
        <f t="shared" si="20"/>
        <v>900</v>
      </c>
      <c r="BA49" s="66">
        <f t="shared" si="21"/>
        <v>1000</v>
      </c>
      <c r="BB49" s="22">
        <f t="shared" si="22"/>
        <v>5.0000000000000001E-3</v>
      </c>
    </row>
    <row r="50" spans="2:54" x14ac:dyDescent="0.45">
      <c r="B50" s="45" t="s">
        <v>75</v>
      </c>
      <c r="C50" s="90"/>
      <c r="D50" s="56"/>
      <c r="E50" s="80"/>
      <c r="F50" s="68" t="e">
        <f>VLOOKUP($C50,'Daily_BU설비데이터 '!$C$20:$T$1000,4,0)</f>
        <v>#N/A</v>
      </c>
      <c r="G50" s="68" t="e">
        <f>VLOOKUP($C50,'Daily_BU설비데이터 '!$C$20:$T$1000,5,0)</f>
        <v>#N/A</v>
      </c>
      <c r="H50" s="68" t="e">
        <f>VLOOKUP($C50,'Daily_BU설비데이터 '!$C$20:$T$1000,6,0)</f>
        <v>#N/A</v>
      </c>
      <c r="I50" s="68" t="e">
        <f>VLOOKUP($C50,'Daily_BU설비데이터 '!$C$20:$T$1000,7,0)</f>
        <v>#N/A</v>
      </c>
      <c r="J50" s="68" t="e">
        <f>VLOOKUP($C50,'Daily_BU설비데이터 '!$C$20:$T$1000,8,0)</f>
        <v>#N/A</v>
      </c>
      <c r="K50" s="68" t="e">
        <f>VLOOKUP($C50,'Daily_BU설비데이터 '!$C$20:$T$1000,9,0)</f>
        <v>#N/A</v>
      </c>
      <c r="L50" s="59" t="e">
        <f t="shared" si="16"/>
        <v>#N/A</v>
      </c>
      <c r="M50" s="93" t="e">
        <f>VLOOKUP($C50,'Daily_BU설비데이터 '!$C$20:$T$1000,11,0)</f>
        <v>#N/A</v>
      </c>
      <c r="N50" s="93" t="e">
        <f>VLOOKUP($C50,'Daily_BU설비데이터 '!$C$20:$T$1000,12,0)</f>
        <v>#N/A</v>
      </c>
      <c r="O50" s="93" t="e">
        <f>VLOOKUP($C50,'Daily_BU설비데이터 '!$C$20:$T$1000,13,0)</f>
        <v>#N/A</v>
      </c>
      <c r="P50" s="93" t="e">
        <f>VLOOKUP($C50,'Daily_BU설비데이터 '!$C$20:$T$1000,14,0)</f>
        <v>#N/A</v>
      </c>
      <c r="Q50" s="99" t="e">
        <f t="shared" si="17"/>
        <v>#N/A</v>
      </c>
      <c r="R50" s="100" t="e">
        <f t="shared" si="18"/>
        <v>#N/A</v>
      </c>
      <c r="S50" s="83" t="e">
        <f>VLOOKUP($C50,'Daily_BU설비데이터 '!$C$20:$T$1000,17,0)</f>
        <v>#N/A</v>
      </c>
      <c r="T50" s="83" t="e">
        <f>VLOOKUP($C50,'Daily_BU설비데이터 '!$C$20:$T$1000,18,0)</f>
        <v>#N/A</v>
      </c>
      <c r="U50" s="101" t="e">
        <f t="shared" si="15"/>
        <v>#N/A</v>
      </c>
      <c r="V50" s="45"/>
      <c r="W50" s="63"/>
      <c r="X50" s="64"/>
      <c r="Y50" s="64"/>
      <c r="Z50" s="65"/>
      <c r="AA50" s="45"/>
      <c r="AH50" s="81">
        <f>H13</f>
        <v>0.32199999999999995</v>
      </c>
      <c r="AI50" s="81">
        <f>I13</f>
        <v>0.67700000000000005</v>
      </c>
      <c r="AQ50" s="82">
        <f>J13</f>
        <v>0.18</v>
      </c>
      <c r="AR50" s="82">
        <f>K13</f>
        <v>0.09</v>
      </c>
      <c r="AY50" s="66">
        <f t="shared" si="19"/>
        <v>70.8</v>
      </c>
      <c r="AZ50" s="66">
        <f t="shared" si="20"/>
        <v>900</v>
      </c>
      <c r="BA50" s="66">
        <f t="shared" si="21"/>
        <v>1000</v>
      </c>
      <c r="BB50" s="22">
        <f t="shared" si="22"/>
        <v>5.0000000000000001E-3</v>
      </c>
    </row>
    <row r="51" spans="2:54" x14ac:dyDescent="0.45">
      <c r="B51" s="45" t="s">
        <v>76</v>
      </c>
      <c r="C51" s="90"/>
      <c r="D51" s="56"/>
      <c r="E51" s="57"/>
      <c r="F51" s="68" t="e">
        <f>VLOOKUP($C51,'Daily_BU설비데이터 '!$C$20:$T$1000,4,0)</f>
        <v>#N/A</v>
      </c>
      <c r="G51" s="68" t="e">
        <f>VLOOKUP($C51,'Daily_BU설비데이터 '!$C$20:$T$1000,5,0)</f>
        <v>#N/A</v>
      </c>
      <c r="H51" s="68" t="e">
        <f>VLOOKUP($C51,'Daily_BU설비데이터 '!$C$20:$T$1000,6,0)</f>
        <v>#N/A</v>
      </c>
      <c r="I51" s="68" t="e">
        <f>VLOOKUP($C51,'Daily_BU설비데이터 '!$C$20:$T$1000,7,0)</f>
        <v>#N/A</v>
      </c>
      <c r="J51" s="68" t="e">
        <f>VLOOKUP($C51,'Daily_BU설비데이터 '!$C$20:$T$1000,8,0)</f>
        <v>#N/A</v>
      </c>
      <c r="K51" s="68" t="e">
        <f>VLOOKUP($C51,'Daily_BU설비데이터 '!$C$20:$T$1000,9,0)</f>
        <v>#N/A</v>
      </c>
      <c r="L51" s="59" t="e">
        <f t="shared" si="16"/>
        <v>#N/A</v>
      </c>
      <c r="M51" s="93" t="e">
        <f>VLOOKUP($C51,'Daily_BU설비데이터 '!$C$20:$T$1000,11,0)</f>
        <v>#N/A</v>
      </c>
      <c r="N51" s="93" t="e">
        <f>VLOOKUP($C51,'Daily_BU설비데이터 '!$C$20:$T$1000,12,0)</f>
        <v>#N/A</v>
      </c>
      <c r="O51" s="93" t="e">
        <f>VLOOKUP($C51,'Daily_BU설비데이터 '!$C$20:$T$1000,13,0)</f>
        <v>#N/A</v>
      </c>
      <c r="P51" s="93" t="e">
        <f>VLOOKUP($C51,'Daily_BU설비데이터 '!$C$20:$T$1000,14,0)</f>
        <v>#N/A</v>
      </c>
      <c r="Q51" s="99" t="e">
        <f t="shared" si="17"/>
        <v>#N/A</v>
      </c>
      <c r="R51" s="100" t="e">
        <f t="shared" si="18"/>
        <v>#N/A</v>
      </c>
      <c r="S51" s="83" t="e">
        <f>VLOOKUP($C51,'Daily_BU설비데이터 '!$C$20:$T$1000,17,0)</f>
        <v>#N/A</v>
      </c>
      <c r="T51" s="83" t="e">
        <f>VLOOKUP($C51,'Daily_BU설비데이터 '!$C$20:$T$1000,18,0)</f>
        <v>#N/A</v>
      </c>
      <c r="U51" s="101" t="e">
        <f t="shared" si="15"/>
        <v>#N/A</v>
      </c>
      <c r="V51" s="45"/>
      <c r="W51" s="63"/>
      <c r="X51" s="64"/>
      <c r="Y51" s="64"/>
      <c r="Z51" s="65"/>
      <c r="AA51" s="45"/>
      <c r="AH51" s="81">
        <f>H13</f>
        <v>0.32199999999999995</v>
      </c>
      <c r="AI51" s="81">
        <f>I11</f>
        <v>0.61699999999999999</v>
      </c>
      <c r="AQ51" s="82">
        <f>J13</f>
        <v>0.18</v>
      </c>
      <c r="AR51" s="82">
        <f>K11</f>
        <v>0.03</v>
      </c>
      <c r="AY51" s="66">
        <f t="shared" si="19"/>
        <v>70.8</v>
      </c>
      <c r="AZ51" s="66">
        <f t="shared" si="20"/>
        <v>900</v>
      </c>
      <c r="BA51" s="66">
        <f t="shared" si="21"/>
        <v>1000</v>
      </c>
      <c r="BB51" s="22">
        <f t="shared" si="22"/>
        <v>5.0000000000000001E-3</v>
      </c>
    </row>
    <row r="52" spans="2:54" x14ac:dyDescent="0.45">
      <c r="B52" s="45" t="s">
        <v>77</v>
      </c>
      <c r="C52" s="90"/>
      <c r="D52" s="56"/>
      <c r="E52" s="57"/>
      <c r="F52" s="68" t="e">
        <f>VLOOKUP($C52,'Daily_BU설비데이터 '!$C$20:$T$1000,4,0)</f>
        <v>#N/A</v>
      </c>
      <c r="G52" s="68" t="e">
        <f>VLOOKUP($C52,'Daily_BU설비데이터 '!$C$20:$T$1000,5,0)</f>
        <v>#N/A</v>
      </c>
      <c r="H52" s="68" t="e">
        <f>VLOOKUP($C52,'Daily_BU설비데이터 '!$C$20:$T$1000,6,0)</f>
        <v>#N/A</v>
      </c>
      <c r="I52" s="68" t="e">
        <f>VLOOKUP($C52,'Daily_BU설비데이터 '!$C$20:$T$1000,7,0)</f>
        <v>#N/A</v>
      </c>
      <c r="J52" s="68" t="e">
        <f>VLOOKUP($C52,'Daily_BU설비데이터 '!$C$20:$T$1000,8,0)</f>
        <v>#N/A</v>
      </c>
      <c r="K52" s="68" t="e">
        <f>VLOOKUP($C52,'Daily_BU설비데이터 '!$C$20:$T$1000,9,0)</f>
        <v>#N/A</v>
      </c>
      <c r="L52" s="59" t="e">
        <f t="shared" si="16"/>
        <v>#N/A</v>
      </c>
      <c r="M52" s="93" t="e">
        <f>VLOOKUP($C52,'Daily_BU설비데이터 '!$C$20:$T$1000,11,0)</f>
        <v>#N/A</v>
      </c>
      <c r="N52" s="93" t="e">
        <f>VLOOKUP($C52,'Daily_BU설비데이터 '!$C$20:$T$1000,12,0)</f>
        <v>#N/A</v>
      </c>
      <c r="O52" s="93" t="e">
        <f>VLOOKUP($C52,'Daily_BU설비데이터 '!$C$20:$T$1000,13,0)</f>
        <v>#N/A</v>
      </c>
      <c r="P52" s="93" t="e">
        <f>VLOOKUP($C52,'Daily_BU설비데이터 '!$C$20:$T$1000,14,0)</f>
        <v>#N/A</v>
      </c>
      <c r="Q52" s="99" t="e">
        <f t="shared" si="17"/>
        <v>#N/A</v>
      </c>
      <c r="R52" s="100" t="e">
        <f t="shared" si="18"/>
        <v>#N/A</v>
      </c>
      <c r="S52" s="83" t="e">
        <f>VLOOKUP($C52,'Daily_BU설비데이터 '!$C$20:$T$1000,17,0)</f>
        <v>#N/A</v>
      </c>
      <c r="T52" s="83" t="e">
        <f>VLOOKUP($C52,'Daily_BU설비데이터 '!$C$20:$T$1000,18,0)</f>
        <v>#N/A</v>
      </c>
      <c r="U52" s="101" t="e">
        <f t="shared" si="15"/>
        <v>#N/A</v>
      </c>
      <c r="V52" s="45"/>
      <c r="W52" s="63"/>
      <c r="X52" s="64"/>
      <c r="Y52" s="64"/>
      <c r="Z52" s="65"/>
      <c r="AA52" s="45"/>
      <c r="AH52" s="81">
        <f>H11</f>
        <v>0.26200000000000001</v>
      </c>
      <c r="AI52" s="81">
        <f>I11</f>
        <v>0.61699999999999999</v>
      </c>
      <c r="AQ52" s="82">
        <f>J11</f>
        <v>0.12</v>
      </c>
      <c r="AR52" s="82">
        <f>K11</f>
        <v>0.03</v>
      </c>
      <c r="AY52" s="66">
        <f t="shared" si="19"/>
        <v>70.8</v>
      </c>
      <c r="AZ52" s="66">
        <f t="shared" si="20"/>
        <v>900</v>
      </c>
      <c r="BA52" s="66">
        <f t="shared" si="21"/>
        <v>1000</v>
      </c>
      <c r="BB52" s="22">
        <f t="shared" si="22"/>
        <v>5.0000000000000001E-3</v>
      </c>
    </row>
    <row r="53" spans="2:54" s="74" customFormat="1" x14ac:dyDescent="0.45">
      <c r="B53" s="45" t="s">
        <v>78</v>
      </c>
      <c r="C53" s="90"/>
      <c r="D53" s="56"/>
      <c r="E53" s="80"/>
      <c r="F53" s="68" t="e">
        <f>VLOOKUP($C53,'Daily_BU설비데이터 '!$C$20:$T$1000,4,0)</f>
        <v>#N/A</v>
      </c>
      <c r="G53" s="68" t="e">
        <f>VLOOKUP($C53,'Daily_BU설비데이터 '!$C$20:$T$1000,5,0)</f>
        <v>#N/A</v>
      </c>
      <c r="H53" s="68" t="e">
        <f>VLOOKUP($C53,'Daily_BU설비데이터 '!$C$20:$T$1000,6,0)</f>
        <v>#N/A</v>
      </c>
      <c r="I53" s="68" t="e">
        <f>VLOOKUP($C53,'Daily_BU설비데이터 '!$C$20:$T$1000,7,0)</f>
        <v>#N/A</v>
      </c>
      <c r="J53" s="68" t="e">
        <f>VLOOKUP($C53,'Daily_BU설비데이터 '!$C$20:$T$1000,8,0)</f>
        <v>#N/A</v>
      </c>
      <c r="K53" s="68" t="e">
        <f>VLOOKUP($C53,'Daily_BU설비데이터 '!$C$20:$T$1000,9,0)</f>
        <v>#N/A</v>
      </c>
      <c r="L53" s="59" t="e">
        <f t="shared" si="16"/>
        <v>#N/A</v>
      </c>
      <c r="M53" s="93" t="e">
        <f>VLOOKUP($C53,'Daily_BU설비데이터 '!$C$20:$T$1000,11,0)</f>
        <v>#N/A</v>
      </c>
      <c r="N53" s="93" t="e">
        <f>VLOOKUP($C53,'Daily_BU설비데이터 '!$C$20:$T$1000,12,0)</f>
        <v>#N/A</v>
      </c>
      <c r="O53" s="93" t="e">
        <f>VLOOKUP($C53,'Daily_BU설비데이터 '!$C$20:$T$1000,13,0)</f>
        <v>#N/A</v>
      </c>
      <c r="P53" s="93" t="e">
        <f>VLOOKUP($C53,'Daily_BU설비데이터 '!$C$20:$T$1000,14,0)</f>
        <v>#N/A</v>
      </c>
      <c r="Q53" s="99" t="e">
        <f t="shared" si="17"/>
        <v>#N/A</v>
      </c>
      <c r="R53" s="100" t="e">
        <f t="shared" si="18"/>
        <v>#N/A</v>
      </c>
      <c r="S53" s="83" t="e">
        <f>VLOOKUP($C53,'Daily_BU설비데이터 '!$C$20:$T$1000,17,0)</f>
        <v>#N/A</v>
      </c>
      <c r="T53" s="83" t="e">
        <f>VLOOKUP($C53,'Daily_BU설비데이터 '!$C$20:$T$1000,18,0)</f>
        <v>#N/A</v>
      </c>
      <c r="U53" s="101" t="e">
        <f t="shared" si="15"/>
        <v>#N/A</v>
      </c>
      <c r="V53" s="70"/>
      <c r="W53" s="71"/>
      <c r="X53" s="72"/>
      <c r="Y53" s="72"/>
      <c r="Z53" s="73"/>
      <c r="AA53" s="70"/>
      <c r="AI53" s="74" t="s">
        <v>79</v>
      </c>
      <c r="AQ53" s="52"/>
      <c r="AR53" s="52" t="s">
        <v>79</v>
      </c>
      <c r="AV53" s="52"/>
      <c r="AW53" s="52"/>
      <c r="AY53" s="66">
        <f t="shared" si="19"/>
        <v>70.8</v>
      </c>
      <c r="AZ53" s="66">
        <f t="shared" si="20"/>
        <v>900</v>
      </c>
      <c r="BA53" s="66">
        <f t="shared" si="21"/>
        <v>1000</v>
      </c>
      <c r="BB53" s="22">
        <f t="shared" si="22"/>
        <v>5.0000000000000001E-3</v>
      </c>
    </row>
    <row r="54" spans="2:54" s="74" customFormat="1" x14ac:dyDescent="0.45">
      <c r="B54" s="45" t="s">
        <v>80</v>
      </c>
      <c r="C54" s="90"/>
      <c r="D54" s="90"/>
      <c r="E54" s="92"/>
      <c r="F54" s="93" t="e">
        <f>VLOOKUP($C54,'Daily_BU설비데이터 '!$C$20:$T$1000,4,0)</f>
        <v>#N/A</v>
      </c>
      <c r="G54" s="93" t="e">
        <f>VLOOKUP($C54,'Daily_BU설비데이터 '!$C$20:$T$1000,5,0)</f>
        <v>#N/A</v>
      </c>
      <c r="H54" s="93" t="e">
        <f>VLOOKUP($C54,'Daily_BU설비데이터 '!$C$20:$T$1000,6,0)</f>
        <v>#N/A</v>
      </c>
      <c r="I54" s="93" t="e">
        <f>VLOOKUP($C54,'Daily_BU설비데이터 '!$C$20:$T$1000,7,0)</f>
        <v>#N/A</v>
      </c>
      <c r="J54" s="93" t="e">
        <f>VLOOKUP($C54,'Daily_BU설비데이터 '!$C$20:$T$1000,8,0)</f>
        <v>#N/A</v>
      </c>
      <c r="K54" s="93" t="e">
        <f>VLOOKUP($C54,'Daily_BU설비데이터 '!$C$20:$T$1000,9,0)</f>
        <v>#N/A</v>
      </c>
      <c r="L54" s="59" t="e">
        <f t="shared" si="16"/>
        <v>#N/A</v>
      </c>
      <c r="M54" s="93" t="e">
        <f>VLOOKUP($C54,'Daily_BU설비데이터 '!$C$20:$T$1000,11,0)</f>
        <v>#N/A</v>
      </c>
      <c r="N54" s="93" t="e">
        <f>VLOOKUP($C54,'Daily_BU설비데이터 '!$C$20:$T$1000,12,0)</f>
        <v>#N/A</v>
      </c>
      <c r="O54" s="93" t="e">
        <f>VLOOKUP($C54,'Daily_BU설비데이터 '!$C$20:$T$1000,13,0)</f>
        <v>#N/A</v>
      </c>
      <c r="P54" s="93" t="e">
        <f>VLOOKUP($C54,'Daily_BU설비데이터 '!$C$20:$T$1000,14,0)</f>
        <v>#N/A</v>
      </c>
      <c r="Q54" s="99" t="e">
        <f t="shared" si="17"/>
        <v>#N/A</v>
      </c>
      <c r="R54" s="100" t="e">
        <f t="shared" si="18"/>
        <v>#N/A</v>
      </c>
      <c r="S54" s="83" t="e">
        <f>VLOOKUP($C54,'Daily_BU설비데이터 '!$C$20:$T$1000,17,0)</f>
        <v>#N/A</v>
      </c>
      <c r="T54" s="83" t="e">
        <f>VLOOKUP($C54,'Daily_BU설비데이터 '!$C$20:$T$1000,18,0)</f>
        <v>#N/A</v>
      </c>
      <c r="U54" s="101" t="e">
        <f t="shared" si="15"/>
        <v>#N/A</v>
      </c>
      <c r="V54" s="70"/>
      <c r="W54" s="71"/>
      <c r="X54" s="72"/>
      <c r="Y54" s="72"/>
      <c r="Z54" s="73"/>
      <c r="AA54" s="70"/>
      <c r="AQ54" s="52"/>
      <c r="AR54" s="52"/>
      <c r="AV54" s="52"/>
      <c r="AW54" s="52"/>
      <c r="AY54" s="66">
        <f t="shared" si="19"/>
        <v>70.8</v>
      </c>
      <c r="AZ54" s="66">
        <f t="shared" si="20"/>
        <v>900</v>
      </c>
      <c r="BA54" s="66">
        <f t="shared" si="21"/>
        <v>1000</v>
      </c>
      <c r="BB54" s="22">
        <f t="shared" si="22"/>
        <v>5.0000000000000001E-3</v>
      </c>
    </row>
    <row r="55" spans="2:54" s="52" customFormat="1" x14ac:dyDescent="0.45">
      <c r="B55" s="45" t="s">
        <v>81</v>
      </c>
      <c r="C55" s="90"/>
      <c r="D55" s="90"/>
      <c r="E55" s="92"/>
      <c r="F55" s="95" t="e">
        <f>VLOOKUP($C55,'Daily_BU설비데이터 '!$C$20:$T$1000,4,0)</f>
        <v>#N/A</v>
      </c>
      <c r="G55" s="95" t="e">
        <f>VLOOKUP($C55,'Daily_BU설비데이터 '!$C$20:$T$1000,5,0)</f>
        <v>#N/A</v>
      </c>
      <c r="H55" s="95" t="e">
        <f>VLOOKUP($C55,'Daily_BU설비데이터 '!$C$20:$T$1000,6,0)</f>
        <v>#N/A</v>
      </c>
      <c r="I55" s="95" t="e">
        <f>VLOOKUP($C55,'Daily_BU설비데이터 '!$C$20:$T$1000,7,0)</f>
        <v>#N/A</v>
      </c>
      <c r="J55" s="95" t="e">
        <f>VLOOKUP($C55,'Daily_BU설비데이터 '!$C$20:$T$1000,8,0)</f>
        <v>#N/A</v>
      </c>
      <c r="K55" s="95" t="e">
        <f>VLOOKUP($C55,'Daily_BU설비데이터 '!$C$20:$T$1000,9,0)</f>
        <v>#N/A</v>
      </c>
      <c r="L55" s="59" t="e">
        <f t="shared" si="16"/>
        <v>#N/A</v>
      </c>
      <c r="M55" s="95" t="e">
        <f>VLOOKUP($C55,'Daily_BU설비데이터 '!$C$20:$T$1000,11,0)</f>
        <v>#N/A</v>
      </c>
      <c r="N55" s="95" t="e">
        <f>VLOOKUP($C55,'Daily_BU설비데이터 '!$C$20:$T$1000,12,0)</f>
        <v>#N/A</v>
      </c>
      <c r="O55" s="95" t="e">
        <f>VLOOKUP($C55,'Daily_BU설비데이터 '!$C$20:$T$1000,13,0)</f>
        <v>#N/A</v>
      </c>
      <c r="P55" s="95" t="e">
        <f>VLOOKUP($C55,'Daily_BU설비데이터 '!$C$20:$T$1000,14,0)</f>
        <v>#N/A</v>
      </c>
      <c r="Q55" s="99" t="e">
        <f t="shared" si="17"/>
        <v>#N/A</v>
      </c>
      <c r="R55" s="100" t="e">
        <f t="shared" si="18"/>
        <v>#N/A</v>
      </c>
      <c r="S55" s="83" t="e">
        <f>VLOOKUP($C55,'Daily_BU설비데이터 '!$C$20:$T$1000,17,0)</f>
        <v>#N/A</v>
      </c>
      <c r="T55" s="83" t="e">
        <f>VLOOKUP($C55,'Daily_BU설비데이터 '!$C$20:$T$1000,18,0)</f>
        <v>#N/A</v>
      </c>
      <c r="U55" s="101" t="e">
        <f t="shared" si="15"/>
        <v>#N/A</v>
      </c>
      <c r="V55" s="76"/>
      <c r="W55" s="77"/>
      <c r="X55" s="78"/>
      <c r="Y55" s="78"/>
      <c r="Z55" s="79"/>
      <c r="AA55" s="76"/>
      <c r="AY55" s="66">
        <f t="shared" si="19"/>
        <v>70.8</v>
      </c>
      <c r="AZ55" s="66">
        <f t="shared" si="20"/>
        <v>900</v>
      </c>
      <c r="BA55" s="66">
        <f t="shared" si="21"/>
        <v>1000</v>
      </c>
      <c r="BB55" s="22">
        <f t="shared" si="22"/>
        <v>5.0000000000000001E-3</v>
      </c>
    </row>
    <row r="56" spans="2:54" s="74" customFormat="1" x14ac:dyDescent="0.45">
      <c r="B56" s="45" t="s">
        <v>505</v>
      </c>
      <c r="C56" s="90"/>
      <c r="D56" s="90"/>
      <c r="E56" s="92"/>
      <c r="F56" s="93" t="e">
        <f>VLOOKUP($C56,'Daily_BU설비데이터 '!$C$20:$T$1000,4,0)</f>
        <v>#N/A</v>
      </c>
      <c r="G56" s="93" t="e">
        <f>VLOOKUP($C56,'Daily_BU설비데이터 '!$C$20:$T$1000,5,0)</f>
        <v>#N/A</v>
      </c>
      <c r="H56" s="93" t="e">
        <f>VLOOKUP($C56,'Daily_BU설비데이터 '!$C$20:$T$1000,6,0)</f>
        <v>#N/A</v>
      </c>
      <c r="I56" s="93" t="e">
        <f>VLOOKUP($C56,'Daily_BU설비데이터 '!$C$20:$T$1000,7,0)</f>
        <v>#N/A</v>
      </c>
      <c r="J56" s="93" t="e">
        <f>VLOOKUP($C56,'Daily_BU설비데이터 '!$C$20:$T$1000,8,0)</f>
        <v>#N/A</v>
      </c>
      <c r="K56" s="93" t="e">
        <f>VLOOKUP($C56,'Daily_BU설비데이터 '!$C$20:$T$1000,9,0)</f>
        <v>#N/A</v>
      </c>
      <c r="L56" s="59" t="e">
        <f t="shared" si="16"/>
        <v>#N/A</v>
      </c>
      <c r="M56" s="93" t="e">
        <f>VLOOKUP($C56,'Daily_BU설비데이터 '!$C$20:$T$1000,11,0)</f>
        <v>#N/A</v>
      </c>
      <c r="N56" s="93" t="e">
        <f>VLOOKUP($C56,'Daily_BU설비데이터 '!$C$20:$T$1000,12,0)</f>
        <v>#N/A</v>
      </c>
      <c r="O56" s="93" t="e">
        <f>VLOOKUP($C56,'Daily_BU설비데이터 '!$C$20:$T$1000,13,0)</f>
        <v>#N/A</v>
      </c>
      <c r="P56" s="93" t="e">
        <f>VLOOKUP($C56,'Daily_BU설비데이터 '!$C$20:$T$1000,14,0)</f>
        <v>#N/A</v>
      </c>
      <c r="Q56" s="99" t="e">
        <f t="shared" si="17"/>
        <v>#N/A</v>
      </c>
      <c r="R56" s="100" t="e">
        <f t="shared" si="18"/>
        <v>#N/A</v>
      </c>
      <c r="S56" s="83" t="e">
        <f>VLOOKUP($C56,'Daily_BU설비데이터 '!$C$20:$T$1000,17,0)</f>
        <v>#N/A</v>
      </c>
      <c r="T56" s="83" t="e">
        <f>VLOOKUP($C56,'Daily_BU설비데이터 '!$C$20:$T$1000,18,0)</f>
        <v>#N/A</v>
      </c>
      <c r="U56" s="101" t="e">
        <f t="shared" si="15"/>
        <v>#N/A</v>
      </c>
      <c r="V56" s="75"/>
      <c r="W56" s="71"/>
      <c r="X56" s="72"/>
      <c r="Y56" s="72"/>
      <c r="Z56" s="73"/>
      <c r="AA56" s="75"/>
      <c r="AV56" s="52"/>
      <c r="AW56" s="52"/>
      <c r="AY56" s="66">
        <f t="shared" si="19"/>
        <v>70.8</v>
      </c>
      <c r="AZ56" s="66">
        <f t="shared" si="20"/>
        <v>900</v>
      </c>
      <c r="BA56" s="66">
        <f t="shared" si="21"/>
        <v>1000</v>
      </c>
      <c r="BB56" s="22">
        <f t="shared" si="22"/>
        <v>5.0000000000000001E-3</v>
      </c>
    </row>
    <row r="57" spans="2:54" s="74" customFormat="1" x14ac:dyDescent="0.45">
      <c r="B57" s="45" t="s">
        <v>506</v>
      </c>
      <c r="C57" s="90"/>
      <c r="D57" s="90"/>
      <c r="E57" s="92"/>
      <c r="F57" s="93" t="e">
        <f>VLOOKUP($C57,'Daily_BU설비데이터 '!$C$20:$T$1000,4,0)</f>
        <v>#N/A</v>
      </c>
      <c r="G57" s="93" t="e">
        <f>VLOOKUP($C57,'Daily_BU설비데이터 '!$C$20:$T$1000,5,0)</f>
        <v>#N/A</v>
      </c>
      <c r="H57" s="93" t="e">
        <f>VLOOKUP($C57,'Daily_BU설비데이터 '!$C$20:$T$1000,6,0)</f>
        <v>#N/A</v>
      </c>
      <c r="I57" s="93" t="e">
        <f>VLOOKUP($C57,'Daily_BU설비데이터 '!$C$20:$T$1000,7,0)</f>
        <v>#N/A</v>
      </c>
      <c r="J57" s="93" t="e">
        <f>VLOOKUP($C57,'Daily_BU설비데이터 '!$C$20:$T$1000,8,0)</f>
        <v>#N/A</v>
      </c>
      <c r="K57" s="93" t="e">
        <f>VLOOKUP($C57,'Daily_BU설비데이터 '!$C$20:$T$1000,9,0)</f>
        <v>#N/A</v>
      </c>
      <c r="L57" s="59" t="e">
        <f t="shared" si="16"/>
        <v>#N/A</v>
      </c>
      <c r="M57" s="93" t="e">
        <f>VLOOKUP($C57,'Daily_BU설비데이터 '!$C$20:$T$1000,11,0)</f>
        <v>#N/A</v>
      </c>
      <c r="N57" s="93" t="e">
        <f>VLOOKUP($C57,'Daily_BU설비데이터 '!$C$20:$T$1000,12,0)</f>
        <v>#N/A</v>
      </c>
      <c r="O57" s="93" t="e">
        <f>VLOOKUP($C57,'Daily_BU설비데이터 '!$C$20:$T$1000,13,0)</f>
        <v>#N/A</v>
      </c>
      <c r="P57" s="93" t="e">
        <f>VLOOKUP($C57,'Daily_BU설비데이터 '!$C$20:$T$1000,14,0)</f>
        <v>#N/A</v>
      </c>
      <c r="Q57" s="99" t="e">
        <f t="shared" si="17"/>
        <v>#N/A</v>
      </c>
      <c r="R57" s="100" t="e">
        <f t="shared" si="18"/>
        <v>#N/A</v>
      </c>
      <c r="S57" s="83" t="e">
        <f>VLOOKUP($C57,'Daily_BU설비데이터 '!$C$20:$T$1000,17,0)</f>
        <v>#N/A</v>
      </c>
      <c r="T57" s="83" t="e">
        <f>VLOOKUP($C57,'Daily_BU설비데이터 '!$C$20:$T$1000,18,0)</f>
        <v>#N/A</v>
      </c>
      <c r="U57" s="101" t="e">
        <f t="shared" si="15"/>
        <v>#N/A</v>
      </c>
      <c r="V57" s="75"/>
      <c r="W57" s="71"/>
      <c r="X57" s="72"/>
      <c r="Y57" s="72"/>
      <c r="Z57" s="73"/>
      <c r="AA57" s="75"/>
      <c r="AV57" s="52"/>
      <c r="AW57" s="52"/>
      <c r="AY57" s="66">
        <f t="shared" si="19"/>
        <v>70.8</v>
      </c>
      <c r="AZ57" s="66">
        <f t="shared" si="20"/>
        <v>900</v>
      </c>
      <c r="BA57" s="66">
        <f t="shared" si="21"/>
        <v>1000</v>
      </c>
      <c r="BB57" s="22">
        <f t="shared" si="22"/>
        <v>5.0000000000000001E-3</v>
      </c>
    </row>
    <row r="58" spans="2:54" s="52" customFormat="1" ht="15" customHeight="1" x14ac:dyDescent="0.45">
      <c r="B58" s="45" t="s">
        <v>507</v>
      </c>
      <c r="C58" s="90"/>
      <c r="D58" s="90"/>
      <c r="E58" s="92"/>
      <c r="F58" s="93" t="e">
        <f>VLOOKUP($C58,'Daily_BU설비데이터 '!$C$20:$T$1000,4,0)</f>
        <v>#N/A</v>
      </c>
      <c r="G58" s="93" t="e">
        <f>VLOOKUP($C58,'Daily_BU설비데이터 '!$C$20:$T$1000,5,0)</f>
        <v>#N/A</v>
      </c>
      <c r="H58" s="93" t="e">
        <f>VLOOKUP($C58,'Daily_BU설비데이터 '!$C$20:$T$1000,6,0)</f>
        <v>#N/A</v>
      </c>
      <c r="I58" s="93" t="e">
        <f>VLOOKUP($C58,'Daily_BU설비데이터 '!$C$20:$T$1000,7,0)</f>
        <v>#N/A</v>
      </c>
      <c r="J58" s="93" t="e">
        <f>VLOOKUP($C58,'Daily_BU설비데이터 '!$C$20:$T$1000,8,0)</f>
        <v>#N/A</v>
      </c>
      <c r="K58" s="93" t="e">
        <f>VLOOKUP($C58,'Daily_BU설비데이터 '!$C$20:$T$1000,9,0)</f>
        <v>#N/A</v>
      </c>
      <c r="L58" s="59" t="e">
        <f t="shared" si="16"/>
        <v>#N/A</v>
      </c>
      <c r="M58" s="93" t="e">
        <f>VLOOKUP($C58,'Daily_BU설비데이터 '!$C$20:$T$1000,11,0)</f>
        <v>#N/A</v>
      </c>
      <c r="N58" s="93" t="e">
        <f>VLOOKUP($C58,'Daily_BU설비데이터 '!$C$20:$T$1000,12,0)</f>
        <v>#N/A</v>
      </c>
      <c r="O58" s="93" t="e">
        <f>VLOOKUP($C58,'Daily_BU설비데이터 '!$C$20:$T$1000,13,0)</f>
        <v>#N/A</v>
      </c>
      <c r="P58" s="93" t="e">
        <f>VLOOKUP($C58,'Daily_BU설비데이터 '!$C$20:$T$1000,14,0)</f>
        <v>#N/A</v>
      </c>
      <c r="Q58" s="99" t="e">
        <f t="shared" si="17"/>
        <v>#N/A</v>
      </c>
      <c r="R58" s="100" t="e">
        <f t="shared" si="18"/>
        <v>#N/A</v>
      </c>
      <c r="S58" s="83" t="e">
        <f>VLOOKUP($C58,'Daily_BU설비데이터 '!$C$20:$T$1000,17,0)</f>
        <v>#N/A</v>
      </c>
      <c r="T58" s="83" t="e">
        <f>VLOOKUP($C58,'Daily_BU설비데이터 '!$C$20:$T$1000,18,0)</f>
        <v>#N/A</v>
      </c>
      <c r="U58" s="101" t="e">
        <f t="shared" si="15"/>
        <v>#N/A</v>
      </c>
      <c r="V58" s="76"/>
      <c r="W58" s="77"/>
      <c r="X58" s="78"/>
      <c r="Y58" s="78"/>
      <c r="Z58" s="79"/>
      <c r="AA58" s="76"/>
      <c r="AY58" s="66">
        <f t="shared" si="19"/>
        <v>70.8</v>
      </c>
      <c r="AZ58" s="66">
        <f t="shared" si="20"/>
        <v>900</v>
      </c>
      <c r="BA58" s="66">
        <f t="shared" si="21"/>
        <v>1000</v>
      </c>
      <c r="BB58" s="22">
        <f t="shared" si="22"/>
        <v>5.0000000000000001E-3</v>
      </c>
    </row>
    <row r="59" spans="2:54" s="74" customFormat="1" x14ac:dyDescent="0.45">
      <c r="B59" s="45" t="s">
        <v>508</v>
      </c>
      <c r="C59" s="90"/>
      <c r="D59" s="90"/>
      <c r="E59" s="92"/>
      <c r="F59" s="93" t="e">
        <f>VLOOKUP($C59,'Daily_BU설비데이터 '!$C$20:$T$1000,4,0)</f>
        <v>#N/A</v>
      </c>
      <c r="G59" s="93" t="e">
        <f>VLOOKUP($C59,'Daily_BU설비데이터 '!$C$20:$T$1000,5,0)</f>
        <v>#N/A</v>
      </c>
      <c r="H59" s="93" t="e">
        <f>VLOOKUP($C59,'Daily_BU설비데이터 '!$C$20:$T$1000,6,0)</f>
        <v>#N/A</v>
      </c>
      <c r="I59" s="93" t="e">
        <f>VLOOKUP($C59,'Daily_BU설비데이터 '!$C$20:$T$1000,7,0)</f>
        <v>#N/A</v>
      </c>
      <c r="J59" s="93" t="e">
        <f>VLOOKUP($C59,'Daily_BU설비데이터 '!$C$20:$T$1000,8,0)</f>
        <v>#N/A</v>
      </c>
      <c r="K59" s="93" t="e">
        <f>VLOOKUP($C59,'Daily_BU설비데이터 '!$C$20:$T$1000,9,0)</f>
        <v>#N/A</v>
      </c>
      <c r="L59" s="59" t="e">
        <f t="shared" si="16"/>
        <v>#N/A</v>
      </c>
      <c r="M59" s="93" t="e">
        <f>VLOOKUP($C59,'Daily_BU설비데이터 '!$C$20:$T$1000,11,0)</f>
        <v>#N/A</v>
      </c>
      <c r="N59" s="93" t="e">
        <f>VLOOKUP($C59,'Daily_BU설비데이터 '!$C$20:$T$1000,12,0)</f>
        <v>#N/A</v>
      </c>
      <c r="O59" s="93" t="e">
        <f>VLOOKUP($C59,'Daily_BU설비데이터 '!$C$20:$T$1000,13,0)</f>
        <v>#N/A</v>
      </c>
      <c r="P59" s="93" t="e">
        <f>VLOOKUP($C59,'Daily_BU설비데이터 '!$C$20:$T$1000,14,0)</f>
        <v>#N/A</v>
      </c>
      <c r="Q59" s="99" t="e">
        <f t="shared" si="17"/>
        <v>#N/A</v>
      </c>
      <c r="R59" s="100" t="e">
        <f t="shared" si="18"/>
        <v>#N/A</v>
      </c>
      <c r="S59" s="83" t="e">
        <f>VLOOKUP($C59,'Daily_BU설비데이터 '!$C$20:$T$1000,17,0)</f>
        <v>#N/A</v>
      </c>
      <c r="T59" s="83" t="e">
        <f>VLOOKUP($C59,'Daily_BU설비데이터 '!$C$20:$T$1000,18,0)</f>
        <v>#N/A</v>
      </c>
      <c r="U59" s="101" t="e">
        <f t="shared" si="15"/>
        <v>#N/A</v>
      </c>
      <c r="V59" s="75"/>
      <c r="W59" s="71"/>
      <c r="X59" s="72"/>
      <c r="Y59" s="72"/>
      <c r="Z59" s="73"/>
      <c r="AA59" s="75"/>
      <c r="AV59" s="52"/>
      <c r="AW59" s="52"/>
      <c r="AY59" s="66">
        <f t="shared" si="19"/>
        <v>70.8</v>
      </c>
      <c r="AZ59" s="66">
        <f t="shared" si="20"/>
        <v>900</v>
      </c>
      <c r="BA59" s="66">
        <f t="shared" si="21"/>
        <v>1000</v>
      </c>
      <c r="BB59" s="22">
        <f t="shared" si="22"/>
        <v>5.0000000000000001E-3</v>
      </c>
    </row>
    <row r="60" spans="2:54" s="74" customFormat="1" x14ac:dyDescent="0.45">
      <c r="B60" s="45" t="s">
        <v>509</v>
      </c>
      <c r="C60" s="90"/>
      <c r="D60" s="90"/>
      <c r="E60" s="92"/>
      <c r="F60" s="93" t="e">
        <f>VLOOKUP($C60,'Daily_BU설비데이터 '!$C$20:$T$1000,4,0)</f>
        <v>#N/A</v>
      </c>
      <c r="G60" s="93" t="e">
        <f>VLOOKUP($C60,'Daily_BU설비데이터 '!$C$20:$T$1000,5,0)</f>
        <v>#N/A</v>
      </c>
      <c r="H60" s="93" t="e">
        <f>VLOOKUP($C60,'Daily_BU설비데이터 '!$C$20:$T$1000,6,0)</f>
        <v>#N/A</v>
      </c>
      <c r="I60" s="93" t="e">
        <f>VLOOKUP($C60,'Daily_BU설비데이터 '!$C$20:$T$1000,7,0)</f>
        <v>#N/A</v>
      </c>
      <c r="J60" s="93" t="e">
        <f>VLOOKUP($C60,'Daily_BU설비데이터 '!$C$20:$T$1000,8,0)</f>
        <v>#N/A</v>
      </c>
      <c r="K60" s="93" t="e">
        <f>VLOOKUP($C60,'Daily_BU설비데이터 '!$C$20:$T$1000,9,0)</f>
        <v>#N/A</v>
      </c>
      <c r="L60" s="59" t="e">
        <f t="shared" si="16"/>
        <v>#N/A</v>
      </c>
      <c r="M60" s="93" t="e">
        <f>VLOOKUP($C60,'Daily_BU설비데이터 '!$C$20:$T$1000,11,0)</f>
        <v>#N/A</v>
      </c>
      <c r="N60" s="93" t="e">
        <f>VLOOKUP($C60,'Daily_BU설비데이터 '!$C$20:$T$1000,12,0)</f>
        <v>#N/A</v>
      </c>
      <c r="O60" s="93" t="e">
        <f>VLOOKUP($C60,'Daily_BU설비데이터 '!$C$20:$T$1000,13,0)</f>
        <v>#N/A</v>
      </c>
      <c r="P60" s="93" t="e">
        <f>VLOOKUP($C60,'Daily_BU설비데이터 '!$C$20:$T$1000,14,0)</f>
        <v>#N/A</v>
      </c>
      <c r="Q60" s="99" t="e">
        <f t="shared" si="17"/>
        <v>#N/A</v>
      </c>
      <c r="R60" s="100" t="e">
        <f t="shared" si="18"/>
        <v>#N/A</v>
      </c>
      <c r="S60" s="83" t="e">
        <f>VLOOKUP($C60,'Daily_BU설비데이터 '!$C$20:$T$1000,17,0)</f>
        <v>#N/A</v>
      </c>
      <c r="T60" s="83" t="e">
        <f>VLOOKUP($C60,'Daily_BU설비데이터 '!$C$20:$T$1000,18,0)</f>
        <v>#N/A</v>
      </c>
      <c r="U60" s="101" t="e">
        <f t="shared" si="15"/>
        <v>#N/A</v>
      </c>
      <c r="V60" s="75"/>
      <c r="W60" s="71"/>
      <c r="X60" s="72"/>
      <c r="Y60" s="72"/>
      <c r="Z60" s="73"/>
      <c r="AA60" s="75"/>
      <c r="AV60" s="52"/>
      <c r="AW60" s="52"/>
      <c r="AY60" s="66">
        <f t="shared" si="19"/>
        <v>70.8</v>
      </c>
      <c r="AZ60" s="66">
        <f t="shared" si="20"/>
        <v>900</v>
      </c>
      <c r="BA60" s="66">
        <f t="shared" si="21"/>
        <v>1000</v>
      </c>
      <c r="BB60" s="22">
        <f t="shared" si="22"/>
        <v>5.0000000000000001E-3</v>
      </c>
    </row>
    <row r="61" spans="2:54" x14ac:dyDescent="0.45">
      <c r="B61" s="45" t="s">
        <v>510</v>
      </c>
      <c r="C61" s="90"/>
      <c r="D61" s="90"/>
      <c r="E61" s="94"/>
      <c r="F61" s="93" t="e">
        <f>VLOOKUP($C61,'Daily_BU설비데이터 '!$C$20:$T$1000,4,0)</f>
        <v>#N/A</v>
      </c>
      <c r="G61" s="93" t="e">
        <f>VLOOKUP($C61,'Daily_BU설비데이터 '!$C$20:$T$1000,5,0)</f>
        <v>#N/A</v>
      </c>
      <c r="H61" s="93" t="e">
        <f>VLOOKUP($C61,'Daily_BU설비데이터 '!$C$20:$T$1000,6,0)</f>
        <v>#N/A</v>
      </c>
      <c r="I61" s="93" t="e">
        <f>VLOOKUP($C61,'Daily_BU설비데이터 '!$C$20:$T$1000,7,0)</f>
        <v>#N/A</v>
      </c>
      <c r="J61" s="93" t="e">
        <f>VLOOKUP($C61,'Daily_BU설비데이터 '!$C$20:$T$1000,8,0)</f>
        <v>#N/A</v>
      </c>
      <c r="K61" s="93" t="e">
        <f>VLOOKUP($C61,'Daily_BU설비데이터 '!$C$20:$T$1000,9,0)</f>
        <v>#N/A</v>
      </c>
      <c r="L61" s="59" t="e">
        <f t="shared" si="16"/>
        <v>#N/A</v>
      </c>
      <c r="M61" s="93" t="e">
        <f>VLOOKUP($C61,'Daily_BU설비데이터 '!$C$20:$T$1000,11,0)</f>
        <v>#N/A</v>
      </c>
      <c r="N61" s="93" t="e">
        <f>VLOOKUP($C61,'Daily_BU설비데이터 '!$C$20:$T$1000,12,0)</f>
        <v>#N/A</v>
      </c>
      <c r="O61" s="93" t="e">
        <f>VLOOKUP($C61,'Daily_BU설비데이터 '!$C$20:$T$1000,13,0)</f>
        <v>#N/A</v>
      </c>
      <c r="P61" s="93" t="e">
        <f>VLOOKUP($C61,'Daily_BU설비데이터 '!$C$20:$T$1000,14,0)</f>
        <v>#N/A</v>
      </c>
      <c r="Q61" s="99" t="e">
        <f t="shared" si="17"/>
        <v>#N/A</v>
      </c>
      <c r="R61" s="100" t="e">
        <f t="shared" si="18"/>
        <v>#N/A</v>
      </c>
      <c r="S61" s="83" t="e">
        <f>VLOOKUP($C61,'Daily_BU설비데이터 '!$C$20:$T$1000,17,0)</f>
        <v>#N/A</v>
      </c>
      <c r="T61" s="83" t="e">
        <f>VLOOKUP($C61,'Daily_BU설비데이터 '!$C$20:$T$1000,18,0)</f>
        <v>#N/A</v>
      </c>
      <c r="U61" s="101" t="e">
        <f t="shared" si="15"/>
        <v>#N/A</v>
      </c>
      <c r="V61" s="45"/>
      <c r="W61" s="63"/>
      <c r="X61" s="64"/>
      <c r="Y61" s="64"/>
      <c r="Z61" s="65"/>
      <c r="AA61" s="45"/>
      <c r="AY61" s="66">
        <f t="shared" si="19"/>
        <v>70.8</v>
      </c>
      <c r="AZ61" s="66">
        <f t="shared" si="20"/>
        <v>900</v>
      </c>
      <c r="BA61" s="66">
        <f t="shared" si="21"/>
        <v>1000</v>
      </c>
      <c r="BB61" s="22">
        <f t="shared" si="22"/>
        <v>5.0000000000000001E-3</v>
      </c>
    </row>
    <row r="62" spans="2:54" x14ac:dyDescent="0.45">
      <c r="B62" s="45" t="s">
        <v>511</v>
      </c>
      <c r="C62" s="90"/>
      <c r="D62" s="90"/>
      <c r="E62" s="92"/>
      <c r="F62" s="93" t="e">
        <f>VLOOKUP($C62,'Daily_BU설비데이터 '!$C$20:$T$1000,4,0)</f>
        <v>#N/A</v>
      </c>
      <c r="G62" s="93" t="e">
        <f>VLOOKUP($C62,'Daily_BU설비데이터 '!$C$20:$T$1000,5,0)</f>
        <v>#N/A</v>
      </c>
      <c r="H62" s="93" t="e">
        <f>VLOOKUP($C62,'Daily_BU설비데이터 '!$C$20:$T$1000,6,0)</f>
        <v>#N/A</v>
      </c>
      <c r="I62" s="93" t="e">
        <f>VLOOKUP($C62,'Daily_BU설비데이터 '!$C$20:$T$1000,7,0)</f>
        <v>#N/A</v>
      </c>
      <c r="J62" s="93" t="e">
        <f>VLOOKUP($C62,'Daily_BU설비데이터 '!$C$20:$T$1000,8,0)</f>
        <v>#N/A</v>
      </c>
      <c r="K62" s="93" t="e">
        <f>VLOOKUP($C62,'Daily_BU설비데이터 '!$C$20:$T$1000,9,0)</f>
        <v>#N/A</v>
      </c>
      <c r="L62" s="59" t="e">
        <f t="shared" si="16"/>
        <v>#N/A</v>
      </c>
      <c r="M62" s="93" t="e">
        <f>VLOOKUP($C62,'Daily_BU설비데이터 '!$C$20:$T$1000,11,0)</f>
        <v>#N/A</v>
      </c>
      <c r="N62" s="93" t="e">
        <f>VLOOKUP($C62,'Daily_BU설비데이터 '!$C$20:$T$1000,12,0)</f>
        <v>#N/A</v>
      </c>
      <c r="O62" s="93" t="e">
        <f>VLOOKUP($C62,'Daily_BU설비데이터 '!$C$20:$T$1000,13,0)</f>
        <v>#N/A</v>
      </c>
      <c r="P62" s="93" t="e">
        <f>VLOOKUP($C62,'Daily_BU설비데이터 '!$C$20:$T$1000,14,0)</f>
        <v>#N/A</v>
      </c>
      <c r="Q62" s="99" t="e">
        <f t="shared" si="17"/>
        <v>#N/A</v>
      </c>
      <c r="R62" s="100" t="e">
        <f t="shared" si="18"/>
        <v>#N/A</v>
      </c>
      <c r="S62" s="83" t="e">
        <f>VLOOKUP($C62,'Daily_BU설비데이터 '!$C$20:$T$1000,17,0)</f>
        <v>#N/A</v>
      </c>
      <c r="T62" s="83" t="e">
        <f>VLOOKUP($C62,'Daily_BU설비데이터 '!$C$20:$T$1000,18,0)</f>
        <v>#N/A</v>
      </c>
      <c r="U62" s="101" t="e">
        <f t="shared" si="15"/>
        <v>#N/A</v>
      </c>
      <c r="V62" s="45"/>
      <c r="W62" s="63"/>
      <c r="X62" s="64"/>
      <c r="Y62" s="64"/>
      <c r="Z62" s="65"/>
      <c r="AA62" s="45"/>
      <c r="AY62" s="66">
        <f t="shared" si="19"/>
        <v>70.8</v>
      </c>
      <c r="AZ62" s="66">
        <f t="shared" si="20"/>
        <v>900</v>
      </c>
      <c r="BA62" s="66">
        <f t="shared" si="21"/>
        <v>1000</v>
      </c>
      <c r="BB62" s="22">
        <f t="shared" si="22"/>
        <v>5.0000000000000001E-3</v>
      </c>
    </row>
    <row r="63" spans="2:54" x14ac:dyDescent="0.45">
      <c r="B63" s="45" t="s">
        <v>512</v>
      </c>
      <c r="C63" s="90"/>
      <c r="D63" s="90"/>
      <c r="E63" s="92"/>
      <c r="F63" s="93" t="e">
        <f>VLOOKUP($C63,'Daily_BU설비데이터 '!$C$20:$T$1000,4,0)</f>
        <v>#N/A</v>
      </c>
      <c r="G63" s="93" t="e">
        <f>VLOOKUP($C63,'Daily_BU설비데이터 '!$C$20:$T$1000,5,0)</f>
        <v>#N/A</v>
      </c>
      <c r="H63" s="93" t="e">
        <f>VLOOKUP($C63,'Daily_BU설비데이터 '!$C$20:$T$1000,6,0)</f>
        <v>#N/A</v>
      </c>
      <c r="I63" s="93" t="e">
        <f>VLOOKUP($C63,'Daily_BU설비데이터 '!$C$20:$T$1000,7,0)</f>
        <v>#N/A</v>
      </c>
      <c r="J63" s="93" t="e">
        <f>VLOOKUP($C63,'Daily_BU설비데이터 '!$C$20:$T$1000,8,0)</f>
        <v>#N/A</v>
      </c>
      <c r="K63" s="93" t="e">
        <f>VLOOKUP($C63,'Daily_BU설비데이터 '!$C$20:$T$1000,9,0)</f>
        <v>#N/A</v>
      </c>
      <c r="L63" s="59" t="e">
        <f t="shared" si="16"/>
        <v>#N/A</v>
      </c>
      <c r="M63" s="93" t="e">
        <f>VLOOKUP($C63,'Daily_BU설비데이터 '!$C$20:$T$1000,11,0)</f>
        <v>#N/A</v>
      </c>
      <c r="N63" s="93" t="e">
        <f>VLOOKUP($C63,'Daily_BU설비데이터 '!$C$20:$T$1000,12,0)</f>
        <v>#N/A</v>
      </c>
      <c r="O63" s="93" t="e">
        <f>VLOOKUP($C63,'Daily_BU설비데이터 '!$C$20:$T$1000,13,0)</f>
        <v>#N/A</v>
      </c>
      <c r="P63" s="93" t="e">
        <f>VLOOKUP($C63,'Daily_BU설비데이터 '!$C$20:$T$1000,14,0)</f>
        <v>#N/A</v>
      </c>
      <c r="Q63" s="99" t="e">
        <f t="shared" si="17"/>
        <v>#N/A</v>
      </c>
      <c r="R63" s="100" t="e">
        <f t="shared" si="18"/>
        <v>#N/A</v>
      </c>
      <c r="S63" s="83" t="e">
        <f>VLOOKUP($C63,'Daily_BU설비데이터 '!$C$20:$T$1000,17,0)</f>
        <v>#N/A</v>
      </c>
      <c r="T63" s="83" t="e">
        <f>VLOOKUP($C63,'Daily_BU설비데이터 '!$C$20:$T$1000,18,0)</f>
        <v>#N/A</v>
      </c>
      <c r="U63" s="101" t="e">
        <f t="shared" si="15"/>
        <v>#N/A</v>
      </c>
      <c r="V63" s="45"/>
      <c r="W63" s="63"/>
      <c r="X63" s="64"/>
      <c r="Y63" s="64"/>
      <c r="Z63" s="65"/>
      <c r="AA63" s="45"/>
      <c r="AY63" s="66">
        <f t="shared" si="19"/>
        <v>70.8</v>
      </c>
      <c r="AZ63" s="66">
        <f t="shared" si="20"/>
        <v>900</v>
      </c>
      <c r="BA63" s="66">
        <f t="shared" si="21"/>
        <v>1000</v>
      </c>
      <c r="BB63" s="22">
        <f t="shared" si="22"/>
        <v>5.0000000000000001E-3</v>
      </c>
    </row>
    <row r="64" spans="2:54" x14ac:dyDescent="0.45">
      <c r="B64" s="45" t="s">
        <v>513</v>
      </c>
      <c r="C64" s="90"/>
      <c r="D64" s="90"/>
      <c r="E64" s="94"/>
      <c r="F64" s="93" t="e">
        <f>VLOOKUP($C64,'Daily_BU설비데이터 '!$C$20:$T$1000,4,0)</f>
        <v>#N/A</v>
      </c>
      <c r="G64" s="93" t="e">
        <f>VLOOKUP($C64,'Daily_BU설비데이터 '!$C$20:$T$1000,5,0)</f>
        <v>#N/A</v>
      </c>
      <c r="H64" s="93" t="e">
        <f>VLOOKUP($C64,'Daily_BU설비데이터 '!$C$20:$T$1000,6,0)</f>
        <v>#N/A</v>
      </c>
      <c r="I64" s="93" t="e">
        <f>VLOOKUP($C64,'Daily_BU설비데이터 '!$C$20:$T$1000,7,0)</f>
        <v>#N/A</v>
      </c>
      <c r="J64" s="93" t="e">
        <f>VLOOKUP($C64,'Daily_BU설비데이터 '!$C$20:$T$1000,8,0)</f>
        <v>#N/A</v>
      </c>
      <c r="K64" s="93" t="e">
        <f>VLOOKUP($C64,'Daily_BU설비데이터 '!$C$20:$T$1000,9,0)</f>
        <v>#N/A</v>
      </c>
      <c r="L64" s="59" t="e">
        <f t="shared" si="16"/>
        <v>#N/A</v>
      </c>
      <c r="M64" s="93" t="e">
        <f>VLOOKUP($C64,'Daily_BU설비데이터 '!$C$20:$T$1000,11,0)</f>
        <v>#N/A</v>
      </c>
      <c r="N64" s="93" t="e">
        <f>VLOOKUP($C64,'Daily_BU설비데이터 '!$C$20:$T$1000,12,0)</f>
        <v>#N/A</v>
      </c>
      <c r="O64" s="93" t="e">
        <f>VLOOKUP($C64,'Daily_BU설비데이터 '!$C$20:$T$1000,13,0)</f>
        <v>#N/A</v>
      </c>
      <c r="P64" s="93" t="e">
        <f>VLOOKUP($C64,'Daily_BU설비데이터 '!$C$20:$T$1000,14,0)</f>
        <v>#N/A</v>
      </c>
      <c r="Q64" s="99" t="e">
        <f t="shared" si="17"/>
        <v>#N/A</v>
      </c>
      <c r="R64" s="100" t="e">
        <f t="shared" si="18"/>
        <v>#N/A</v>
      </c>
      <c r="S64" s="83" t="e">
        <f>VLOOKUP($C64,'Daily_BU설비데이터 '!$C$20:$T$1000,17,0)</f>
        <v>#N/A</v>
      </c>
      <c r="T64" s="83" t="e">
        <f>VLOOKUP($C64,'Daily_BU설비데이터 '!$C$20:$T$1000,18,0)</f>
        <v>#N/A</v>
      </c>
      <c r="U64" s="101" t="e">
        <f t="shared" si="15"/>
        <v>#N/A</v>
      </c>
      <c r="V64" s="45"/>
      <c r="W64" s="63"/>
      <c r="X64" s="64"/>
      <c r="Y64" s="64"/>
      <c r="Z64" s="65"/>
      <c r="AA64" s="45"/>
      <c r="AY64" s="66">
        <f t="shared" si="19"/>
        <v>70.8</v>
      </c>
      <c r="AZ64" s="66">
        <f t="shared" si="20"/>
        <v>900</v>
      </c>
      <c r="BA64" s="66">
        <f t="shared" si="21"/>
        <v>1000</v>
      </c>
      <c r="BB64" s="22">
        <f t="shared" si="22"/>
        <v>5.0000000000000001E-3</v>
      </c>
    </row>
    <row r="65" spans="2:54" x14ac:dyDescent="0.45">
      <c r="B65" s="45" t="s">
        <v>514</v>
      </c>
      <c r="C65" s="90"/>
      <c r="D65" s="90"/>
      <c r="E65" s="92"/>
      <c r="F65" s="93" t="e">
        <f>VLOOKUP($C65,'Daily_BU설비데이터 '!$C$20:$T$1000,4,0)</f>
        <v>#N/A</v>
      </c>
      <c r="G65" s="93" t="e">
        <f>VLOOKUP($C65,'Daily_BU설비데이터 '!$C$20:$T$1000,5,0)</f>
        <v>#N/A</v>
      </c>
      <c r="H65" s="93" t="e">
        <f>VLOOKUP($C65,'Daily_BU설비데이터 '!$C$20:$T$1000,6,0)</f>
        <v>#N/A</v>
      </c>
      <c r="I65" s="93" t="e">
        <f>VLOOKUP($C65,'Daily_BU설비데이터 '!$C$20:$T$1000,7,0)</f>
        <v>#N/A</v>
      </c>
      <c r="J65" s="93" t="e">
        <f>VLOOKUP($C65,'Daily_BU설비데이터 '!$C$20:$T$1000,8,0)</f>
        <v>#N/A</v>
      </c>
      <c r="K65" s="93" t="e">
        <f>VLOOKUP($C65,'Daily_BU설비데이터 '!$C$20:$T$1000,9,0)</f>
        <v>#N/A</v>
      </c>
      <c r="L65" s="59" t="e">
        <f t="shared" si="16"/>
        <v>#N/A</v>
      </c>
      <c r="M65" s="93" t="e">
        <f>VLOOKUP($C65,'Daily_BU설비데이터 '!$C$20:$T$1000,11,0)</f>
        <v>#N/A</v>
      </c>
      <c r="N65" s="93" t="e">
        <f>VLOOKUP($C65,'Daily_BU설비데이터 '!$C$20:$T$1000,12,0)</f>
        <v>#N/A</v>
      </c>
      <c r="O65" s="93" t="e">
        <f>VLOOKUP($C65,'Daily_BU설비데이터 '!$C$20:$T$1000,13,0)</f>
        <v>#N/A</v>
      </c>
      <c r="P65" s="93" t="e">
        <f>VLOOKUP($C65,'Daily_BU설비데이터 '!$C$20:$T$1000,14,0)</f>
        <v>#N/A</v>
      </c>
      <c r="Q65" s="99" t="e">
        <f t="shared" si="17"/>
        <v>#N/A</v>
      </c>
      <c r="R65" s="100" t="e">
        <f t="shared" si="18"/>
        <v>#N/A</v>
      </c>
      <c r="S65" s="83" t="e">
        <f>VLOOKUP($C65,'Daily_BU설비데이터 '!$C$20:$T$1000,17,0)</f>
        <v>#N/A</v>
      </c>
      <c r="T65" s="83" t="e">
        <f>VLOOKUP($C65,'Daily_BU설비데이터 '!$C$20:$T$1000,18,0)</f>
        <v>#N/A</v>
      </c>
      <c r="U65" s="101" t="e">
        <f t="shared" si="15"/>
        <v>#N/A</v>
      </c>
      <c r="V65" s="45"/>
      <c r="W65" s="63"/>
      <c r="X65" s="64"/>
      <c r="Y65" s="64"/>
      <c r="Z65" s="65"/>
      <c r="AA65" s="45"/>
      <c r="AY65" s="66">
        <f t="shared" si="19"/>
        <v>70.8</v>
      </c>
      <c r="AZ65" s="66">
        <f t="shared" si="20"/>
        <v>900</v>
      </c>
      <c r="BA65" s="66">
        <f t="shared" si="21"/>
        <v>1000</v>
      </c>
      <c r="BB65" s="22">
        <f t="shared" si="22"/>
        <v>5.0000000000000001E-3</v>
      </c>
    </row>
    <row r="66" spans="2:54" x14ac:dyDescent="0.45">
      <c r="B66" s="45" t="s">
        <v>515</v>
      </c>
      <c r="C66" s="90"/>
      <c r="D66" s="56"/>
      <c r="E66" s="57"/>
      <c r="F66" s="68" t="e">
        <f>VLOOKUP($C66,'Daily_BU설비데이터 '!$C$20:$T$1000,4,0)</f>
        <v>#N/A</v>
      </c>
      <c r="G66" s="68" t="e">
        <f>VLOOKUP($C66,'Daily_BU설비데이터 '!$C$20:$T$1000,5,0)</f>
        <v>#N/A</v>
      </c>
      <c r="H66" s="68" t="e">
        <f>VLOOKUP($C66,'Daily_BU설비데이터 '!$C$20:$T$1000,6,0)</f>
        <v>#N/A</v>
      </c>
      <c r="I66" s="68" t="e">
        <f>VLOOKUP($C66,'Daily_BU설비데이터 '!$C$20:$T$1000,7,0)</f>
        <v>#N/A</v>
      </c>
      <c r="J66" s="68" t="e">
        <f>VLOOKUP($C66,'Daily_BU설비데이터 '!$C$20:$T$1000,8,0)</f>
        <v>#N/A</v>
      </c>
      <c r="K66" s="68" t="e">
        <f>VLOOKUP($C66,'Daily_BU설비데이터 '!$C$20:$T$1000,9,0)</f>
        <v>#N/A</v>
      </c>
      <c r="L66" s="59" t="e">
        <f t="shared" si="16"/>
        <v>#N/A</v>
      </c>
      <c r="M66" s="68" t="e">
        <f>VLOOKUP($C66,'Daily_BU설비데이터 '!$C$20:$T$1000,11,0)</f>
        <v>#N/A</v>
      </c>
      <c r="N66" s="68" t="e">
        <f>VLOOKUP($C66,'Daily_BU설비데이터 '!$C$20:$T$1000,12,0)</f>
        <v>#N/A</v>
      </c>
      <c r="O66" s="68" t="e">
        <f>VLOOKUP($C66,'Daily_BU설비데이터 '!$C$20:$T$1000,13,0)</f>
        <v>#N/A</v>
      </c>
      <c r="P66" s="68" t="e">
        <f>VLOOKUP($C66,'Daily_BU설비데이터 '!$C$20:$T$1000,14,0)</f>
        <v>#N/A</v>
      </c>
      <c r="Q66" s="99" t="e">
        <f t="shared" si="17"/>
        <v>#N/A</v>
      </c>
      <c r="R66" s="100" t="e">
        <f t="shared" si="18"/>
        <v>#N/A</v>
      </c>
      <c r="S66" s="83" t="e">
        <f>VLOOKUP($C66,'Daily_BU설비데이터 '!$C$20:$T$1000,17,0)</f>
        <v>#N/A</v>
      </c>
      <c r="T66" s="83" t="e">
        <f>VLOOKUP($C66,'Daily_BU설비데이터 '!$C$20:$T$1000,18,0)</f>
        <v>#N/A</v>
      </c>
      <c r="U66" s="101" t="e">
        <f t="shared" si="15"/>
        <v>#N/A</v>
      </c>
      <c r="V66" s="45"/>
      <c r="W66" s="63"/>
      <c r="X66" s="64"/>
      <c r="Y66" s="64"/>
      <c r="Z66" s="65"/>
      <c r="AA66" s="45"/>
      <c r="AY66" s="66">
        <f t="shared" si="19"/>
        <v>70.8</v>
      </c>
      <c r="AZ66" s="66">
        <f t="shared" si="20"/>
        <v>900</v>
      </c>
      <c r="BA66" s="66">
        <f t="shared" si="21"/>
        <v>1000</v>
      </c>
      <c r="BB66" s="22">
        <f t="shared" si="22"/>
        <v>5.0000000000000001E-3</v>
      </c>
    </row>
    <row r="67" spans="2:54" x14ac:dyDescent="0.45">
      <c r="B67" s="45" t="s">
        <v>516</v>
      </c>
      <c r="C67" s="90"/>
      <c r="D67" s="56"/>
      <c r="E67" s="84"/>
      <c r="F67" s="58" t="e">
        <f>VLOOKUP($C67,'Daily_BU설비데이터 '!$C$20:$T$1000,4,0)</f>
        <v>#N/A</v>
      </c>
      <c r="G67" s="58" t="e">
        <f>VLOOKUP($C67,'Daily_BU설비데이터 '!$C$20:$T$1000,5,0)</f>
        <v>#N/A</v>
      </c>
      <c r="H67" s="58" t="e">
        <f>VLOOKUP($C67,'Daily_BU설비데이터 '!$C$20:$T$1000,6,0)</f>
        <v>#N/A</v>
      </c>
      <c r="I67" s="58" t="e">
        <f>VLOOKUP($C67,'Daily_BU설비데이터 '!$C$20:$T$1000,7,0)</f>
        <v>#N/A</v>
      </c>
      <c r="J67" s="58" t="e">
        <f>VLOOKUP($C67,'Daily_BU설비데이터 '!$C$20:$T$1000,8,0)</f>
        <v>#N/A</v>
      </c>
      <c r="K67" s="58" t="e">
        <f>VLOOKUP($C67,'Daily_BU설비데이터 '!$C$20:$T$1000,9,0)</f>
        <v>#N/A</v>
      </c>
      <c r="L67" s="59" t="e">
        <f t="shared" si="16"/>
        <v>#N/A</v>
      </c>
      <c r="M67" s="68" t="e">
        <f>VLOOKUP($C67,'Daily_BU설비데이터 '!$C$20:$T$1000,11,0)</f>
        <v>#N/A</v>
      </c>
      <c r="N67" s="68" t="e">
        <f>VLOOKUP($C67,'Daily_BU설비데이터 '!$C$20:$T$1000,12,0)</f>
        <v>#N/A</v>
      </c>
      <c r="O67" s="68" t="e">
        <f>VLOOKUP($C67,'Daily_BU설비데이터 '!$C$20:$T$1000,13,0)</f>
        <v>#N/A</v>
      </c>
      <c r="P67" s="68" t="e">
        <f>VLOOKUP($C67,'Daily_BU설비데이터 '!$C$20:$T$1000,14,0)</f>
        <v>#N/A</v>
      </c>
      <c r="Q67" s="99" t="e">
        <f t="shared" si="17"/>
        <v>#N/A</v>
      </c>
      <c r="R67" s="100" t="e">
        <f t="shared" si="18"/>
        <v>#N/A</v>
      </c>
      <c r="S67" s="83" t="e">
        <f>VLOOKUP($C67,'Daily_BU설비데이터 '!$C$20:$T$1000,17,0)</f>
        <v>#N/A</v>
      </c>
      <c r="T67" s="83" t="e">
        <f>VLOOKUP($C67,'Daily_BU설비데이터 '!$C$20:$T$1000,18,0)</f>
        <v>#N/A</v>
      </c>
      <c r="U67" s="101" t="e">
        <f t="shared" si="15"/>
        <v>#N/A</v>
      </c>
      <c r="V67" s="45"/>
      <c r="W67" s="63"/>
      <c r="X67" s="64"/>
      <c r="Y67" s="64"/>
      <c r="Z67" s="65"/>
      <c r="AA67" s="45"/>
      <c r="AY67" s="66">
        <f t="shared" si="19"/>
        <v>70.8</v>
      </c>
      <c r="AZ67" s="66">
        <f t="shared" si="20"/>
        <v>900</v>
      </c>
      <c r="BA67" s="66">
        <f t="shared" si="21"/>
        <v>1000</v>
      </c>
      <c r="BB67" s="22">
        <f t="shared" si="22"/>
        <v>5.0000000000000001E-3</v>
      </c>
    </row>
    <row r="68" spans="2:54" x14ac:dyDescent="0.45">
      <c r="B68" s="45" t="s">
        <v>517</v>
      </c>
      <c r="C68" s="90"/>
      <c r="D68" s="56"/>
      <c r="E68" s="84"/>
      <c r="F68" s="58" t="e">
        <f>VLOOKUP($C68,'Daily_BU설비데이터 '!$C$20:$T$1000,4,0)</f>
        <v>#N/A</v>
      </c>
      <c r="G68" s="58" t="e">
        <f>VLOOKUP($C68,'Daily_BU설비데이터 '!$C$20:$T$1000,5,0)</f>
        <v>#N/A</v>
      </c>
      <c r="H68" s="58" t="e">
        <f>VLOOKUP($C68,'Daily_BU설비데이터 '!$C$20:$T$1000,6,0)</f>
        <v>#N/A</v>
      </c>
      <c r="I68" s="58" t="e">
        <f>VLOOKUP($C68,'Daily_BU설비데이터 '!$C$20:$T$1000,7,0)</f>
        <v>#N/A</v>
      </c>
      <c r="J68" s="58" t="e">
        <f>VLOOKUP($C68,'Daily_BU설비데이터 '!$C$20:$T$1000,8,0)</f>
        <v>#N/A</v>
      </c>
      <c r="K68" s="58" t="e">
        <f>VLOOKUP($C68,'Daily_BU설비데이터 '!$C$20:$T$1000,9,0)</f>
        <v>#N/A</v>
      </c>
      <c r="L68" s="59" t="e">
        <f t="shared" si="16"/>
        <v>#N/A</v>
      </c>
      <c r="M68" s="68" t="e">
        <f>VLOOKUP($C68,'Daily_BU설비데이터 '!$C$20:$T$1000,11,0)</f>
        <v>#N/A</v>
      </c>
      <c r="N68" s="68" t="e">
        <f>VLOOKUP($C68,'Daily_BU설비데이터 '!$C$20:$T$1000,12,0)</f>
        <v>#N/A</v>
      </c>
      <c r="O68" s="68" t="e">
        <f>VLOOKUP($C68,'Daily_BU설비데이터 '!$C$20:$T$1000,13,0)</f>
        <v>#N/A</v>
      </c>
      <c r="P68" s="68" t="e">
        <f>VLOOKUP($C68,'Daily_BU설비데이터 '!$C$20:$T$1000,14,0)</f>
        <v>#N/A</v>
      </c>
      <c r="Q68" s="99" t="e">
        <f t="shared" si="17"/>
        <v>#N/A</v>
      </c>
      <c r="R68" s="100" t="e">
        <f t="shared" si="18"/>
        <v>#N/A</v>
      </c>
      <c r="S68" s="83" t="e">
        <f>VLOOKUP($C68,'Daily_BU설비데이터 '!$C$20:$T$1000,17,0)</f>
        <v>#N/A</v>
      </c>
      <c r="T68" s="83" t="e">
        <f>VLOOKUP($C68,'Daily_BU설비데이터 '!$C$20:$T$1000,18,0)</f>
        <v>#N/A</v>
      </c>
      <c r="U68" s="101" t="e">
        <f t="shared" si="15"/>
        <v>#N/A</v>
      </c>
      <c r="V68" s="45"/>
      <c r="W68" s="63"/>
      <c r="X68" s="64"/>
      <c r="Y68" s="64"/>
      <c r="Z68" s="65"/>
      <c r="AA68" s="45"/>
      <c r="AY68" s="66">
        <f t="shared" si="19"/>
        <v>70.8</v>
      </c>
      <c r="AZ68" s="66">
        <f t="shared" si="20"/>
        <v>900</v>
      </c>
      <c r="BA68" s="66">
        <f t="shared" si="21"/>
        <v>1000</v>
      </c>
      <c r="BB68" s="22">
        <f t="shared" si="22"/>
        <v>5.0000000000000001E-3</v>
      </c>
    </row>
    <row r="69" spans="2:54" x14ac:dyDescent="0.45">
      <c r="B69" s="45" t="s">
        <v>518</v>
      </c>
      <c r="C69" s="90"/>
      <c r="D69" s="56"/>
      <c r="E69" s="84"/>
      <c r="F69" s="58" t="e">
        <f>VLOOKUP($C69,'Daily_BU설비데이터 '!$C$20:$T$1000,4,0)</f>
        <v>#N/A</v>
      </c>
      <c r="G69" s="58" t="e">
        <f>VLOOKUP($C69,'Daily_BU설비데이터 '!$C$20:$T$1000,5,0)</f>
        <v>#N/A</v>
      </c>
      <c r="H69" s="58" t="e">
        <f>VLOOKUP($C69,'Daily_BU설비데이터 '!$C$20:$T$1000,6,0)</f>
        <v>#N/A</v>
      </c>
      <c r="I69" s="58" t="e">
        <f>VLOOKUP($C69,'Daily_BU설비데이터 '!$C$20:$T$1000,7,0)</f>
        <v>#N/A</v>
      </c>
      <c r="J69" s="58" t="e">
        <f>VLOOKUP($C69,'Daily_BU설비데이터 '!$C$20:$T$1000,8,0)</f>
        <v>#N/A</v>
      </c>
      <c r="K69" s="58" t="e">
        <f>VLOOKUP($C69,'Daily_BU설비데이터 '!$C$20:$T$1000,9,0)</f>
        <v>#N/A</v>
      </c>
      <c r="L69" s="59" t="e">
        <f t="shared" ref="L69:L81" si="23">1/2*((F69*I69+H69*K69+J69*G69)-(G69*H69+I69*J69+K69*F69))/0.1582*100</f>
        <v>#N/A</v>
      </c>
      <c r="M69" s="68" t="e">
        <f>VLOOKUP($C69,'Daily_BU설비데이터 '!$C$20:$T$1000,11,0)</f>
        <v>#N/A</v>
      </c>
      <c r="N69" s="68" t="e">
        <f>VLOOKUP($C69,'Daily_BU설비데이터 '!$C$20:$T$1000,12,0)</f>
        <v>#N/A</v>
      </c>
      <c r="O69" s="68" t="e">
        <f>VLOOKUP($C69,'Daily_BU설비데이터 '!$C$20:$T$1000,13,0)</f>
        <v>#N/A</v>
      </c>
      <c r="P69" s="68" t="e">
        <f>VLOOKUP($C69,'Daily_BU설비데이터 '!$C$20:$T$1000,14,0)</f>
        <v>#N/A</v>
      </c>
      <c r="Q69" s="99" t="e">
        <f t="shared" ref="Q69:Q81" si="24">O69/P69</f>
        <v>#N/A</v>
      </c>
      <c r="R69" s="100" t="e">
        <f t="shared" ref="R69:R81" si="25">SQRT(POWER(M69-$M$12,2)+POWER(N69-$N$12,2))</f>
        <v>#N/A</v>
      </c>
      <c r="S69" s="83" t="e">
        <f>VLOOKUP($C69,'Daily_BU설비데이터 '!$C$20:$T$1000,17,0)</f>
        <v>#N/A</v>
      </c>
      <c r="T69" s="83" t="e">
        <f>VLOOKUP($C69,'Daily_BU설비데이터 '!$C$20:$T$1000,18,0)</f>
        <v>#N/A</v>
      </c>
      <c r="U69" s="101" t="e">
        <f t="shared" ref="U69:U81" si="26">(-449*((M69-0.332)/(N69-0.1858))^3)+(3525*((M69-0.332)/(N69-0.1858))^2)+(-6823.3*(M69-0.332)/(N69-0.1858))+5520.33</f>
        <v>#N/A</v>
      </c>
      <c r="V69" s="45"/>
      <c r="W69" s="63"/>
      <c r="X69" s="64"/>
      <c r="Y69" s="64"/>
      <c r="Z69" s="65"/>
      <c r="AA69" s="45"/>
      <c r="AY69" s="66">
        <f t="shared" si="19"/>
        <v>70.8</v>
      </c>
      <c r="AZ69" s="66">
        <f t="shared" si="20"/>
        <v>900</v>
      </c>
      <c r="BA69" s="66">
        <f t="shared" si="21"/>
        <v>1000</v>
      </c>
      <c r="BB69" s="22">
        <f t="shared" si="22"/>
        <v>5.0000000000000001E-3</v>
      </c>
    </row>
    <row r="70" spans="2:54" x14ac:dyDescent="0.45">
      <c r="B70" s="45" t="s">
        <v>519</v>
      </c>
      <c r="C70" s="90"/>
      <c r="D70" s="56"/>
      <c r="E70" s="80"/>
      <c r="F70" s="58" t="e">
        <f>VLOOKUP($C70,'Daily_BU설비데이터 '!$C$20:$T$1000,4,0)</f>
        <v>#N/A</v>
      </c>
      <c r="G70" s="58" t="e">
        <f>VLOOKUP($C70,'Daily_BU설비데이터 '!$C$20:$T$1000,5,0)</f>
        <v>#N/A</v>
      </c>
      <c r="H70" s="58" t="e">
        <f>VLOOKUP($C70,'Daily_BU설비데이터 '!$C$20:$T$1000,6,0)</f>
        <v>#N/A</v>
      </c>
      <c r="I70" s="58" t="e">
        <f>VLOOKUP($C70,'Daily_BU설비데이터 '!$C$20:$T$1000,7,0)</f>
        <v>#N/A</v>
      </c>
      <c r="J70" s="58" t="e">
        <f>VLOOKUP($C70,'Daily_BU설비데이터 '!$C$20:$T$1000,8,0)</f>
        <v>#N/A</v>
      </c>
      <c r="K70" s="58" t="e">
        <f>VLOOKUP($C70,'Daily_BU설비데이터 '!$C$20:$T$1000,9,0)</f>
        <v>#N/A</v>
      </c>
      <c r="L70" s="59" t="e">
        <f t="shared" si="23"/>
        <v>#N/A</v>
      </c>
      <c r="M70" s="68" t="e">
        <f>VLOOKUP($C70,'Daily_BU설비데이터 '!$C$20:$T$1000,11,0)</f>
        <v>#N/A</v>
      </c>
      <c r="N70" s="68" t="e">
        <f>VLOOKUP($C70,'Daily_BU설비데이터 '!$C$20:$T$1000,12,0)</f>
        <v>#N/A</v>
      </c>
      <c r="O70" s="68" t="e">
        <f>VLOOKUP($C70,'Daily_BU설비데이터 '!$C$20:$T$1000,13,0)</f>
        <v>#N/A</v>
      </c>
      <c r="P70" s="68" t="e">
        <f>VLOOKUP($C70,'Daily_BU설비데이터 '!$C$20:$T$1000,14,0)</f>
        <v>#N/A</v>
      </c>
      <c r="Q70" s="99" t="e">
        <f t="shared" si="24"/>
        <v>#N/A</v>
      </c>
      <c r="R70" s="100" t="e">
        <f t="shared" si="25"/>
        <v>#N/A</v>
      </c>
      <c r="S70" s="83" t="e">
        <f>VLOOKUP($C70,'Daily_BU설비데이터 '!$C$20:$T$1000,17,0)</f>
        <v>#N/A</v>
      </c>
      <c r="T70" s="83" t="e">
        <f>VLOOKUP($C70,'Daily_BU설비데이터 '!$C$20:$T$1000,18,0)</f>
        <v>#N/A</v>
      </c>
      <c r="U70" s="101" t="e">
        <f t="shared" si="26"/>
        <v>#N/A</v>
      </c>
      <c r="V70" s="45"/>
      <c r="W70" s="63"/>
      <c r="X70" s="64"/>
      <c r="Y70" s="64"/>
      <c r="Z70" s="65"/>
      <c r="AA70" s="45"/>
      <c r="AY70" s="66">
        <f t="shared" si="19"/>
        <v>70.8</v>
      </c>
      <c r="AZ70" s="66">
        <f t="shared" si="20"/>
        <v>900</v>
      </c>
      <c r="BA70" s="66">
        <f t="shared" si="21"/>
        <v>1000</v>
      </c>
      <c r="BB70" s="22">
        <f t="shared" si="22"/>
        <v>5.0000000000000001E-3</v>
      </c>
    </row>
    <row r="71" spans="2:54" x14ac:dyDescent="0.45">
      <c r="B71" s="45" t="s">
        <v>520</v>
      </c>
      <c r="C71" s="90"/>
      <c r="D71" s="56"/>
      <c r="E71" s="84"/>
      <c r="F71" s="58" t="e">
        <f>VLOOKUP($C71,'Daily_BU설비데이터 '!$C$20:$T$1000,4,0)</f>
        <v>#N/A</v>
      </c>
      <c r="G71" s="58" t="e">
        <f>VLOOKUP($C71,'Daily_BU설비데이터 '!$C$20:$T$1000,5,0)</f>
        <v>#N/A</v>
      </c>
      <c r="H71" s="58" t="e">
        <f>VLOOKUP($C71,'Daily_BU설비데이터 '!$C$20:$T$1000,6,0)</f>
        <v>#N/A</v>
      </c>
      <c r="I71" s="58" t="e">
        <f>VLOOKUP($C71,'Daily_BU설비데이터 '!$C$20:$T$1000,7,0)</f>
        <v>#N/A</v>
      </c>
      <c r="J71" s="58" t="e">
        <f>VLOOKUP($C71,'Daily_BU설비데이터 '!$C$20:$T$1000,8,0)</f>
        <v>#N/A</v>
      </c>
      <c r="K71" s="58" t="e">
        <f>VLOOKUP($C71,'Daily_BU설비데이터 '!$C$20:$T$1000,9,0)</f>
        <v>#N/A</v>
      </c>
      <c r="L71" s="59" t="e">
        <f t="shared" si="23"/>
        <v>#N/A</v>
      </c>
      <c r="M71" s="68" t="e">
        <f>VLOOKUP($C71,'Daily_BU설비데이터 '!$C$20:$T$1000,11,0)</f>
        <v>#N/A</v>
      </c>
      <c r="N71" s="68" t="e">
        <f>VLOOKUP($C71,'Daily_BU설비데이터 '!$C$20:$T$1000,12,0)</f>
        <v>#N/A</v>
      </c>
      <c r="O71" s="68" t="e">
        <f>VLOOKUP($C71,'Daily_BU설비데이터 '!$C$20:$T$1000,13,0)</f>
        <v>#N/A</v>
      </c>
      <c r="P71" s="68" t="e">
        <f>VLOOKUP($C71,'Daily_BU설비데이터 '!$C$20:$T$1000,14,0)</f>
        <v>#N/A</v>
      </c>
      <c r="Q71" s="99" t="e">
        <f t="shared" si="24"/>
        <v>#N/A</v>
      </c>
      <c r="R71" s="100" t="e">
        <f t="shared" si="25"/>
        <v>#N/A</v>
      </c>
      <c r="S71" s="83" t="e">
        <f>VLOOKUP($C71,'Daily_BU설비데이터 '!$C$20:$T$1000,17,0)</f>
        <v>#N/A</v>
      </c>
      <c r="T71" s="83" t="e">
        <f>VLOOKUP($C71,'Daily_BU설비데이터 '!$C$20:$T$1000,18,0)</f>
        <v>#N/A</v>
      </c>
      <c r="U71" s="101" t="e">
        <f t="shared" si="26"/>
        <v>#N/A</v>
      </c>
      <c r="V71" s="45"/>
      <c r="W71" s="63"/>
      <c r="X71" s="64"/>
      <c r="Y71" s="64"/>
      <c r="Z71" s="65"/>
      <c r="AA71" s="45"/>
      <c r="AY71" s="66">
        <f t="shared" si="19"/>
        <v>70.8</v>
      </c>
      <c r="AZ71" s="66">
        <f t="shared" si="20"/>
        <v>900</v>
      </c>
      <c r="BA71" s="66">
        <f t="shared" si="21"/>
        <v>1000</v>
      </c>
      <c r="BB71" s="22">
        <f t="shared" si="22"/>
        <v>5.0000000000000001E-3</v>
      </c>
    </row>
    <row r="72" spans="2:54" x14ac:dyDescent="0.45">
      <c r="B72" s="45" t="s">
        <v>521</v>
      </c>
      <c r="C72" s="90"/>
      <c r="D72" s="56"/>
      <c r="E72" s="57"/>
      <c r="F72" s="58" t="e">
        <f>VLOOKUP($C72,'Daily_BU설비데이터 '!$C$20:$T$1000,4,0)</f>
        <v>#N/A</v>
      </c>
      <c r="G72" s="58" t="e">
        <f>VLOOKUP($C72,'Daily_BU설비데이터 '!$C$20:$T$1000,5,0)</f>
        <v>#N/A</v>
      </c>
      <c r="H72" s="58" t="e">
        <f>VLOOKUP($C72,'Daily_BU설비데이터 '!$C$20:$T$1000,6,0)</f>
        <v>#N/A</v>
      </c>
      <c r="I72" s="58" t="e">
        <f>VLOOKUP($C72,'Daily_BU설비데이터 '!$C$20:$T$1000,7,0)</f>
        <v>#N/A</v>
      </c>
      <c r="J72" s="58" t="e">
        <f>VLOOKUP($C72,'Daily_BU설비데이터 '!$C$20:$T$1000,8,0)</f>
        <v>#N/A</v>
      </c>
      <c r="K72" s="58" t="e">
        <f>VLOOKUP($C72,'Daily_BU설비데이터 '!$C$20:$T$1000,9,0)</f>
        <v>#N/A</v>
      </c>
      <c r="L72" s="59" t="e">
        <f t="shared" si="23"/>
        <v>#N/A</v>
      </c>
      <c r="M72" s="68" t="e">
        <f>VLOOKUP($C72,'Daily_BU설비데이터 '!$C$20:$T$1000,11,0)</f>
        <v>#N/A</v>
      </c>
      <c r="N72" s="68" t="e">
        <f>VLOOKUP($C72,'Daily_BU설비데이터 '!$C$20:$T$1000,12,0)</f>
        <v>#N/A</v>
      </c>
      <c r="O72" s="68" t="e">
        <f>VLOOKUP($C72,'Daily_BU설비데이터 '!$C$20:$T$1000,13,0)</f>
        <v>#N/A</v>
      </c>
      <c r="P72" s="68" t="e">
        <f>VLOOKUP($C72,'Daily_BU설비데이터 '!$C$20:$T$1000,14,0)</f>
        <v>#N/A</v>
      </c>
      <c r="Q72" s="99" t="e">
        <f t="shared" si="24"/>
        <v>#N/A</v>
      </c>
      <c r="R72" s="100" t="e">
        <f t="shared" si="25"/>
        <v>#N/A</v>
      </c>
      <c r="S72" s="83" t="e">
        <f>VLOOKUP($C72,'Daily_BU설비데이터 '!$C$20:$T$1000,17,0)</f>
        <v>#N/A</v>
      </c>
      <c r="T72" s="83" t="e">
        <f>VLOOKUP($C72,'Daily_BU설비데이터 '!$C$20:$T$1000,18,0)</f>
        <v>#N/A</v>
      </c>
      <c r="U72" s="101" t="e">
        <f t="shared" si="26"/>
        <v>#N/A</v>
      </c>
      <c r="V72" s="45"/>
      <c r="W72" s="63"/>
      <c r="X72" s="64"/>
      <c r="Y72" s="64"/>
      <c r="Z72" s="65"/>
      <c r="AA72" s="45"/>
      <c r="AY72" s="66">
        <f t="shared" si="19"/>
        <v>70.8</v>
      </c>
      <c r="AZ72" s="66">
        <f t="shared" si="20"/>
        <v>900</v>
      </c>
      <c r="BA72" s="66">
        <f t="shared" si="21"/>
        <v>1000</v>
      </c>
      <c r="BB72" s="22">
        <f t="shared" si="22"/>
        <v>5.0000000000000001E-3</v>
      </c>
    </row>
    <row r="73" spans="2:54" x14ac:dyDescent="0.45">
      <c r="B73" s="45" t="s">
        <v>522</v>
      </c>
      <c r="C73" s="90"/>
      <c r="D73" s="56"/>
      <c r="E73" s="84"/>
      <c r="F73" s="58" t="e">
        <f>VLOOKUP($C73,'Daily_BU설비데이터 '!$C$20:$T$1000,4,0)</f>
        <v>#N/A</v>
      </c>
      <c r="G73" s="58" t="e">
        <f>VLOOKUP($C73,'Daily_BU설비데이터 '!$C$20:$T$1000,5,0)</f>
        <v>#N/A</v>
      </c>
      <c r="H73" s="58" t="e">
        <f>VLOOKUP($C73,'Daily_BU설비데이터 '!$C$20:$T$1000,6,0)</f>
        <v>#N/A</v>
      </c>
      <c r="I73" s="58" t="e">
        <f>VLOOKUP($C73,'Daily_BU설비데이터 '!$C$20:$T$1000,7,0)</f>
        <v>#N/A</v>
      </c>
      <c r="J73" s="58" t="e">
        <f>VLOOKUP($C73,'Daily_BU설비데이터 '!$C$20:$T$1000,8,0)</f>
        <v>#N/A</v>
      </c>
      <c r="K73" s="58" t="e">
        <f>VLOOKUP($C73,'Daily_BU설비데이터 '!$C$20:$T$1000,9,0)</f>
        <v>#N/A</v>
      </c>
      <c r="L73" s="59" t="e">
        <f t="shared" si="23"/>
        <v>#N/A</v>
      </c>
      <c r="M73" s="68" t="e">
        <f>VLOOKUP($C73,'Daily_BU설비데이터 '!$C$20:$T$1000,11,0)</f>
        <v>#N/A</v>
      </c>
      <c r="N73" s="68" t="e">
        <f>VLOOKUP($C73,'Daily_BU설비데이터 '!$C$20:$T$1000,12,0)</f>
        <v>#N/A</v>
      </c>
      <c r="O73" s="68" t="e">
        <f>VLOOKUP($C73,'Daily_BU설비데이터 '!$C$20:$T$1000,13,0)</f>
        <v>#N/A</v>
      </c>
      <c r="P73" s="68" t="e">
        <f>VLOOKUP($C73,'Daily_BU설비데이터 '!$C$20:$T$1000,14,0)</f>
        <v>#N/A</v>
      </c>
      <c r="Q73" s="99" t="e">
        <f t="shared" si="24"/>
        <v>#N/A</v>
      </c>
      <c r="R73" s="100" t="e">
        <f t="shared" si="25"/>
        <v>#N/A</v>
      </c>
      <c r="S73" s="83" t="e">
        <f>VLOOKUP($C73,'Daily_BU설비데이터 '!$C$20:$T$1000,17,0)</f>
        <v>#N/A</v>
      </c>
      <c r="T73" s="83" t="e">
        <f>VLOOKUP($C73,'Daily_BU설비데이터 '!$C$20:$T$1000,18,0)</f>
        <v>#N/A</v>
      </c>
      <c r="U73" s="101" t="e">
        <f t="shared" si="26"/>
        <v>#N/A</v>
      </c>
      <c r="V73" s="45"/>
      <c r="W73" s="63"/>
      <c r="X73" s="64"/>
      <c r="Y73" s="64"/>
      <c r="Z73" s="65"/>
      <c r="AA73" s="45"/>
      <c r="AY73" s="66">
        <f t="shared" si="19"/>
        <v>70.8</v>
      </c>
      <c r="AZ73" s="66">
        <f t="shared" si="20"/>
        <v>900</v>
      </c>
      <c r="BA73" s="66">
        <f t="shared" si="21"/>
        <v>1000</v>
      </c>
      <c r="BB73" s="22">
        <f t="shared" si="22"/>
        <v>5.0000000000000001E-3</v>
      </c>
    </row>
    <row r="74" spans="2:54" x14ac:dyDescent="0.45">
      <c r="B74" s="45" t="s">
        <v>523</v>
      </c>
      <c r="C74" s="90"/>
      <c r="D74" s="56"/>
      <c r="E74" s="80"/>
      <c r="F74" s="58" t="e">
        <f>VLOOKUP($C74,'Daily_BU설비데이터 '!$C$20:$T$1000,4,0)</f>
        <v>#N/A</v>
      </c>
      <c r="G74" s="58" t="e">
        <f>VLOOKUP($C74,'Daily_BU설비데이터 '!$C$20:$T$1000,5,0)</f>
        <v>#N/A</v>
      </c>
      <c r="H74" s="58" t="e">
        <f>VLOOKUP($C74,'Daily_BU설비데이터 '!$C$20:$T$1000,6,0)</f>
        <v>#N/A</v>
      </c>
      <c r="I74" s="58" t="e">
        <f>VLOOKUP($C74,'Daily_BU설비데이터 '!$C$20:$T$1000,7,0)</f>
        <v>#N/A</v>
      </c>
      <c r="J74" s="58" t="e">
        <f>VLOOKUP($C74,'Daily_BU설비데이터 '!$C$20:$T$1000,8,0)</f>
        <v>#N/A</v>
      </c>
      <c r="K74" s="58" t="e">
        <f>VLOOKUP($C74,'Daily_BU설비데이터 '!$C$20:$T$1000,9,0)</f>
        <v>#N/A</v>
      </c>
      <c r="L74" s="59" t="e">
        <f t="shared" si="23"/>
        <v>#N/A</v>
      </c>
      <c r="M74" s="68" t="e">
        <f>VLOOKUP($C74,'Daily_BU설비데이터 '!$C$20:$T$1000,11,0)</f>
        <v>#N/A</v>
      </c>
      <c r="N74" s="68" t="e">
        <f>VLOOKUP($C74,'Daily_BU설비데이터 '!$C$20:$T$1000,12,0)</f>
        <v>#N/A</v>
      </c>
      <c r="O74" s="68" t="e">
        <f>VLOOKUP($C74,'Daily_BU설비데이터 '!$C$20:$T$1000,13,0)</f>
        <v>#N/A</v>
      </c>
      <c r="P74" s="68" t="e">
        <f>VLOOKUP($C74,'Daily_BU설비데이터 '!$C$20:$T$1000,14,0)</f>
        <v>#N/A</v>
      </c>
      <c r="Q74" s="99" t="e">
        <f t="shared" si="24"/>
        <v>#N/A</v>
      </c>
      <c r="R74" s="100" t="e">
        <f t="shared" si="25"/>
        <v>#N/A</v>
      </c>
      <c r="S74" s="83" t="e">
        <f>VLOOKUP($C74,'Daily_BU설비데이터 '!$C$20:$T$1000,17,0)</f>
        <v>#N/A</v>
      </c>
      <c r="T74" s="83" t="e">
        <f>VLOOKUP($C74,'Daily_BU설비데이터 '!$C$20:$T$1000,18,0)</f>
        <v>#N/A</v>
      </c>
      <c r="U74" s="101" t="e">
        <f t="shared" si="26"/>
        <v>#N/A</v>
      </c>
      <c r="V74" s="45"/>
      <c r="W74" s="63"/>
      <c r="X74" s="64"/>
      <c r="Y74" s="64"/>
      <c r="Z74" s="65"/>
      <c r="AA74" s="45"/>
      <c r="AY74" s="66">
        <f t="shared" si="19"/>
        <v>70.8</v>
      </c>
      <c r="AZ74" s="66">
        <f t="shared" si="20"/>
        <v>900</v>
      </c>
      <c r="BA74" s="66">
        <f t="shared" si="21"/>
        <v>1000</v>
      </c>
      <c r="BB74" s="22">
        <f t="shared" si="22"/>
        <v>5.0000000000000001E-3</v>
      </c>
    </row>
    <row r="75" spans="2:54" x14ac:dyDescent="0.45">
      <c r="B75" s="45" t="s">
        <v>524</v>
      </c>
      <c r="C75" s="90"/>
      <c r="D75" s="56"/>
      <c r="E75" s="84"/>
      <c r="F75" s="58" t="e">
        <f>VLOOKUP($C75,'Daily_BU설비데이터 '!$C$20:$T$1000,4,0)</f>
        <v>#N/A</v>
      </c>
      <c r="G75" s="58" t="e">
        <f>VLOOKUP($C75,'Daily_BU설비데이터 '!$C$20:$T$1000,5,0)</f>
        <v>#N/A</v>
      </c>
      <c r="H75" s="58" t="e">
        <f>VLOOKUP($C75,'Daily_BU설비데이터 '!$C$20:$T$1000,6,0)</f>
        <v>#N/A</v>
      </c>
      <c r="I75" s="58" t="e">
        <f>VLOOKUP($C75,'Daily_BU설비데이터 '!$C$20:$T$1000,7,0)</f>
        <v>#N/A</v>
      </c>
      <c r="J75" s="58" t="e">
        <f>VLOOKUP($C75,'Daily_BU설비데이터 '!$C$20:$T$1000,8,0)</f>
        <v>#N/A</v>
      </c>
      <c r="K75" s="58" t="e">
        <f>VLOOKUP($C75,'Daily_BU설비데이터 '!$C$20:$T$1000,9,0)</f>
        <v>#N/A</v>
      </c>
      <c r="L75" s="59" t="e">
        <f t="shared" si="23"/>
        <v>#N/A</v>
      </c>
      <c r="M75" s="68" t="e">
        <f>VLOOKUP($C75,'Daily_BU설비데이터 '!$C$20:$T$1000,11,0)</f>
        <v>#N/A</v>
      </c>
      <c r="N75" s="68" t="e">
        <f>VLOOKUP($C75,'Daily_BU설비데이터 '!$C$20:$T$1000,12,0)</f>
        <v>#N/A</v>
      </c>
      <c r="O75" s="68" t="e">
        <f>VLOOKUP($C75,'Daily_BU설비데이터 '!$C$20:$T$1000,13,0)</f>
        <v>#N/A</v>
      </c>
      <c r="P75" s="68" t="e">
        <f>VLOOKUP($C75,'Daily_BU설비데이터 '!$C$20:$T$1000,14,0)</f>
        <v>#N/A</v>
      </c>
      <c r="Q75" s="99" t="e">
        <f t="shared" si="24"/>
        <v>#N/A</v>
      </c>
      <c r="R75" s="100" t="e">
        <f t="shared" si="25"/>
        <v>#N/A</v>
      </c>
      <c r="S75" s="83" t="e">
        <f>VLOOKUP($C75,'Daily_BU설비데이터 '!$C$20:$T$1000,17,0)</f>
        <v>#N/A</v>
      </c>
      <c r="T75" s="83" t="e">
        <f>VLOOKUP($C75,'Daily_BU설비데이터 '!$C$20:$T$1000,18,0)</f>
        <v>#N/A</v>
      </c>
      <c r="U75" s="101" t="e">
        <f t="shared" si="26"/>
        <v>#N/A</v>
      </c>
      <c r="V75" s="45"/>
      <c r="W75" s="63"/>
      <c r="X75" s="64"/>
      <c r="Y75" s="64"/>
      <c r="Z75" s="65"/>
      <c r="AA75" s="45"/>
      <c r="AY75" s="66">
        <f t="shared" si="19"/>
        <v>70.8</v>
      </c>
      <c r="AZ75" s="66">
        <f t="shared" si="20"/>
        <v>900</v>
      </c>
      <c r="BA75" s="66">
        <f t="shared" si="21"/>
        <v>1000</v>
      </c>
      <c r="BB75" s="22">
        <f t="shared" si="22"/>
        <v>5.0000000000000001E-3</v>
      </c>
    </row>
    <row r="76" spans="2:54" x14ac:dyDescent="0.45">
      <c r="B76" s="45" t="s">
        <v>525</v>
      </c>
      <c r="C76" s="90"/>
      <c r="D76" s="56"/>
      <c r="E76" s="57"/>
      <c r="F76" s="58" t="e">
        <f>VLOOKUP($C76,'Daily_BU설비데이터 '!$C$20:$T$1000,4,0)</f>
        <v>#N/A</v>
      </c>
      <c r="G76" s="58" t="e">
        <f>VLOOKUP($C76,'Daily_BU설비데이터 '!$C$20:$T$1000,5,0)</f>
        <v>#N/A</v>
      </c>
      <c r="H76" s="58" t="e">
        <f>VLOOKUP($C76,'Daily_BU설비데이터 '!$C$20:$T$1000,6,0)</f>
        <v>#N/A</v>
      </c>
      <c r="I76" s="58" t="e">
        <f>VLOOKUP($C76,'Daily_BU설비데이터 '!$C$20:$T$1000,7,0)</f>
        <v>#N/A</v>
      </c>
      <c r="J76" s="58" t="e">
        <f>VLOOKUP($C76,'Daily_BU설비데이터 '!$C$20:$T$1000,8,0)</f>
        <v>#N/A</v>
      </c>
      <c r="K76" s="58" t="e">
        <f>VLOOKUP($C76,'Daily_BU설비데이터 '!$C$20:$T$1000,9,0)</f>
        <v>#N/A</v>
      </c>
      <c r="L76" s="59" t="e">
        <f t="shared" si="23"/>
        <v>#N/A</v>
      </c>
      <c r="M76" s="68" t="e">
        <f>VLOOKUP($C76,'Daily_BU설비데이터 '!$C$20:$T$1000,11,0)</f>
        <v>#N/A</v>
      </c>
      <c r="N76" s="68" t="e">
        <f>VLOOKUP($C76,'Daily_BU설비데이터 '!$C$20:$T$1000,12,0)</f>
        <v>#N/A</v>
      </c>
      <c r="O76" s="68" t="e">
        <f>VLOOKUP($C76,'Daily_BU설비데이터 '!$C$20:$T$1000,13,0)</f>
        <v>#N/A</v>
      </c>
      <c r="P76" s="68" t="e">
        <f>VLOOKUP($C76,'Daily_BU설비데이터 '!$C$20:$T$1000,14,0)</f>
        <v>#N/A</v>
      </c>
      <c r="Q76" s="99" t="e">
        <f t="shared" si="24"/>
        <v>#N/A</v>
      </c>
      <c r="R76" s="100" t="e">
        <f t="shared" si="25"/>
        <v>#N/A</v>
      </c>
      <c r="S76" s="83" t="e">
        <f>VLOOKUP($C76,'Daily_BU설비데이터 '!$C$20:$T$1000,17,0)</f>
        <v>#N/A</v>
      </c>
      <c r="T76" s="83" t="e">
        <f>VLOOKUP($C76,'Daily_BU설비데이터 '!$C$20:$T$1000,18,0)</f>
        <v>#N/A</v>
      </c>
      <c r="U76" s="101" t="e">
        <f t="shared" si="26"/>
        <v>#N/A</v>
      </c>
      <c r="V76" s="45"/>
      <c r="W76" s="63"/>
      <c r="X76" s="64"/>
      <c r="Y76" s="64"/>
      <c r="Z76" s="65"/>
      <c r="AA76" s="45"/>
      <c r="AY76" s="66">
        <f t="shared" si="19"/>
        <v>70.8</v>
      </c>
      <c r="AZ76" s="66">
        <f t="shared" si="20"/>
        <v>900</v>
      </c>
      <c r="BA76" s="66">
        <f t="shared" si="21"/>
        <v>1000</v>
      </c>
      <c r="BB76" s="22">
        <f t="shared" si="22"/>
        <v>5.0000000000000001E-3</v>
      </c>
    </row>
    <row r="77" spans="2:54" x14ac:dyDescent="0.45">
      <c r="B77" s="45" t="s">
        <v>526</v>
      </c>
      <c r="C77" s="90"/>
      <c r="D77" s="56"/>
      <c r="E77" s="80"/>
      <c r="F77" s="58" t="e">
        <f>VLOOKUP($C77,'Daily_BU설비데이터 '!$C$20:$T$1000,4,0)</f>
        <v>#N/A</v>
      </c>
      <c r="G77" s="58" t="e">
        <f>VLOOKUP($C77,'Daily_BU설비데이터 '!$C$20:$T$1000,5,0)</f>
        <v>#N/A</v>
      </c>
      <c r="H77" s="58" t="e">
        <f>VLOOKUP($C77,'Daily_BU설비데이터 '!$C$20:$T$1000,6,0)</f>
        <v>#N/A</v>
      </c>
      <c r="I77" s="58" t="e">
        <f>VLOOKUP($C77,'Daily_BU설비데이터 '!$C$20:$T$1000,7,0)</f>
        <v>#N/A</v>
      </c>
      <c r="J77" s="58" t="e">
        <f>VLOOKUP($C77,'Daily_BU설비데이터 '!$C$20:$T$1000,8,0)</f>
        <v>#N/A</v>
      </c>
      <c r="K77" s="58" t="e">
        <f>VLOOKUP($C77,'Daily_BU설비데이터 '!$C$20:$T$1000,9,0)</f>
        <v>#N/A</v>
      </c>
      <c r="L77" s="59" t="e">
        <f t="shared" si="23"/>
        <v>#N/A</v>
      </c>
      <c r="M77" s="68" t="e">
        <f>VLOOKUP($C77,'Daily_BU설비데이터 '!$C$20:$T$1000,11,0)</f>
        <v>#N/A</v>
      </c>
      <c r="N77" s="68" t="e">
        <f>VLOOKUP($C77,'Daily_BU설비데이터 '!$C$20:$T$1000,12,0)</f>
        <v>#N/A</v>
      </c>
      <c r="O77" s="68" t="e">
        <f>VLOOKUP($C77,'Daily_BU설비데이터 '!$C$20:$T$1000,13,0)</f>
        <v>#N/A</v>
      </c>
      <c r="P77" s="68" t="e">
        <f>VLOOKUP($C77,'Daily_BU설비데이터 '!$C$20:$T$1000,14,0)</f>
        <v>#N/A</v>
      </c>
      <c r="Q77" s="99" t="e">
        <f t="shared" si="24"/>
        <v>#N/A</v>
      </c>
      <c r="R77" s="100" t="e">
        <f t="shared" si="25"/>
        <v>#N/A</v>
      </c>
      <c r="S77" s="83" t="e">
        <f>VLOOKUP($C77,'Daily_BU설비데이터 '!$C$20:$T$1000,17,0)</f>
        <v>#N/A</v>
      </c>
      <c r="T77" s="83" t="e">
        <f>VLOOKUP($C77,'Daily_BU설비데이터 '!$C$20:$T$1000,18,0)</f>
        <v>#N/A</v>
      </c>
      <c r="U77" s="101" t="e">
        <f t="shared" si="26"/>
        <v>#N/A</v>
      </c>
      <c r="V77" s="45"/>
      <c r="W77" s="45"/>
      <c r="X77" s="64"/>
      <c r="Y77" s="64"/>
      <c r="Z77" s="65"/>
      <c r="AA77" s="45"/>
      <c r="AY77" s="66">
        <f t="shared" si="19"/>
        <v>70.8</v>
      </c>
      <c r="AZ77" s="66">
        <f t="shared" si="20"/>
        <v>900</v>
      </c>
      <c r="BA77" s="66">
        <f t="shared" si="21"/>
        <v>1000</v>
      </c>
      <c r="BB77" s="22">
        <f t="shared" si="22"/>
        <v>5.0000000000000001E-3</v>
      </c>
    </row>
    <row r="78" spans="2:54" x14ac:dyDescent="0.45">
      <c r="B78" s="45" t="s">
        <v>527</v>
      </c>
      <c r="C78" s="90"/>
      <c r="D78" s="56"/>
      <c r="E78" s="57"/>
      <c r="F78" s="58" t="e">
        <f>VLOOKUP($C78,'Daily_BU설비데이터 '!$C$20:$T$1000,4,0)</f>
        <v>#N/A</v>
      </c>
      <c r="G78" s="58" t="e">
        <f>VLOOKUP($C78,'Daily_BU설비데이터 '!$C$20:$T$1000,5,0)</f>
        <v>#N/A</v>
      </c>
      <c r="H78" s="58" t="e">
        <f>VLOOKUP($C78,'Daily_BU설비데이터 '!$C$20:$T$1000,6,0)</f>
        <v>#N/A</v>
      </c>
      <c r="I78" s="58" t="e">
        <f>VLOOKUP($C78,'Daily_BU설비데이터 '!$C$20:$T$1000,7,0)</f>
        <v>#N/A</v>
      </c>
      <c r="J78" s="58" t="e">
        <f>VLOOKUP($C78,'Daily_BU설비데이터 '!$C$20:$T$1000,8,0)</f>
        <v>#N/A</v>
      </c>
      <c r="K78" s="58" t="e">
        <f>VLOOKUP($C78,'Daily_BU설비데이터 '!$C$20:$T$1000,9,0)</f>
        <v>#N/A</v>
      </c>
      <c r="L78" s="59" t="e">
        <f t="shared" si="23"/>
        <v>#N/A</v>
      </c>
      <c r="M78" s="68" t="e">
        <f>VLOOKUP($C78,'Daily_BU설비데이터 '!$C$20:$T$1000,11,0)</f>
        <v>#N/A</v>
      </c>
      <c r="N78" s="68" t="e">
        <f>VLOOKUP($C78,'Daily_BU설비데이터 '!$C$20:$T$1000,12,0)</f>
        <v>#N/A</v>
      </c>
      <c r="O78" s="68" t="e">
        <f>VLOOKUP($C78,'Daily_BU설비데이터 '!$C$20:$T$1000,13,0)</f>
        <v>#N/A</v>
      </c>
      <c r="P78" s="68" t="e">
        <f>VLOOKUP($C78,'Daily_BU설비데이터 '!$C$20:$T$1000,14,0)</f>
        <v>#N/A</v>
      </c>
      <c r="Q78" s="99" t="e">
        <f t="shared" si="24"/>
        <v>#N/A</v>
      </c>
      <c r="R78" s="100" t="e">
        <f t="shared" si="25"/>
        <v>#N/A</v>
      </c>
      <c r="S78" s="83" t="e">
        <f>VLOOKUP($C78,'Daily_BU설비데이터 '!$C$20:$T$1000,17,0)</f>
        <v>#N/A</v>
      </c>
      <c r="T78" s="83" t="e">
        <f>VLOOKUP($C78,'Daily_BU설비데이터 '!$C$20:$T$1000,18,0)</f>
        <v>#N/A</v>
      </c>
      <c r="U78" s="101" t="e">
        <f t="shared" si="26"/>
        <v>#N/A</v>
      </c>
      <c r="V78" s="45"/>
      <c r="W78" s="45"/>
      <c r="X78" s="64"/>
      <c r="Y78" s="64"/>
      <c r="Z78" s="65"/>
      <c r="AA78" s="45"/>
      <c r="AY78" s="66">
        <f t="shared" si="19"/>
        <v>70.8</v>
      </c>
      <c r="AZ78" s="66">
        <f t="shared" si="20"/>
        <v>900</v>
      </c>
      <c r="BA78" s="66">
        <f t="shared" si="21"/>
        <v>1000</v>
      </c>
      <c r="BB78" s="22">
        <f t="shared" si="22"/>
        <v>5.0000000000000001E-3</v>
      </c>
    </row>
    <row r="79" spans="2:54" x14ac:dyDescent="0.45">
      <c r="B79" s="45" t="s">
        <v>528</v>
      </c>
      <c r="C79" s="90"/>
      <c r="D79" s="56"/>
      <c r="E79" s="84"/>
      <c r="F79" s="58" t="e">
        <f>VLOOKUP($C79,'Daily_BU설비데이터 '!$C$20:$T$1000,4,0)</f>
        <v>#N/A</v>
      </c>
      <c r="G79" s="58" t="e">
        <f>VLOOKUP($C79,'Daily_BU설비데이터 '!$C$20:$T$1000,5,0)</f>
        <v>#N/A</v>
      </c>
      <c r="H79" s="58" t="e">
        <f>VLOOKUP($C79,'Daily_BU설비데이터 '!$C$20:$T$1000,6,0)</f>
        <v>#N/A</v>
      </c>
      <c r="I79" s="58" t="e">
        <f>VLOOKUP($C79,'Daily_BU설비데이터 '!$C$20:$T$1000,7,0)</f>
        <v>#N/A</v>
      </c>
      <c r="J79" s="58" t="e">
        <f>VLOOKUP($C79,'Daily_BU설비데이터 '!$C$20:$T$1000,8,0)</f>
        <v>#N/A</v>
      </c>
      <c r="K79" s="58" t="e">
        <f>VLOOKUP($C79,'Daily_BU설비데이터 '!$C$20:$T$1000,9,0)</f>
        <v>#N/A</v>
      </c>
      <c r="L79" s="59" t="e">
        <f t="shared" si="23"/>
        <v>#N/A</v>
      </c>
      <c r="M79" s="68" t="e">
        <f>VLOOKUP($C79,'Daily_BU설비데이터 '!$C$20:$T$1000,11,0)</f>
        <v>#N/A</v>
      </c>
      <c r="N79" s="68" t="e">
        <f>VLOOKUP($C79,'Daily_BU설비데이터 '!$C$20:$T$1000,12,0)</f>
        <v>#N/A</v>
      </c>
      <c r="O79" s="68" t="e">
        <f>VLOOKUP($C79,'Daily_BU설비데이터 '!$C$20:$T$1000,13,0)</f>
        <v>#N/A</v>
      </c>
      <c r="P79" s="68" t="e">
        <f>VLOOKUP($C79,'Daily_BU설비데이터 '!$C$20:$T$1000,14,0)</f>
        <v>#N/A</v>
      </c>
      <c r="Q79" s="99" t="e">
        <f t="shared" si="24"/>
        <v>#N/A</v>
      </c>
      <c r="R79" s="100" t="e">
        <f t="shared" si="25"/>
        <v>#N/A</v>
      </c>
      <c r="S79" s="83" t="e">
        <f>VLOOKUP($C79,'Daily_BU설비데이터 '!$C$20:$T$1000,17,0)</f>
        <v>#N/A</v>
      </c>
      <c r="T79" s="83" t="e">
        <f>VLOOKUP($C79,'Daily_BU설비데이터 '!$C$20:$T$1000,18,0)</f>
        <v>#N/A</v>
      </c>
      <c r="U79" s="101" t="e">
        <f t="shared" si="26"/>
        <v>#N/A</v>
      </c>
      <c r="V79" s="45"/>
      <c r="W79" s="45"/>
      <c r="X79" s="64"/>
      <c r="Y79" s="64"/>
      <c r="Z79" s="65"/>
      <c r="AA79" s="45"/>
      <c r="AY79" s="66">
        <f t="shared" si="19"/>
        <v>70.8</v>
      </c>
      <c r="AZ79" s="66">
        <f t="shared" si="20"/>
        <v>900</v>
      </c>
      <c r="BA79" s="66">
        <f t="shared" si="21"/>
        <v>1000</v>
      </c>
      <c r="BB79" s="22">
        <f t="shared" si="22"/>
        <v>5.0000000000000001E-3</v>
      </c>
    </row>
    <row r="80" spans="2:54" x14ac:dyDescent="0.45">
      <c r="B80" s="45" t="s">
        <v>529</v>
      </c>
      <c r="C80" s="90"/>
      <c r="D80" s="56"/>
      <c r="E80" s="57"/>
      <c r="F80" s="58" t="e">
        <f>VLOOKUP($C80,'Daily_BU설비데이터 '!$C$20:$T$1000,4,0)</f>
        <v>#N/A</v>
      </c>
      <c r="G80" s="58" t="e">
        <f>VLOOKUP($C80,'Daily_BU설비데이터 '!$C$20:$T$1000,5,0)</f>
        <v>#N/A</v>
      </c>
      <c r="H80" s="58" t="e">
        <f>VLOOKUP($C80,'Daily_BU설비데이터 '!$C$20:$T$1000,6,0)</f>
        <v>#N/A</v>
      </c>
      <c r="I80" s="58" t="e">
        <f>VLOOKUP($C80,'Daily_BU설비데이터 '!$C$20:$T$1000,7,0)</f>
        <v>#N/A</v>
      </c>
      <c r="J80" s="58" t="e">
        <f>VLOOKUP($C80,'Daily_BU설비데이터 '!$C$20:$T$1000,8,0)</f>
        <v>#N/A</v>
      </c>
      <c r="K80" s="58" t="e">
        <f>VLOOKUP($C80,'Daily_BU설비데이터 '!$C$20:$T$1000,9,0)</f>
        <v>#N/A</v>
      </c>
      <c r="L80" s="59" t="e">
        <f t="shared" si="23"/>
        <v>#N/A</v>
      </c>
      <c r="M80" s="68" t="e">
        <f>VLOOKUP($C80,'Daily_BU설비데이터 '!$C$20:$T$1000,11,0)</f>
        <v>#N/A</v>
      </c>
      <c r="N80" s="68" t="e">
        <f>VLOOKUP($C80,'Daily_BU설비데이터 '!$C$20:$T$1000,12,0)</f>
        <v>#N/A</v>
      </c>
      <c r="O80" s="68" t="e">
        <f>VLOOKUP($C80,'Daily_BU설비데이터 '!$C$20:$T$1000,13,0)</f>
        <v>#N/A</v>
      </c>
      <c r="P80" s="68" t="e">
        <f>VLOOKUP($C80,'Daily_BU설비데이터 '!$C$20:$T$1000,14,0)</f>
        <v>#N/A</v>
      </c>
      <c r="Q80" s="99" t="e">
        <f t="shared" si="24"/>
        <v>#N/A</v>
      </c>
      <c r="R80" s="100" t="e">
        <f t="shared" si="25"/>
        <v>#N/A</v>
      </c>
      <c r="S80" s="83" t="e">
        <f>VLOOKUP($C80,'Daily_BU설비데이터 '!$C$20:$T$1000,17,0)</f>
        <v>#N/A</v>
      </c>
      <c r="T80" s="83" t="e">
        <f>VLOOKUP($C80,'Daily_BU설비데이터 '!$C$20:$T$1000,18,0)</f>
        <v>#N/A</v>
      </c>
      <c r="U80" s="101" t="e">
        <f t="shared" si="26"/>
        <v>#N/A</v>
      </c>
      <c r="V80" s="45"/>
      <c r="W80" s="45"/>
      <c r="X80" s="64"/>
      <c r="Y80" s="64"/>
      <c r="Z80" s="65"/>
      <c r="AA80" s="45"/>
      <c r="AY80" s="66">
        <f t="shared" si="19"/>
        <v>70.8</v>
      </c>
      <c r="AZ80" s="66">
        <f t="shared" si="20"/>
        <v>900</v>
      </c>
      <c r="BA80" s="66">
        <f t="shared" si="21"/>
        <v>1000</v>
      </c>
      <c r="BB80" s="22">
        <f t="shared" si="22"/>
        <v>5.0000000000000001E-3</v>
      </c>
    </row>
    <row r="81" spans="2:54" x14ac:dyDescent="0.45">
      <c r="B81" s="45" t="s">
        <v>530</v>
      </c>
      <c r="C81" s="90"/>
      <c r="D81" s="56"/>
      <c r="E81" s="84"/>
      <c r="F81" s="58" t="e">
        <f>VLOOKUP($C81,'Daily_BU설비데이터 '!$C$20:$T$1000,4,0)</f>
        <v>#N/A</v>
      </c>
      <c r="G81" s="58" t="e">
        <f>VLOOKUP($C81,'Daily_BU설비데이터 '!$C$20:$T$1000,5,0)</f>
        <v>#N/A</v>
      </c>
      <c r="H81" s="58" t="e">
        <f>VLOOKUP($C81,'Daily_BU설비데이터 '!$C$20:$T$1000,6,0)</f>
        <v>#N/A</v>
      </c>
      <c r="I81" s="58" t="e">
        <f>VLOOKUP($C81,'Daily_BU설비데이터 '!$C$20:$T$1000,7,0)</f>
        <v>#N/A</v>
      </c>
      <c r="J81" s="58" t="e">
        <f>VLOOKUP($C81,'Daily_BU설비데이터 '!$C$20:$T$1000,8,0)</f>
        <v>#N/A</v>
      </c>
      <c r="K81" s="58" t="e">
        <f>VLOOKUP($C81,'Daily_BU설비데이터 '!$C$20:$T$1000,9,0)</f>
        <v>#N/A</v>
      </c>
      <c r="L81" s="59" t="e">
        <f t="shared" si="23"/>
        <v>#N/A</v>
      </c>
      <c r="M81" s="68" t="e">
        <f>VLOOKUP($C81,'Daily_BU설비데이터 '!$C$20:$T$1000,11,0)</f>
        <v>#N/A</v>
      </c>
      <c r="N81" s="68" t="e">
        <f>VLOOKUP($C81,'Daily_BU설비데이터 '!$C$20:$T$1000,12,0)</f>
        <v>#N/A</v>
      </c>
      <c r="O81" s="68" t="e">
        <f>VLOOKUP($C81,'Daily_BU설비데이터 '!$C$20:$T$1000,13,0)</f>
        <v>#N/A</v>
      </c>
      <c r="P81" s="68" t="e">
        <f>VLOOKUP($C81,'Daily_BU설비데이터 '!$C$20:$T$1000,14,0)</f>
        <v>#N/A</v>
      </c>
      <c r="Q81" s="99" t="e">
        <f t="shared" si="24"/>
        <v>#N/A</v>
      </c>
      <c r="R81" s="100" t="e">
        <f t="shared" si="25"/>
        <v>#N/A</v>
      </c>
      <c r="S81" s="83" t="e">
        <f>VLOOKUP($C81,'Daily_BU설비데이터 '!$C$20:$T$1000,17,0)</f>
        <v>#N/A</v>
      </c>
      <c r="T81" s="83" t="e">
        <f>VLOOKUP($C81,'Daily_BU설비데이터 '!$C$20:$T$1000,18,0)</f>
        <v>#N/A</v>
      </c>
      <c r="U81" s="101" t="e">
        <f t="shared" si="26"/>
        <v>#N/A</v>
      </c>
      <c r="V81" s="45"/>
      <c r="W81" s="45"/>
      <c r="X81" s="64"/>
      <c r="Y81" s="64"/>
      <c r="Z81" s="65"/>
      <c r="AA81" s="45"/>
      <c r="AY81" s="66">
        <f t="shared" si="19"/>
        <v>70.8</v>
      </c>
      <c r="AZ81" s="66">
        <f t="shared" si="20"/>
        <v>900</v>
      </c>
      <c r="BA81" s="66">
        <f t="shared" si="21"/>
        <v>1000</v>
      </c>
      <c r="BB81" s="22">
        <f t="shared" si="22"/>
        <v>5.0000000000000001E-3</v>
      </c>
    </row>
    <row r="82" spans="2:54" x14ac:dyDescent="0.45">
      <c r="B82" s="45" t="s">
        <v>531</v>
      </c>
      <c r="C82" s="90"/>
      <c r="D82" s="56"/>
      <c r="E82" s="80"/>
      <c r="F82" s="58" t="e">
        <f>VLOOKUP($C82,'Daily_BU설비데이터 '!$C$20:$T$1000,4,0)</f>
        <v>#N/A</v>
      </c>
      <c r="G82" s="58" t="e">
        <f>VLOOKUP($C82,'Daily_BU설비데이터 '!$C$20:$T$1000,5,0)</f>
        <v>#N/A</v>
      </c>
      <c r="H82" s="58" t="e">
        <f>VLOOKUP($C82,'Daily_BU설비데이터 '!$C$20:$T$1000,6,0)</f>
        <v>#N/A</v>
      </c>
      <c r="I82" s="58" t="e">
        <f>VLOOKUP($C82,'Daily_BU설비데이터 '!$C$20:$T$1000,7,0)</f>
        <v>#N/A</v>
      </c>
      <c r="J82" s="58" t="e">
        <f>VLOOKUP($C82,'Daily_BU설비데이터 '!$C$20:$T$1000,8,0)</f>
        <v>#N/A</v>
      </c>
      <c r="K82" s="58" t="e">
        <f>VLOOKUP($C82,'Daily_BU설비데이터 '!$C$20:$T$1000,9,0)</f>
        <v>#N/A</v>
      </c>
      <c r="L82" s="59" t="e">
        <f t="shared" ref="L82:L145" si="27">1/2*((F82*I82+H82*K82+J82*G82)-(G82*H82+I82*J82+K82*F82))/0.1582*100</f>
        <v>#N/A</v>
      </c>
      <c r="M82" s="68" t="e">
        <f>VLOOKUP($C82,'Daily_BU설비데이터 '!$C$20:$T$1000,11,0)</f>
        <v>#N/A</v>
      </c>
      <c r="N82" s="68" t="e">
        <f>VLOOKUP($C82,'Daily_BU설비데이터 '!$C$20:$T$1000,12,0)</f>
        <v>#N/A</v>
      </c>
      <c r="O82" s="68" t="e">
        <f>VLOOKUP($C82,'Daily_BU설비데이터 '!$C$20:$T$1000,13,0)</f>
        <v>#N/A</v>
      </c>
      <c r="P82" s="68" t="e">
        <f>VLOOKUP($C82,'Daily_BU설비데이터 '!$C$20:$T$1000,14,0)</f>
        <v>#N/A</v>
      </c>
      <c r="Q82" s="99" t="e">
        <f t="shared" ref="Q82:Q145" si="28">O82/P82</f>
        <v>#N/A</v>
      </c>
      <c r="R82" s="100" t="e">
        <f t="shared" ref="R82:R145" si="29">SQRT(POWER(M82-$M$12,2)+POWER(N82-$N$12,2))</f>
        <v>#N/A</v>
      </c>
      <c r="S82" s="83" t="e">
        <f>VLOOKUP($C82,'Daily_BU설비데이터 '!$C$20:$T$1000,17,0)</f>
        <v>#N/A</v>
      </c>
      <c r="T82" s="83" t="e">
        <f>VLOOKUP($C82,'Daily_BU설비데이터 '!$C$20:$T$1000,18,0)</f>
        <v>#N/A</v>
      </c>
      <c r="U82" s="101" t="e">
        <f t="shared" ref="U82:U145" si="30">(-449*((M82-0.332)/(N82-0.1858))^3)+(3525*((M82-0.332)/(N82-0.1858))^2)+(-6823.3*(M82-0.332)/(N82-0.1858))+5520.33</f>
        <v>#N/A</v>
      </c>
      <c r="V82" s="45"/>
      <c r="W82" s="45"/>
      <c r="X82" s="64"/>
      <c r="Y82" s="64"/>
      <c r="Z82" s="65"/>
      <c r="AA82" s="45"/>
      <c r="AY82" s="66">
        <f t="shared" si="19"/>
        <v>70.8</v>
      </c>
      <c r="AZ82" s="66">
        <f t="shared" si="20"/>
        <v>900</v>
      </c>
      <c r="BA82" s="66">
        <f t="shared" si="21"/>
        <v>1000</v>
      </c>
      <c r="BB82" s="22">
        <f t="shared" si="22"/>
        <v>5.0000000000000001E-3</v>
      </c>
    </row>
    <row r="83" spans="2:54" ht="16" customHeight="1" x14ac:dyDescent="0.45">
      <c r="B83" s="45" t="s">
        <v>532</v>
      </c>
      <c r="C83" s="90"/>
      <c r="D83" s="56"/>
      <c r="E83" s="84"/>
      <c r="F83" s="58" t="e">
        <f>VLOOKUP($C83,'Daily_BU설비데이터 '!$C$20:$T$1000,4,0)</f>
        <v>#N/A</v>
      </c>
      <c r="G83" s="58" t="e">
        <f>VLOOKUP($C83,'Daily_BU설비데이터 '!$C$20:$T$1000,5,0)</f>
        <v>#N/A</v>
      </c>
      <c r="H83" s="58" t="e">
        <f>VLOOKUP($C83,'Daily_BU설비데이터 '!$C$20:$T$1000,6,0)</f>
        <v>#N/A</v>
      </c>
      <c r="I83" s="58" t="e">
        <f>VLOOKUP($C83,'Daily_BU설비데이터 '!$C$20:$T$1000,7,0)</f>
        <v>#N/A</v>
      </c>
      <c r="J83" s="58" t="e">
        <f>VLOOKUP($C83,'Daily_BU설비데이터 '!$C$20:$T$1000,8,0)</f>
        <v>#N/A</v>
      </c>
      <c r="K83" s="58" t="e">
        <f>VLOOKUP($C83,'Daily_BU설비데이터 '!$C$20:$T$1000,9,0)</f>
        <v>#N/A</v>
      </c>
      <c r="L83" s="59" t="e">
        <f t="shared" si="27"/>
        <v>#N/A</v>
      </c>
      <c r="M83" s="68" t="e">
        <f>VLOOKUP($C83,'Daily_BU설비데이터 '!$C$20:$T$1000,11,0)</f>
        <v>#N/A</v>
      </c>
      <c r="N83" s="68" t="e">
        <f>VLOOKUP($C83,'Daily_BU설비데이터 '!$C$20:$T$1000,12,0)</f>
        <v>#N/A</v>
      </c>
      <c r="O83" s="68" t="e">
        <f>VLOOKUP($C83,'Daily_BU설비데이터 '!$C$20:$T$1000,13,0)</f>
        <v>#N/A</v>
      </c>
      <c r="P83" s="68" t="e">
        <f>VLOOKUP($C83,'Daily_BU설비데이터 '!$C$20:$T$1000,14,0)</f>
        <v>#N/A</v>
      </c>
      <c r="Q83" s="99" t="e">
        <f t="shared" si="28"/>
        <v>#N/A</v>
      </c>
      <c r="R83" s="100" t="e">
        <f t="shared" si="29"/>
        <v>#N/A</v>
      </c>
      <c r="S83" s="83" t="e">
        <f>VLOOKUP($C83,'Daily_BU설비데이터 '!$C$20:$T$1000,17,0)</f>
        <v>#N/A</v>
      </c>
      <c r="T83" s="83" t="e">
        <f>VLOOKUP($C83,'Daily_BU설비데이터 '!$C$20:$T$1000,18,0)</f>
        <v>#N/A</v>
      </c>
      <c r="U83" s="101" t="e">
        <f t="shared" si="30"/>
        <v>#N/A</v>
      </c>
      <c r="V83" s="45"/>
      <c r="W83" s="45"/>
      <c r="X83" s="64"/>
      <c r="Y83" s="64"/>
      <c r="Z83" s="65"/>
      <c r="AA83" s="45"/>
      <c r="AY83" s="66">
        <f t="shared" si="19"/>
        <v>70.8</v>
      </c>
      <c r="AZ83" s="66">
        <f t="shared" si="20"/>
        <v>900</v>
      </c>
      <c r="BA83" s="66">
        <f t="shared" si="21"/>
        <v>1000</v>
      </c>
      <c r="BB83" s="22">
        <f t="shared" si="22"/>
        <v>5.0000000000000001E-3</v>
      </c>
    </row>
    <row r="84" spans="2:54" ht="16" customHeight="1" x14ac:dyDescent="0.45">
      <c r="B84" s="45" t="s">
        <v>533</v>
      </c>
      <c r="C84" s="90"/>
      <c r="D84" s="56"/>
      <c r="E84" s="57"/>
      <c r="F84" s="58" t="e">
        <f>VLOOKUP($C84,'Daily_BU설비데이터 '!$C$20:$T$1000,4,0)</f>
        <v>#N/A</v>
      </c>
      <c r="G84" s="58" t="e">
        <f>VLOOKUP($C84,'Daily_BU설비데이터 '!$C$20:$T$1000,5,0)</f>
        <v>#N/A</v>
      </c>
      <c r="H84" s="58" t="e">
        <f>VLOOKUP($C84,'Daily_BU설비데이터 '!$C$20:$T$1000,6,0)</f>
        <v>#N/A</v>
      </c>
      <c r="I84" s="58" t="e">
        <f>VLOOKUP($C84,'Daily_BU설비데이터 '!$C$20:$T$1000,7,0)</f>
        <v>#N/A</v>
      </c>
      <c r="J84" s="58" t="e">
        <f>VLOOKUP($C84,'Daily_BU설비데이터 '!$C$20:$T$1000,8,0)</f>
        <v>#N/A</v>
      </c>
      <c r="K84" s="58" t="e">
        <f>VLOOKUP($C84,'Daily_BU설비데이터 '!$C$20:$T$1000,9,0)</f>
        <v>#N/A</v>
      </c>
      <c r="L84" s="59" t="e">
        <f t="shared" si="27"/>
        <v>#N/A</v>
      </c>
      <c r="M84" s="68" t="e">
        <f>VLOOKUP($C84,'Daily_BU설비데이터 '!$C$20:$T$1000,11,0)</f>
        <v>#N/A</v>
      </c>
      <c r="N84" s="68" t="e">
        <f>VLOOKUP($C84,'Daily_BU설비데이터 '!$C$20:$T$1000,12,0)</f>
        <v>#N/A</v>
      </c>
      <c r="O84" s="68" t="e">
        <f>VLOOKUP($C84,'Daily_BU설비데이터 '!$C$20:$T$1000,13,0)</f>
        <v>#N/A</v>
      </c>
      <c r="P84" s="68" t="e">
        <f>VLOOKUP($C84,'Daily_BU설비데이터 '!$C$20:$T$1000,14,0)</f>
        <v>#N/A</v>
      </c>
      <c r="Q84" s="99" t="e">
        <f t="shared" si="28"/>
        <v>#N/A</v>
      </c>
      <c r="R84" s="100" t="e">
        <f t="shared" si="29"/>
        <v>#N/A</v>
      </c>
      <c r="S84" s="83" t="e">
        <f>VLOOKUP($C84,'Daily_BU설비데이터 '!$C$20:$T$1000,17,0)</f>
        <v>#N/A</v>
      </c>
      <c r="T84" s="83" t="e">
        <f>VLOOKUP($C84,'Daily_BU설비데이터 '!$C$20:$T$1000,18,0)</f>
        <v>#N/A</v>
      </c>
      <c r="U84" s="101" t="e">
        <f t="shared" si="30"/>
        <v>#N/A</v>
      </c>
      <c r="V84" s="45"/>
      <c r="W84" s="45"/>
      <c r="X84" s="45"/>
      <c r="Y84" s="45"/>
      <c r="Z84" s="45"/>
      <c r="AA84" s="45"/>
      <c r="AY84" s="66">
        <f t="shared" si="19"/>
        <v>70.8</v>
      </c>
      <c r="AZ84" s="66">
        <f t="shared" si="20"/>
        <v>900</v>
      </c>
      <c r="BA84" s="66">
        <f t="shared" si="21"/>
        <v>1000</v>
      </c>
      <c r="BB84" s="22">
        <f t="shared" si="22"/>
        <v>5.0000000000000001E-3</v>
      </c>
    </row>
    <row r="85" spans="2:54" ht="16" customHeight="1" x14ac:dyDescent="0.45">
      <c r="B85" s="45" t="s">
        <v>534</v>
      </c>
      <c r="C85" s="90"/>
      <c r="D85" s="67"/>
      <c r="E85" s="57"/>
      <c r="F85" s="58" t="e">
        <f>VLOOKUP($C85,'Daily_BU설비데이터 '!$C$20:$T$1000,4,0)</f>
        <v>#N/A</v>
      </c>
      <c r="G85" s="58" t="e">
        <f>VLOOKUP($C85,'Daily_BU설비데이터 '!$C$20:$T$1000,5,0)</f>
        <v>#N/A</v>
      </c>
      <c r="H85" s="58" t="e">
        <f>VLOOKUP($C85,'Daily_BU설비데이터 '!$C$20:$T$1000,6,0)</f>
        <v>#N/A</v>
      </c>
      <c r="I85" s="58" t="e">
        <f>VLOOKUP($C85,'Daily_BU설비데이터 '!$C$20:$T$1000,7,0)</f>
        <v>#N/A</v>
      </c>
      <c r="J85" s="58" t="e">
        <f>VLOOKUP($C85,'Daily_BU설비데이터 '!$C$20:$T$1000,8,0)</f>
        <v>#N/A</v>
      </c>
      <c r="K85" s="58" t="e">
        <f>VLOOKUP($C85,'Daily_BU설비데이터 '!$C$20:$T$1000,9,0)</f>
        <v>#N/A</v>
      </c>
      <c r="L85" s="59" t="e">
        <f t="shared" si="27"/>
        <v>#N/A</v>
      </c>
      <c r="M85" s="68" t="e">
        <f>VLOOKUP($C85,'Daily_BU설비데이터 '!$C$20:$T$1000,11,0)</f>
        <v>#N/A</v>
      </c>
      <c r="N85" s="68" t="e">
        <f>VLOOKUP($C85,'Daily_BU설비데이터 '!$C$20:$T$1000,12,0)</f>
        <v>#N/A</v>
      </c>
      <c r="O85" s="68" t="e">
        <f>VLOOKUP($C85,'Daily_BU설비데이터 '!$C$20:$T$1000,13,0)</f>
        <v>#N/A</v>
      </c>
      <c r="P85" s="68" t="e">
        <f>VLOOKUP($C85,'Daily_BU설비데이터 '!$C$20:$T$1000,14,0)</f>
        <v>#N/A</v>
      </c>
      <c r="Q85" s="99" t="e">
        <f t="shared" si="28"/>
        <v>#N/A</v>
      </c>
      <c r="R85" s="100" t="e">
        <f t="shared" si="29"/>
        <v>#N/A</v>
      </c>
      <c r="S85" s="83" t="e">
        <f>VLOOKUP($C85,'Daily_BU설비데이터 '!$C$20:$T$1000,17,0)</f>
        <v>#N/A</v>
      </c>
      <c r="T85" s="83" t="e">
        <f>VLOOKUP($C85,'Daily_BU설비데이터 '!$C$20:$T$1000,18,0)</f>
        <v>#N/A</v>
      </c>
      <c r="U85" s="101" t="e">
        <f t="shared" si="30"/>
        <v>#N/A</v>
      </c>
      <c r="V85" s="45"/>
      <c r="W85" s="45"/>
      <c r="X85" s="45"/>
      <c r="Y85" s="45"/>
      <c r="Z85" s="45"/>
      <c r="AA85" s="45"/>
      <c r="AY85" s="66">
        <f t="shared" si="19"/>
        <v>70.8</v>
      </c>
      <c r="AZ85" s="66">
        <f t="shared" si="20"/>
        <v>900</v>
      </c>
      <c r="BA85" s="66">
        <f t="shared" si="21"/>
        <v>1000</v>
      </c>
      <c r="BB85" s="22">
        <f t="shared" si="22"/>
        <v>5.0000000000000001E-3</v>
      </c>
    </row>
    <row r="86" spans="2:54" ht="16" customHeight="1" x14ac:dyDescent="0.45">
      <c r="B86" s="45" t="s">
        <v>535</v>
      </c>
      <c r="C86" s="90"/>
      <c r="D86" s="56"/>
      <c r="E86" s="84"/>
      <c r="F86" s="58" t="e">
        <f>VLOOKUP($C86,'Daily_BU설비데이터 '!$C$20:$T$1000,4,0)</f>
        <v>#N/A</v>
      </c>
      <c r="G86" s="58" t="e">
        <f>VLOOKUP($C86,'Daily_BU설비데이터 '!$C$20:$T$1000,5,0)</f>
        <v>#N/A</v>
      </c>
      <c r="H86" s="58" t="e">
        <f>VLOOKUP($C86,'Daily_BU설비데이터 '!$C$20:$T$1000,6,0)</f>
        <v>#N/A</v>
      </c>
      <c r="I86" s="58" t="e">
        <f>VLOOKUP($C86,'Daily_BU설비데이터 '!$C$20:$T$1000,7,0)</f>
        <v>#N/A</v>
      </c>
      <c r="J86" s="58" t="e">
        <f>VLOOKUP($C86,'Daily_BU설비데이터 '!$C$20:$T$1000,8,0)</f>
        <v>#N/A</v>
      </c>
      <c r="K86" s="58" t="e">
        <f>VLOOKUP($C86,'Daily_BU설비데이터 '!$C$20:$T$1000,9,0)</f>
        <v>#N/A</v>
      </c>
      <c r="L86" s="59" t="e">
        <f t="shared" si="27"/>
        <v>#N/A</v>
      </c>
      <c r="M86" s="68" t="e">
        <f>VLOOKUP($C86,'Daily_BU설비데이터 '!$C$20:$T$1000,11,0)</f>
        <v>#N/A</v>
      </c>
      <c r="N86" s="68" t="e">
        <f>VLOOKUP($C86,'Daily_BU설비데이터 '!$C$20:$T$1000,12,0)</f>
        <v>#N/A</v>
      </c>
      <c r="O86" s="68" t="e">
        <f>VLOOKUP($C86,'Daily_BU설비데이터 '!$C$20:$T$1000,13,0)</f>
        <v>#N/A</v>
      </c>
      <c r="P86" s="68" t="e">
        <f>VLOOKUP($C86,'Daily_BU설비데이터 '!$C$20:$T$1000,14,0)</f>
        <v>#N/A</v>
      </c>
      <c r="Q86" s="99" t="e">
        <f t="shared" si="28"/>
        <v>#N/A</v>
      </c>
      <c r="R86" s="100" t="e">
        <f t="shared" si="29"/>
        <v>#N/A</v>
      </c>
      <c r="S86" s="83" t="e">
        <f>VLOOKUP($C86,'Daily_BU설비데이터 '!$C$20:$T$1000,17,0)</f>
        <v>#N/A</v>
      </c>
      <c r="T86" s="83" t="e">
        <f>VLOOKUP($C86,'Daily_BU설비데이터 '!$C$20:$T$1000,18,0)</f>
        <v>#N/A</v>
      </c>
      <c r="U86" s="101" t="e">
        <f t="shared" si="30"/>
        <v>#N/A</v>
      </c>
      <c r="V86" s="45"/>
      <c r="W86" s="45"/>
      <c r="X86" s="45"/>
      <c r="Y86" s="45"/>
      <c r="Z86" s="45"/>
      <c r="AA86" s="45"/>
      <c r="AY86" s="66">
        <f t="shared" si="19"/>
        <v>70.8</v>
      </c>
      <c r="AZ86" s="66">
        <f t="shared" si="20"/>
        <v>900</v>
      </c>
      <c r="BA86" s="66">
        <f t="shared" si="21"/>
        <v>1000</v>
      </c>
      <c r="BB86" s="22">
        <f t="shared" si="22"/>
        <v>5.0000000000000001E-3</v>
      </c>
    </row>
    <row r="87" spans="2:54" x14ac:dyDescent="0.45">
      <c r="B87" s="45" t="s">
        <v>536</v>
      </c>
      <c r="C87" s="90"/>
      <c r="D87" s="56"/>
      <c r="E87" s="84"/>
      <c r="F87" s="58" t="e">
        <f>VLOOKUP($C87,'Daily_BU설비데이터 '!$C$20:$T$1000,4,0)</f>
        <v>#N/A</v>
      </c>
      <c r="G87" s="58" t="e">
        <f>VLOOKUP($C87,'Daily_BU설비데이터 '!$C$20:$T$1000,5,0)</f>
        <v>#N/A</v>
      </c>
      <c r="H87" s="58" t="e">
        <f>VLOOKUP($C87,'Daily_BU설비데이터 '!$C$20:$T$1000,6,0)</f>
        <v>#N/A</v>
      </c>
      <c r="I87" s="58" t="e">
        <f>VLOOKUP($C87,'Daily_BU설비데이터 '!$C$20:$T$1000,7,0)</f>
        <v>#N/A</v>
      </c>
      <c r="J87" s="58" t="e">
        <f>VLOOKUP($C87,'Daily_BU설비데이터 '!$C$20:$T$1000,8,0)</f>
        <v>#N/A</v>
      </c>
      <c r="K87" s="58" t="e">
        <f>VLOOKUP($C87,'Daily_BU설비데이터 '!$C$20:$T$1000,9,0)</f>
        <v>#N/A</v>
      </c>
      <c r="L87" s="59" t="e">
        <f t="shared" si="27"/>
        <v>#N/A</v>
      </c>
      <c r="M87" s="68" t="e">
        <f>VLOOKUP($C87,'Daily_BU설비데이터 '!$C$20:$T$1000,11,0)</f>
        <v>#N/A</v>
      </c>
      <c r="N87" s="68" t="e">
        <f>VLOOKUP($C87,'Daily_BU설비데이터 '!$C$20:$T$1000,12,0)</f>
        <v>#N/A</v>
      </c>
      <c r="O87" s="68" t="e">
        <f>VLOOKUP($C87,'Daily_BU설비데이터 '!$C$20:$T$1000,13,0)</f>
        <v>#N/A</v>
      </c>
      <c r="P87" s="68" t="e">
        <f>VLOOKUP($C87,'Daily_BU설비데이터 '!$C$20:$T$1000,14,0)</f>
        <v>#N/A</v>
      </c>
      <c r="Q87" s="99" t="e">
        <f t="shared" si="28"/>
        <v>#N/A</v>
      </c>
      <c r="R87" s="100" t="e">
        <f t="shared" si="29"/>
        <v>#N/A</v>
      </c>
      <c r="S87" s="83" t="e">
        <f>VLOOKUP($C87,'Daily_BU설비데이터 '!$C$20:$T$1000,17,0)</f>
        <v>#N/A</v>
      </c>
      <c r="T87" s="83" t="e">
        <f>VLOOKUP($C87,'Daily_BU설비데이터 '!$C$20:$T$1000,18,0)</f>
        <v>#N/A</v>
      </c>
      <c r="U87" s="101" t="e">
        <f t="shared" si="30"/>
        <v>#N/A</v>
      </c>
      <c r="V87" s="45"/>
      <c r="W87" s="45"/>
      <c r="X87" s="45"/>
      <c r="Y87" s="45"/>
      <c r="Z87" s="45"/>
      <c r="AA87" s="45"/>
      <c r="AY87" s="66">
        <f t="shared" ref="AY87:AY96" si="31">$L$11</f>
        <v>70.8</v>
      </c>
      <c r="AZ87" s="66">
        <f t="shared" ref="AZ87:AZ96" si="32">$O$11</f>
        <v>900</v>
      </c>
      <c r="BA87" s="66">
        <f t="shared" ref="BA87:BA96" si="33">$Q$11</f>
        <v>1000</v>
      </c>
      <c r="BB87" s="22">
        <f t="shared" ref="BB87:BB96" si="34">$R$13</f>
        <v>5.0000000000000001E-3</v>
      </c>
    </row>
    <row r="88" spans="2:54" x14ac:dyDescent="0.45">
      <c r="B88" s="45" t="s">
        <v>537</v>
      </c>
      <c r="C88" s="90"/>
      <c r="D88" s="56"/>
      <c r="E88" s="80"/>
      <c r="F88" s="58" t="e">
        <f>VLOOKUP($C88,'Daily_BU설비데이터 '!$C$20:$T$1000,4,0)</f>
        <v>#N/A</v>
      </c>
      <c r="G88" s="58" t="e">
        <f>VLOOKUP($C88,'Daily_BU설비데이터 '!$C$20:$T$1000,5,0)</f>
        <v>#N/A</v>
      </c>
      <c r="H88" s="58" t="e">
        <f>VLOOKUP($C88,'Daily_BU설비데이터 '!$C$20:$T$1000,6,0)</f>
        <v>#N/A</v>
      </c>
      <c r="I88" s="58" t="e">
        <f>VLOOKUP($C88,'Daily_BU설비데이터 '!$C$20:$T$1000,7,0)</f>
        <v>#N/A</v>
      </c>
      <c r="J88" s="58" t="e">
        <f>VLOOKUP($C88,'Daily_BU설비데이터 '!$C$20:$T$1000,8,0)</f>
        <v>#N/A</v>
      </c>
      <c r="K88" s="58" t="e">
        <f>VLOOKUP($C88,'Daily_BU설비데이터 '!$C$20:$T$1000,9,0)</f>
        <v>#N/A</v>
      </c>
      <c r="L88" s="59" t="e">
        <f t="shared" si="27"/>
        <v>#N/A</v>
      </c>
      <c r="M88" s="68" t="e">
        <f>VLOOKUP($C88,'Daily_BU설비데이터 '!$C$20:$T$1000,11,0)</f>
        <v>#N/A</v>
      </c>
      <c r="N88" s="68" t="e">
        <f>VLOOKUP($C88,'Daily_BU설비데이터 '!$C$20:$T$1000,12,0)</f>
        <v>#N/A</v>
      </c>
      <c r="O88" s="68" t="e">
        <f>VLOOKUP($C88,'Daily_BU설비데이터 '!$C$20:$T$1000,13,0)</f>
        <v>#N/A</v>
      </c>
      <c r="P88" s="68" t="e">
        <f>VLOOKUP($C88,'Daily_BU설비데이터 '!$C$20:$T$1000,14,0)</f>
        <v>#N/A</v>
      </c>
      <c r="Q88" s="99" t="e">
        <f t="shared" si="28"/>
        <v>#N/A</v>
      </c>
      <c r="R88" s="100" t="e">
        <f t="shared" si="29"/>
        <v>#N/A</v>
      </c>
      <c r="S88" s="83" t="e">
        <f>VLOOKUP($C88,'Daily_BU설비데이터 '!$C$20:$T$1000,17,0)</f>
        <v>#N/A</v>
      </c>
      <c r="T88" s="83" t="e">
        <f>VLOOKUP($C88,'Daily_BU설비데이터 '!$C$20:$T$1000,18,0)</f>
        <v>#N/A</v>
      </c>
      <c r="U88" s="101" t="e">
        <f t="shared" si="30"/>
        <v>#N/A</v>
      </c>
      <c r="V88" s="45"/>
      <c r="W88" s="45"/>
      <c r="X88" s="45"/>
      <c r="Y88" s="45"/>
      <c r="Z88" s="45"/>
      <c r="AA88" s="45"/>
      <c r="AY88" s="66">
        <f t="shared" si="31"/>
        <v>70.8</v>
      </c>
      <c r="AZ88" s="66">
        <f t="shared" si="32"/>
        <v>900</v>
      </c>
      <c r="BA88" s="66">
        <f t="shared" si="33"/>
        <v>1000</v>
      </c>
      <c r="BB88" s="22">
        <f t="shared" si="34"/>
        <v>5.0000000000000001E-3</v>
      </c>
    </row>
    <row r="89" spans="2:54" x14ac:dyDescent="0.45">
      <c r="B89" s="45" t="s">
        <v>538</v>
      </c>
      <c r="C89" s="90"/>
      <c r="D89" s="56"/>
      <c r="E89" s="80"/>
      <c r="F89" s="58" t="e">
        <f>VLOOKUP($C89,'Daily_BU설비데이터 '!$C$20:$T$1000,4,0)</f>
        <v>#N/A</v>
      </c>
      <c r="G89" s="58" t="e">
        <f>VLOOKUP($C89,'Daily_BU설비데이터 '!$C$20:$T$1000,5,0)</f>
        <v>#N/A</v>
      </c>
      <c r="H89" s="58" t="e">
        <f>VLOOKUP($C89,'Daily_BU설비데이터 '!$C$20:$T$1000,6,0)</f>
        <v>#N/A</v>
      </c>
      <c r="I89" s="58" t="e">
        <f>VLOOKUP($C89,'Daily_BU설비데이터 '!$C$20:$T$1000,7,0)</f>
        <v>#N/A</v>
      </c>
      <c r="J89" s="58" t="e">
        <f>VLOOKUP($C89,'Daily_BU설비데이터 '!$C$20:$T$1000,8,0)</f>
        <v>#N/A</v>
      </c>
      <c r="K89" s="58" t="e">
        <f>VLOOKUP($C89,'Daily_BU설비데이터 '!$C$20:$T$1000,9,0)</f>
        <v>#N/A</v>
      </c>
      <c r="L89" s="59" t="e">
        <f t="shared" si="27"/>
        <v>#N/A</v>
      </c>
      <c r="M89" s="68" t="e">
        <f>VLOOKUP($C89,'Daily_BU설비데이터 '!$C$20:$T$1000,11,0)</f>
        <v>#N/A</v>
      </c>
      <c r="N89" s="68" t="e">
        <f>VLOOKUP($C89,'Daily_BU설비데이터 '!$C$20:$T$1000,12,0)</f>
        <v>#N/A</v>
      </c>
      <c r="O89" s="68" t="e">
        <f>VLOOKUP($C89,'Daily_BU설비데이터 '!$C$20:$T$1000,13,0)</f>
        <v>#N/A</v>
      </c>
      <c r="P89" s="68" t="e">
        <f>VLOOKUP($C89,'Daily_BU설비데이터 '!$C$20:$T$1000,14,0)</f>
        <v>#N/A</v>
      </c>
      <c r="Q89" s="99" t="e">
        <f t="shared" si="28"/>
        <v>#N/A</v>
      </c>
      <c r="R89" s="100" t="e">
        <f t="shared" si="29"/>
        <v>#N/A</v>
      </c>
      <c r="S89" s="83" t="e">
        <f>VLOOKUP($C89,'Daily_BU설비데이터 '!$C$20:$T$1000,17,0)</f>
        <v>#N/A</v>
      </c>
      <c r="T89" s="83" t="e">
        <f>VLOOKUP($C89,'Daily_BU설비데이터 '!$C$20:$T$1000,18,0)</f>
        <v>#N/A</v>
      </c>
      <c r="U89" s="101" t="e">
        <f t="shared" si="30"/>
        <v>#N/A</v>
      </c>
      <c r="V89" s="45"/>
      <c r="W89" s="45"/>
      <c r="X89" s="45"/>
      <c r="Y89" s="45"/>
      <c r="Z89" s="45"/>
      <c r="AA89" s="45"/>
      <c r="AY89" s="66">
        <f t="shared" si="31"/>
        <v>70.8</v>
      </c>
      <c r="AZ89" s="66">
        <f t="shared" si="32"/>
        <v>900</v>
      </c>
      <c r="BA89" s="66">
        <f t="shared" si="33"/>
        <v>1000</v>
      </c>
      <c r="BB89" s="22">
        <f t="shared" si="34"/>
        <v>5.0000000000000001E-3</v>
      </c>
    </row>
    <row r="90" spans="2:54" x14ac:dyDescent="0.45">
      <c r="B90" s="45" t="s">
        <v>539</v>
      </c>
      <c r="C90" s="90"/>
      <c r="D90" s="56"/>
      <c r="E90" s="80"/>
      <c r="F90" s="58" t="e">
        <f>VLOOKUP($C90,'Daily_BU설비데이터 '!$C$20:$T$1000,4,0)</f>
        <v>#N/A</v>
      </c>
      <c r="G90" s="58" t="e">
        <f>VLOOKUP($C90,'Daily_BU설비데이터 '!$C$20:$T$1000,5,0)</f>
        <v>#N/A</v>
      </c>
      <c r="H90" s="58" t="e">
        <f>VLOOKUP($C90,'Daily_BU설비데이터 '!$C$20:$T$1000,6,0)</f>
        <v>#N/A</v>
      </c>
      <c r="I90" s="58" t="e">
        <f>VLOOKUP($C90,'Daily_BU설비데이터 '!$C$20:$T$1000,7,0)</f>
        <v>#N/A</v>
      </c>
      <c r="J90" s="58" t="e">
        <f>VLOOKUP($C90,'Daily_BU설비데이터 '!$C$20:$T$1000,8,0)</f>
        <v>#N/A</v>
      </c>
      <c r="K90" s="58" t="e">
        <f>VLOOKUP($C90,'Daily_BU설비데이터 '!$C$20:$T$1000,9,0)</f>
        <v>#N/A</v>
      </c>
      <c r="L90" s="59" t="e">
        <f t="shared" si="27"/>
        <v>#N/A</v>
      </c>
      <c r="M90" s="68" t="e">
        <f>VLOOKUP($C90,'Daily_BU설비데이터 '!$C$20:$T$1000,11,0)</f>
        <v>#N/A</v>
      </c>
      <c r="N90" s="68" t="e">
        <f>VLOOKUP($C90,'Daily_BU설비데이터 '!$C$20:$T$1000,12,0)</f>
        <v>#N/A</v>
      </c>
      <c r="O90" s="68" t="e">
        <f>VLOOKUP($C90,'Daily_BU설비데이터 '!$C$20:$T$1000,13,0)</f>
        <v>#N/A</v>
      </c>
      <c r="P90" s="68" t="e">
        <f>VLOOKUP($C90,'Daily_BU설비데이터 '!$C$20:$T$1000,14,0)</f>
        <v>#N/A</v>
      </c>
      <c r="Q90" s="99" t="e">
        <f t="shared" si="28"/>
        <v>#N/A</v>
      </c>
      <c r="R90" s="100" t="e">
        <f t="shared" si="29"/>
        <v>#N/A</v>
      </c>
      <c r="S90" s="83" t="e">
        <f>VLOOKUP($C90,'Daily_BU설비데이터 '!$C$20:$T$1000,17,0)</f>
        <v>#N/A</v>
      </c>
      <c r="T90" s="83" t="e">
        <f>VLOOKUP($C90,'Daily_BU설비데이터 '!$C$20:$T$1000,18,0)</f>
        <v>#N/A</v>
      </c>
      <c r="U90" s="101" t="e">
        <f t="shared" si="30"/>
        <v>#N/A</v>
      </c>
      <c r="V90" s="45"/>
      <c r="W90" s="45"/>
      <c r="X90" s="45"/>
      <c r="Y90" s="45"/>
      <c r="Z90" s="45"/>
      <c r="AA90" s="45"/>
      <c r="AY90" s="66">
        <f t="shared" si="31"/>
        <v>70.8</v>
      </c>
      <c r="AZ90" s="66">
        <f t="shared" si="32"/>
        <v>900</v>
      </c>
      <c r="BA90" s="66">
        <f t="shared" si="33"/>
        <v>1000</v>
      </c>
      <c r="BB90" s="22">
        <f t="shared" si="34"/>
        <v>5.0000000000000001E-3</v>
      </c>
    </row>
    <row r="91" spans="2:54" x14ac:dyDescent="0.45">
      <c r="B91" s="45" t="s">
        <v>540</v>
      </c>
      <c r="C91" s="90"/>
      <c r="D91" s="56"/>
      <c r="E91" s="80"/>
      <c r="F91" s="58" t="e">
        <f>VLOOKUP($C91,'Daily_BU설비데이터 '!$C$20:$T$1000,4,0)</f>
        <v>#N/A</v>
      </c>
      <c r="G91" s="58" t="e">
        <f>VLOOKUP($C91,'Daily_BU설비데이터 '!$C$20:$T$1000,5,0)</f>
        <v>#N/A</v>
      </c>
      <c r="H91" s="58" t="e">
        <f>VLOOKUP($C91,'Daily_BU설비데이터 '!$C$20:$T$1000,6,0)</f>
        <v>#N/A</v>
      </c>
      <c r="I91" s="58" t="e">
        <f>VLOOKUP($C91,'Daily_BU설비데이터 '!$C$20:$T$1000,7,0)</f>
        <v>#N/A</v>
      </c>
      <c r="J91" s="58" t="e">
        <f>VLOOKUP($C91,'Daily_BU설비데이터 '!$C$20:$T$1000,8,0)</f>
        <v>#N/A</v>
      </c>
      <c r="K91" s="58" t="e">
        <f>VLOOKUP($C91,'Daily_BU설비데이터 '!$C$20:$T$1000,9,0)</f>
        <v>#N/A</v>
      </c>
      <c r="L91" s="59" t="e">
        <f t="shared" si="27"/>
        <v>#N/A</v>
      </c>
      <c r="M91" s="68" t="e">
        <f>VLOOKUP($C91,'Daily_BU설비데이터 '!$C$20:$T$1000,11,0)</f>
        <v>#N/A</v>
      </c>
      <c r="N91" s="68" t="e">
        <f>VLOOKUP($C91,'Daily_BU설비데이터 '!$C$20:$T$1000,12,0)</f>
        <v>#N/A</v>
      </c>
      <c r="O91" s="68" t="e">
        <f>VLOOKUP($C91,'Daily_BU설비데이터 '!$C$20:$T$1000,13,0)</f>
        <v>#N/A</v>
      </c>
      <c r="P91" s="68" t="e">
        <f>VLOOKUP($C91,'Daily_BU설비데이터 '!$C$20:$T$1000,14,0)</f>
        <v>#N/A</v>
      </c>
      <c r="Q91" s="99" t="e">
        <f t="shared" si="28"/>
        <v>#N/A</v>
      </c>
      <c r="R91" s="100" t="e">
        <f t="shared" si="29"/>
        <v>#N/A</v>
      </c>
      <c r="S91" s="83" t="e">
        <f>VLOOKUP($C91,'Daily_BU설비데이터 '!$C$20:$T$1000,17,0)</f>
        <v>#N/A</v>
      </c>
      <c r="T91" s="83" t="e">
        <f>VLOOKUP($C91,'Daily_BU설비데이터 '!$C$20:$T$1000,18,0)</f>
        <v>#N/A</v>
      </c>
      <c r="U91" s="101" t="e">
        <f t="shared" si="30"/>
        <v>#N/A</v>
      </c>
      <c r="V91" s="45"/>
      <c r="W91" s="45"/>
      <c r="X91" s="45"/>
      <c r="Y91" s="45"/>
      <c r="Z91" s="45"/>
      <c r="AA91" s="45"/>
      <c r="AY91" s="66">
        <f t="shared" si="31"/>
        <v>70.8</v>
      </c>
      <c r="AZ91" s="66">
        <f t="shared" si="32"/>
        <v>900</v>
      </c>
      <c r="BA91" s="66">
        <f t="shared" si="33"/>
        <v>1000</v>
      </c>
      <c r="BB91" s="22">
        <f t="shared" si="34"/>
        <v>5.0000000000000001E-3</v>
      </c>
    </row>
    <row r="92" spans="2:54" x14ac:dyDescent="0.45">
      <c r="B92" s="45" t="s">
        <v>541</v>
      </c>
      <c r="C92" s="90"/>
      <c r="D92" s="56"/>
      <c r="E92" s="57"/>
      <c r="F92" s="58" t="e">
        <f>VLOOKUP($C92,'Daily_BU설비데이터 '!$C$20:$T$1000,4,0)</f>
        <v>#N/A</v>
      </c>
      <c r="G92" s="58" t="e">
        <f>VLOOKUP($C92,'Daily_BU설비데이터 '!$C$20:$T$1000,5,0)</f>
        <v>#N/A</v>
      </c>
      <c r="H92" s="58" t="e">
        <f>VLOOKUP($C92,'Daily_BU설비데이터 '!$C$20:$T$1000,6,0)</f>
        <v>#N/A</v>
      </c>
      <c r="I92" s="58" t="e">
        <f>VLOOKUP($C92,'Daily_BU설비데이터 '!$C$20:$T$1000,7,0)</f>
        <v>#N/A</v>
      </c>
      <c r="J92" s="58" t="e">
        <f>VLOOKUP($C92,'Daily_BU설비데이터 '!$C$20:$T$1000,8,0)</f>
        <v>#N/A</v>
      </c>
      <c r="K92" s="58" t="e">
        <f>VLOOKUP($C92,'Daily_BU설비데이터 '!$C$20:$T$1000,9,0)</f>
        <v>#N/A</v>
      </c>
      <c r="L92" s="59" t="e">
        <f t="shared" si="27"/>
        <v>#N/A</v>
      </c>
      <c r="M92" s="68" t="e">
        <f>VLOOKUP($C92,'Daily_BU설비데이터 '!$C$20:$T$1000,11,0)</f>
        <v>#N/A</v>
      </c>
      <c r="N92" s="68" t="e">
        <f>VLOOKUP($C92,'Daily_BU설비데이터 '!$C$20:$T$1000,12,0)</f>
        <v>#N/A</v>
      </c>
      <c r="O92" s="68" t="e">
        <f>VLOOKUP($C92,'Daily_BU설비데이터 '!$C$20:$T$1000,13,0)</f>
        <v>#N/A</v>
      </c>
      <c r="P92" s="68" t="e">
        <f>VLOOKUP($C92,'Daily_BU설비데이터 '!$C$20:$T$1000,14,0)</f>
        <v>#N/A</v>
      </c>
      <c r="Q92" s="99" t="e">
        <f t="shared" si="28"/>
        <v>#N/A</v>
      </c>
      <c r="R92" s="100" t="e">
        <f t="shared" si="29"/>
        <v>#N/A</v>
      </c>
      <c r="S92" s="83" t="e">
        <f>VLOOKUP($C92,'Daily_BU설비데이터 '!$C$20:$T$1000,17,0)</f>
        <v>#N/A</v>
      </c>
      <c r="T92" s="83" t="e">
        <f>VLOOKUP($C92,'Daily_BU설비데이터 '!$C$20:$T$1000,18,0)</f>
        <v>#N/A</v>
      </c>
      <c r="U92" s="101" t="e">
        <f t="shared" si="30"/>
        <v>#N/A</v>
      </c>
      <c r="V92" s="45"/>
      <c r="W92" s="45"/>
      <c r="X92" s="45"/>
      <c r="Y92" s="45"/>
      <c r="Z92" s="45"/>
      <c r="AA92" s="45"/>
      <c r="AY92" s="66">
        <f t="shared" si="31"/>
        <v>70.8</v>
      </c>
      <c r="AZ92" s="66">
        <f t="shared" si="32"/>
        <v>900</v>
      </c>
      <c r="BA92" s="66">
        <f t="shared" si="33"/>
        <v>1000</v>
      </c>
      <c r="BB92" s="22">
        <f t="shared" si="34"/>
        <v>5.0000000000000001E-3</v>
      </c>
    </row>
    <row r="93" spans="2:54" x14ac:dyDescent="0.45">
      <c r="B93" s="45" t="s">
        <v>542</v>
      </c>
      <c r="C93" s="90"/>
      <c r="D93" s="56"/>
      <c r="E93" s="84"/>
      <c r="F93" s="58" t="e">
        <f>VLOOKUP($C93,'Daily_BU설비데이터 '!$C$20:$T$1000,4,0)</f>
        <v>#N/A</v>
      </c>
      <c r="G93" s="58" t="e">
        <f>VLOOKUP($C93,'Daily_BU설비데이터 '!$C$20:$T$1000,5,0)</f>
        <v>#N/A</v>
      </c>
      <c r="H93" s="58" t="e">
        <f>VLOOKUP($C93,'Daily_BU설비데이터 '!$C$20:$T$1000,6,0)</f>
        <v>#N/A</v>
      </c>
      <c r="I93" s="58" t="e">
        <f>VLOOKUP($C93,'Daily_BU설비데이터 '!$C$20:$T$1000,7,0)</f>
        <v>#N/A</v>
      </c>
      <c r="J93" s="58" t="e">
        <f>VLOOKUP($C93,'Daily_BU설비데이터 '!$C$20:$T$1000,8,0)</f>
        <v>#N/A</v>
      </c>
      <c r="K93" s="58" t="e">
        <f>VLOOKUP($C93,'Daily_BU설비데이터 '!$C$20:$T$1000,9,0)</f>
        <v>#N/A</v>
      </c>
      <c r="L93" s="59" t="e">
        <f t="shared" si="27"/>
        <v>#N/A</v>
      </c>
      <c r="M93" s="68" t="e">
        <f>VLOOKUP($C93,'Daily_BU설비데이터 '!$C$20:$T$1000,11,0)</f>
        <v>#N/A</v>
      </c>
      <c r="N93" s="68" t="e">
        <f>VLOOKUP($C93,'Daily_BU설비데이터 '!$C$20:$T$1000,12,0)</f>
        <v>#N/A</v>
      </c>
      <c r="O93" s="68" t="e">
        <f>VLOOKUP($C93,'Daily_BU설비데이터 '!$C$20:$T$1000,13,0)</f>
        <v>#N/A</v>
      </c>
      <c r="P93" s="68" t="e">
        <f>VLOOKUP($C93,'Daily_BU설비데이터 '!$C$20:$T$1000,14,0)</f>
        <v>#N/A</v>
      </c>
      <c r="Q93" s="99" t="e">
        <f t="shared" si="28"/>
        <v>#N/A</v>
      </c>
      <c r="R93" s="100" t="e">
        <f t="shared" si="29"/>
        <v>#N/A</v>
      </c>
      <c r="S93" s="83" t="e">
        <f>VLOOKUP($C93,'Daily_BU설비데이터 '!$C$20:$T$1000,17,0)</f>
        <v>#N/A</v>
      </c>
      <c r="T93" s="83" t="e">
        <f>VLOOKUP($C93,'Daily_BU설비데이터 '!$C$20:$T$1000,18,0)</f>
        <v>#N/A</v>
      </c>
      <c r="U93" s="101" t="e">
        <f t="shared" si="30"/>
        <v>#N/A</v>
      </c>
      <c r="V93" s="45"/>
      <c r="W93" s="45"/>
      <c r="X93" s="45"/>
      <c r="Y93" s="45"/>
      <c r="Z93" s="45"/>
      <c r="AA93" s="45"/>
      <c r="AY93" s="66">
        <f t="shared" si="31"/>
        <v>70.8</v>
      </c>
      <c r="AZ93" s="66">
        <f t="shared" si="32"/>
        <v>900</v>
      </c>
      <c r="BA93" s="66">
        <f t="shared" si="33"/>
        <v>1000</v>
      </c>
      <c r="BB93" s="22">
        <f t="shared" si="34"/>
        <v>5.0000000000000001E-3</v>
      </c>
    </row>
    <row r="94" spans="2:54" x14ac:dyDescent="0.45">
      <c r="B94" s="45" t="s">
        <v>543</v>
      </c>
      <c r="C94" s="90"/>
      <c r="D94" s="56"/>
      <c r="E94" s="57"/>
      <c r="F94" s="58" t="e">
        <f>VLOOKUP($C94,'Daily_BU설비데이터 '!$C$20:$T$1000,4,0)</f>
        <v>#N/A</v>
      </c>
      <c r="G94" s="58" t="e">
        <f>VLOOKUP($C94,'Daily_BU설비데이터 '!$C$20:$T$1000,5,0)</f>
        <v>#N/A</v>
      </c>
      <c r="H94" s="58" t="e">
        <f>VLOOKUP($C94,'Daily_BU설비데이터 '!$C$20:$T$1000,6,0)</f>
        <v>#N/A</v>
      </c>
      <c r="I94" s="58" t="e">
        <f>VLOOKUP($C94,'Daily_BU설비데이터 '!$C$20:$T$1000,7,0)</f>
        <v>#N/A</v>
      </c>
      <c r="J94" s="58" t="e">
        <f>VLOOKUP($C94,'Daily_BU설비데이터 '!$C$20:$T$1000,8,0)</f>
        <v>#N/A</v>
      </c>
      <c r="K94" s="58" t="e">
        <f>VLOOKUP($C94,'Daily_BU설비데이터 '!$C$20:$T$1000,9,0)</f>
        <v>#N/A</v>
      </c>
      <c r="L94" s="59" t="e">
        <f t="shared" si="27"/>
        <v>#N/A</v>
      </c>
      <c r="M94" s="68" t="e">
        <f>VLOOKUP($C94,'Daily_BU설비데이터 '!$C$20:$T$1000,11,0)</f>
        <v>#N/A</v>
      </c>
      <c r="N94" s="68" t="e">
        <f>VLOOKUP($C94,'Daily_BU설비데이터 '!$C$20:$T$1000,12,0)</f>
        <v>#N/A</v>
      </c>
      <c r="O94" s="68" t="e">
        <f>VLOOKUP($C94,'Daily_BU설비데이터 '!$C$20:$T$1000,13,0)</f>
        <v>#N/A</v>
      </c>
      <c r="P94" s="68" t="e">
        <f>VLOOKUP($C94,'Daily_BU설비데이터 '!$C$20:$T$1000,14,0)</f>
        <v>#N/A</v>
      </c>
      <c r="Q94" s="99" t="e">
        <f t="shared" si="28"/>
        <v>#N/A</v>
      </c>
      <c r="R94" s="100" t="e">
        <f t="shared" si="29"/>
        <v>#N/A</v>
      </c>
      <c r="S94" s="83" t="e">
        <f>VLOOKUP($C94,'Daily_BU설비데이터 '!$C$20:$T$1000,17,0)</f>
        <v>#N/A</v>
      </c>
      <c r="T94" s="83" t="e">
        <f>VLOOKUP($C94,'Daily_BU설비데이터 '!$C$20:$T$1000,18,0)</f>
        <v>#N/A</v>
      </c>
      <c r="U94" s="101" t="e">
        <f t="shared" si="30"/>
        <v>#N/A</v>
      </c>
      <c r="V94" s="45"/>
      <c r="W94" s="45"/>
      <c r="X94" s="45"/>
      <c r="Y94" s="45"/>
      <c r="Z94" s="45"/>
      <c r="AA94" s="45"/>
      <c r="AY94" s="66">
        <f t="shared" si="31"/>
        <v>70.8</v>
      </c>
      <c r="AZ94" s="66">
        <f t="shared" si="32"/>
        <v>900</v>
      </c>
      <c r="BA94" s="66">
        <f t="shared" si="33"/>
        <v>1000</v>
      </c>
      <c r="BB94" s="22">
        <f t="shared" si="34"/>
        <v>5.0000000000000001E-3</v>
      </c>
    </row>
    <row r="95" spans="2:54" x14ac:dyDescent="0.45">
      <c r="B95" s="45" t="s">
        <v>544</v>
      </c>
      <c r="C95" s="90"/>
      <c r="D95" s="56"/>
      <c r="E95" s="80"/>
      <c r="F95" s="58" t="e">
        <f>VLOOKUP($C95,'Daily_BU설비데이터 '!$C$20:$T$1000,4,0)</f>
        <v>#N/A</v>
      </c>
      <c r="G95" s="58" t="e">
        <f>VLOOKUP($C95,'Daily_BU설비데이터 '!$C$20:$T$1000,5,0)</f>
        <v>#N/A</v>
      </c>
      <c r="H95" s="58" t="e">
        <f>VLOOKUP($C95,'Daily_BU설비데이터 '!$C$20:$T$1000,6,0)</f>
        <v>#N/A</v>
      </c>
      <c r="I95" s="58" t="e">
        <f>VLOOKUP($C95,'Daily_BU설비데이터 '!$C$20:$T$1000,7,0)</f>
        <v>#N/A</v>
      </c>
      <c r="J95" s="58" t="e">
        <f>VLOOKUP($C95,'Daily_BU설비데이터 '!$C$20:$T$1000,8,0)</f>
        <v>#N/A</v>
      </c>
      <c r="K95" s="58" t="e">
        <f>VLOOKUP($C95,'Daily_BU설비데이터 '!$C$20:$T$1000,9,0)</f>
        <v>#N/A</v>
      </c>
      <c r="L95" s="59" t="e">
        <f t="shared" si="27"/>
        <v>#N/A</v>
      </c>
      <c r="M95" s="68" t="e">
        <f>VLOOKUP($C95,'Daily_BU설비데이터 '!$C$20:$T$1000,11,0)</f>
        <v>#N/A</v>
      </c>
      <c r="N95" s="68" t="e">
        <f>VLOOKUP($C95,'Daily_BU설비데이터 '!$C$20:$T$1000,12,0)</f>
        <v>#N/A</v>
      </c>
      <c r="O95" s="68" t="e">
        <f>VLOOKUP($C95,'Daily_BU설비데이터 '!$C$20:$T$1000,13,0)</f>
        <v>#N/A</v>
      </c>
      <c r="P95" s="68" t="e">
        <f>VLOOKUP($C95,'Daily_BU설비데이터 '!$C$20:$T$1000,14,0)</f>
        <v>#N/A</v>
      </c>
      <c r="Q95" s="99" t="e">
        <f t="shared" si="28"/>
        <v>#N/A</v>
      </c>
      <c r="R95" s="100" t="e">
        <f t="shared" si="29"/>
        <v>#N/A</v>
      </c>
      <c r="S95" s="83" t="e">
        <f>VLOOKUP($C95,'Daily_BU설비데이터 '!$C$20:$T$1000,17,0)</f>
        <v>#N/A</v>
      </c>
      <c r="T95" s="83" t="e">
        <f>VLOOKUP($C95,'Daily_BU설비데이터 '!$C$20:$T$1000,18,0)</f>
        <v>#N/A</v>
      </c>
      <c r="U95" s="101" t="e">
        <f t="shared" si="30"/>
        <v>#N/A</v>
      </c>
      <c r="V95" s="45"/>
      <c r="W95" s="45"/>
      <c r="X95" s="45"/>
      <c r="Y95" s="45"/>
      <c r="Z95" s="45"/>
      <c r="AA95" s="45"/>
      <c r="AY95" s="66">
        <f t="shared" si="31"/>
        <v>70.8</v>
      </c>
      <c r="AZ95" s="66">
        <f t="shared" si="32"/>
        <v>900</v>
      </c>
      <c r="BA95" s="66">
        <f t="shared" si="33"/>
        <v>1000</v>
      </c>
      <c r="BB95" s="22">
        <f t="shared" si="34"/>
        <v>5.0000000000000001E-3</v>
      </c>
    </row>
    <row r="96" spans="2:54" x14ac:dyDescent="0.45">
      <c r="B96" s="45" t="s">
        <v>545</v>
      </c>
      <c r="C96" s="90"/>
      <c r="D96" s="56"/>
      <c r="E96" s="57"/>
      <c r="F96" s="58" t="e">
        <f>VLOOKUP($C96,'Daily_BU설비데이터 '!$C$20:$T$1000,4,0)</f>
        <v>#N/A</v>
      </c>
      <c r="G96" s="58" t="e">
        <f>VLOOKUP($C96,'Daily_BU설비데이터 '!$C$20:$T$1000,5,0)</f>
        <v>#N/A</v>
      </c>
      <c r="H96" s="58" t="e">
        <f>VLOOKUP($C96,'Daily_BU설비데이터 '!$C$20:$T$1000,6,0)</f>
        <v>#N/A</v>
      </c>
      <c r="I96" s="58" t="e">
        <f>VLOOKUP($C96,'Daily_BU설비데이터 '!$C$20:$T$1000,7,0)</f>
        <v>#N/A</v>
      </c>
      <c r="J96" s="58" t="e">
        <f>VLOOKUP($C96,'Daily_BU설비데이터 '!$C$20:$T$1000,8,0)</f>
        <v>#N/A</v>
      </c>
      <c r="K96" s="58" t="e">
        <f>VLOOKUP($C96,'Daily_BU설비데이터 '!$C$20:$T$1000,9,0)</f>
        <v>#N/A</v>
      </c>
      <c r="L96" s="59" t="e">
        <f t="shared" si="27"/>
        <v>#N/A</v>
      </c>
      <c r="M96" s="68" t="e">
        <f>VLOOKUP($C96,'Daily_BU설비데이터 '!$C$20:$T$1000,11,0)</f>
        <v>#N/A</v>
      </c>
      <c r="N96" s="68" t="e">
        <f>VLOOKUP($C96,'Daily_BU설비데이터 '!$C$20:$T$1000,12,0)</f>
        <v>#N/A</v>
      </c>
      <c r="O96" s="68" t="e">
        <f>VLOOKUP($C96,'Daily_BU설비데이터 '!$C$20:$T$1000,13,0)</f>
        <v>#N/A</v>
      </c>
      <c r="P96" s="68" t="e">
        <f>VLOOKUP($C96,'Daily_BU설비데이터 '!$C$20:$T$1000,14,0)</f>
        <v>#N/A</v>
      </c>
      <c r="Q96" s="99" t="e">
        <f t="shared" si="28"/>
        <v>#N/A</v>
      </c>
      <c r="R96" s="100" t="e">
        <f t="shared" si="29"/>
        <v>#N/A</v>
      </c>
      <c r="S96" s="83" t="e">
        <f>VLOOKUP($C96,'Daily_BU설비데이터 '!$C$20:$T$1000,17,0)</f>
        <v>#N/A</v>
      </c>
      <c r="T96" s="83" t="e">
        <f>VLOOKUP($C96,'Daily_BU설비데이터 '!$C$20:$T$1000,18,0)</f>
        <v>#N/A</v>
      </c>
      <c r="U96" s="101" t="e">
        <f t="shared" si="30"/>
        <v>#N/A</v>
      </c>
      <c r="V96" s="45"/>
      <c r="W96" s="45"/>
      <c r="X96" s="45"/>
      <c r="Y96" s="45"/>
      <c r="Z96" s="45"/>
      <c r="AA96" s="45"/>
      <c r="AY96" s="66">
        <f t="shared" si="31"/>
        <v>70.8</v>
      </c>
      <c r="AZ96" s="66">
        <f t="shared" si="32"/>
        <v>900</v>
      </c>
      <c r="BA96" s="66">
        <f t="shared" si="33"/>
        <v>1000</v>
      </c>
      <c r="BB96" s="22">
        <f t="shared" si="34"/>
        <v>5.0000000000000001E-3</v>
      </c>
    </row>
    <row r="97" spans="2:54" x14ac:dyDescent="0.45">
      <c r="B97" s="45" t="s">
        <v>546</v>
      </c>
      <c r="C97" s="90"/>
      <c r="D97" s="56"/>
      <c r="E97" s="84"/>
      <c r="F97" s="58" t="e">
        <f>VLOOKUP($C97,'Daily_BU설비데이터 '!$C$20:$T$1000,4,0)</f>
        <v>#N/A</v>
      </c>
      <c r="G97" s="58" t="e">
        <f>VLOOKUP($C97,'Daily_BU설비데이터 '!$C$20:$T$1000,5,0)</f>
        <v>#N/A</v>
      </c>
      <c r="H97" s="58" t="e">
        <f>VLOOKUP($C97,'Daily_BU설비데이터 '!$C$20:$T$1000,6,0)</f>
        <v>#N/A</v>
      </c>
      <c r="I97" s="58" t="e">
        <f>VLOOKUP($C97,'Daily_BU설비데이터 '!$C$20:$T$1000,7,0)</f>
        <v>#N/A</v>
      </c>
      <c r="J97" s="58" t="e">
        <f>VLOOKUP($C97,'Daily_BU설비데이터 '!$C$20:$T$1000,8,0)</f>
        <v>#N/A</v>
      </c>
      <c r="K97" s="58" t="e">
        <f>VLOOKUP($C97,'Daily_BU설비데이터 '!$C$20:$T$1000,9,0)</f>
        <v>#N/A</v>
      </c>
      <c r="L97" s="59" t="e">
        <f t="shared" si="27"/>
        <v>#N/A</v>
      </c>
      <c r="M97" s="68" t="e">
        <f>VLOOKUP($C97,'Daily_BU설비데이터 '!$C$20:$T$1000,11,0)</f>
        <v>#N/A</v>
      </c>
      <c r="N97" s="68" t="e">
        <f>VLOOKUP($C97,'Daily_BU설비데이터 '!$C$20:$T$1000,12,0)</f>
        <v>#N/A</v>
      </c>
      <c r="O97" s="68" t="e">
        <f>VLOOKUP($C97,'Daily_BU설비데이터 '!$C$20:$T$1000,13,0)</f>
        <v>#N/A</v>
      </c>
      <c r="P97" s="68" t="e">
        <f>VLOOKUP($C97,'Daily_BU설비데이터 '!$C$20:$T$1000,14,0)</f>
        <v>#N/A</v>
      </c>
      <c r="Q97" s="99" t="e">
        <f t="shared" si="28"/>
        <v>#N/A</v>
      </c>
      <c r="R97" s="100" t="e">
        <f t="shared" si="29"/>
        <v>#N/A</v>
      </c>
      <c r="S97" s="83" t="e">
        <f>VLOOKUP($C97,'Daily_BU설비데이터 '!$C$20:$T$1000,17,0)</f>
        <v>#N/A</v>
      </c>
      <c r="T97" s="83" t="e">
        <f>VLOOKUP($C97,'Daily_BU설비데이터 '!$C$20:$T$1000,18,0)</f>
        <v>#N/A</v>
      </c>
      <c r="U97" s="101" t="e">
        <f t="shared" si="30"/>
        <v>#N/A</v>
      </c>
      <c r="V97" s="45"/>
      <c r="W97" s="45"/>
      <c r="X97" s="45"/>
      <c r="Y97" s="45"/>
      <c r="Z97" s="45"/>
      <c r="AA97" s="45"/>
      <c r="AY97" s="66"/>
      <c r="AZ97" s="66"/>
      <c r="BA97" s="66"/>
      <c r="BB97" s="22"/>
    </row>
    <row r="98" spans="2:54" x14ac:dyDescent="0.45">
      <c r="B98" s="45" t="s">
        <v>547</v>
      </c>
      <c r="C98" s="90"/>
      <c r="D98" s="56"/>
      <c r="E98" s="80"/>
      <c r="F98" s="58" t="e">
        <f>VLOOKUP($C98,'Daily_BU설비데이터 '!$C$20:$T$1000,4,0)</f>
        <v>#N/A</v>
      </c>
      <c r="G98" s="58" t="e">
        <f>VLOOKUP($C98,'Daily_BU설비데이터 '!$C$20:$T$1000,5,0)</f>
        <v>#N/A</v>
      </c>
      <c r="H98" s="58" t="e">
        <f>VLOOKUP($C98,'Daily_BU설비데이터 '!$C$20:$T$1000,6,0)</f>
        <v>#N/A</v>
      </c>
      <c r="I98" s="58" t="e">
        <f>VLOOKUP($C98,'Daily_BU설비데이터 '!$C$20:$T$1000,7,0)</f>
        <v>#N/A</v>
      </c>
      <c r="J98" s="58" t="e">
        <f>VLOOKUP($C98,'Daily_BU설비데이터 '!$C$20:$T$1000,8,0)</f>
        <v>#N/A</v>
      </c>
      <c r="K98" s="58" t="e">
        <f>VLOOKUP($C98,'Daily_BU설비데이터 '!$C$20:$T$1000,9,0)</f>
        <v>#N/A</v>
      </c>
      <c r="L98" s="59" t="e">
        <f t="shared" si="27"/>
        <v>#N/A</v>
      </c>
      <c r="M98" s="68" t="e">
        <f>VLOOKUP($C98,'Daily_BU설비데이터 '!$C$20:$T$1000,11,0)</f>
        <v>#N/A</v>
      </c>
      <c r="N98" s="68" t="e">
        <f>VLOOKUP($C98,'Daily_BU설비데이터 '!$C$20:$T$1000,12,0)</f>
        <v>#N/A</v>
      </c>
      <c r="O98" s="68" t="e">
        <f>VLOOKUP($C98,'Daily_BU설비데이터 '!$C$20:$T$1000,13,0)</f>
        <v>#N/A</v>
      </c>
      <c r="P98" s="68" t="e">
        <f>VLOOKUP($C98,'Daily_BU설비데이터 '!$C$20:$T$1000,14,0)</f>
        <v>#N/A</v>
      </c>
      <c r="Q98" s="99" t="e">
        <f t="shared" si="28"/>
        <v>#N/A</v>
      </c>
      <c r="R98" s="100" t="e">
        <f t="shared" si="29"/>
        <v>#N/A</v>
      </c>
      <c r="S98" s="83" t="e">
        <f>VLOOKUP($C98,'Daily_BU설비데이터 '!$C$20:$T$1000,17,0)</f>
        <v>#N/A</v>
      </c>
      <c r="T98" s="83" t="e">
        <f>VLOOKUP($C98,'Daily_BU설비데이터 '!$C$20:$T$1000,18,0)</f>
        <v>#N/A</v>
      </c>
      <c r="U98" s="101" t="e">
        <f t="shared" si="30"/>
        <v>#N/A</v>
      </c>
      <c r="V98" s="45"/>
      <c r="W98" s="45"/>
      <c r="X98" s="45"/>
      <c r="Y98" s="45"/>
      <c r="Z98" s="45"/>
      <c r="AA98" s="45"/>
      <c r="AY98" s="66"/>
      <c r="AZ98" s="66"/>
      <c r="BA98" s="66"/>
      <c r="BB98" s="22"/>
    </row>
    <row r="99" spans="2:54" ht="16" customHeight="1" x14ac:dyDescent="0.45">
      <c r="B99" s="45" t="s">
        <v>548</v>
      </c>
      <c r="C99" s="90"/>
      <c r="D99" s="56"/>
      <c r="E99" s="57"/>
      <c r="F99" s="58" t="e">
        <f>VLOOKUP($C99,'Daily_BU설비데이터 '!$C$20:$T$1000,4,0)</f>
        <v>#N/A</v>
      </c>
      <c r="G99" s="58" t="e">
        <f>VLOOKUP($C99,'Daily_BU설비데이터 '!$C$20:$T$1000,5,0)</f>
        <v>#N/A</v>
      </c>
      <c r="H99" s="58" t="e">
        <f>VLOOKUP($C99,'Daily_BU설비데이터 '!$C$20:$T$1000,6,0)</f>
        <v>#N/A</v>
      </c>
      <c r="I99" s="58" t="e">
        <f>VLOOKUP($C99,'Daily_BU설비데이터 '!$C$20:$T$1000,7,0)</f>
        <v>#N/A</v>
      </c>
      <c r="J99" s="58" t="e">
        <f>VLOOKUP($C99,'Daily_BU설비데이터 '!$C$20:$T$1000,8,0)</f>
        <v>#N/A</v>
      </c>
      <c r="K99" s="58" t="e">
        <f>VLOOKUP($C99,'Daily_BU설비데이터 '!$C$20:$T$1000,9,0)</f>
        <v>#N/A</v>
      </c>
      <c r="L99" s="59" t="e">
        <f t="shared" si="27"/>
        <v>#N/A</v>
      </c>
      <c r="M99" s="68" t="e">
        <f>VLOOKUP($C99,'Daily_BU설비데이터 '!$C$20:$T$1000,11,0)</f>
        <v>#N/A</v>
      </c>
      <c r="N99" s="68" t="e">
        <f>VLOOKUP($C99,'Daily_BU설비데이터 '!$C$20:$T$1000,12,0)</f>
        <v>#N/A</v>
      </c>
      <c r="O99" s="68" t="e">
        <f>VLOOKUP($C99,'Daily_BU설비데이터 '!$C$20:$T$1000,13,0)</f>
        <v>#N/A</v>
      </c>
      <c r="P99" s="68" t="e">
        <f>VLOOKUP($C99,'Daily_BU설비데이터 '!$C$20:$T$1000,14,0)</f>
        <v>#N/A</v>
      </c>
      <c r="Q99" s="99" t="e">
        <f t="shared" si="28"/>
        <v>#N/A</v>
      </c>
      <c r="R99" s="100" t="e">
        <f t="shared" si="29"/>
        <v>#N/A</v>
      </c>
      <c r="S99" s="83" t="e">
        <f>VLOOKUP($C99,'Daily_BU설비데이터 '!$C$20:$T$1000,17,0)</f>
        <v>#N/A</v>
      </c>
      <c r="T99" s="83" t="e">
        <f>VLOOKUP($C99,'Daily_BU설비데이터 '!$C$20:$T$1000,18,0)</f>
        <v>#N/A</v>
      </c>
      <c r="U99" s="101" t="e">
        <f t="shared" si="30"/>
        <v>#N/A</v>
      </c>
      <c r="V99" s="45"/>
      <c r="W99" s="45"/>
      <c r="X99" s="45"/>
      <c r="Y99" s="45"/>
      <c r="Z99" s="45"/>
      <c r="AA99" s="45"/>
      <c r="AY99" s="66"/>
      <c r="AZ99" s="66"/>
      <c r="BA99" s="66"/>
      <c r="BB99" s="22"/>
    </row>
    <row r="100" spans="2:54" ht="16" customHeight="1" x14ac:dyDescent="0.45">
      <c r="B100" s="45" t="s">
        <v>549</v>
      </c>
      <c r="C100" s="90"/>
      <c r="D100" s="56"/>
      <c r="E100" s="57"/>
      <c r="F100" s="58" t="e">
        <f>VLOOKUP($C100,'Daily_BU설비데이터 '!$C$20:$T$1000,4,0)</f>
        <v>#N/A</v>
      </c>
      <c r="G100" s="58" t="e">
        <f>VLOOKUP($C100,'Daily_BU설비데이터 '!$C$20:$T$1000,5,0)</f>
        <v>#N/A</v>
      </c>
      <c r="H100" s="58" t="e">
        <f>VLOOKUP($C100,'Daily_BU설비데이터 '!$C$20:$T$1000,6,0)</f>
        <v>#N/A</v>
      </c>
      <c r="I100" s="58" t="e">
        <f>VLOOKUP($C100,'Daily_BU설비데이터 '!$C$20:$T$1000,7,0)</f>
        <v>#N/A</v>
      </c>
      <c r="J100" s="58" t="e">
        <f>VLOOKUP($C100,'Daily_BU설비데이터 '!$C$20:$T$1000,8,0)</f>
        <v>#N/A</v>
      </c>
      <c r="K100" s="58" t="e">
        <f>VLOOKUP($C100,'Daily_BU설비데이터 '!$C$20:$T$1000,9,0)</f>
        <v>#N/A</v>
      </c>
      <c r="L100" s="59" t="e">
        <f t="shared" si="27"/>
        <v>#N/A</v>
      </c>
      <c r="M100" s="68" t="e">
        <f>VLOOKUP($C100,'Daily_BU설비데이터 '!$C$20:$T$1000,11,0)</f>
        <v>#N/A</v>
      </c>
      <c r="N100" s="68" t="e">
        <f>VLOOKUP($C100,'Daily_BU설비데이터 '!$C$20:$T$1000,12,0)</f>
        <v>#N/A</v>
      </c>
      <c r="O100" s="68" t="e">
        <f>VLOOKUP($C100,'Daily_BU설비데이터 '!$C$20:$T$1000,13,0)</f>
        <v>#N/A</v>
      </c>
      <c r="P100" s="68" t="e">
        <f>VLOOKUP($C100,'Daily_BU설비데이터 '!$C$20:$T$1000,14,0)</f>
        <v>#N/A</v>
      </c>
      <c r="Q100" s="99" t="e">
        <f t="shared" si="28"/>
        <v>#N/A</v>
      </c>
      <c r="R100" s="100" t="e">
        <f t="shared" si="29"/>
        <v>#N/A</v>
      </c>
      <c r="S100" s="83" t="e">
        <f>VLOOKUP($C100,'Daily_BU설비데이터 '!$C$20:$T$1000,17,0)</f>
        <v>#N/A</v>
      </c>
      <c r="T100" s="83" t="e">
        <f>VLOOKUP($C100,'Daily_BU설비데이터 '!$C$20:$T$1000,18,0)</f>
        <v>#N/A</v>
      </c>
      <c r="U100" s="101" t="e">
        <f t="shared" si="30"/>
        <v>#N/A</v>
      </c>
      <c r="V100" s="45"/>
      <c r="W100" s="45"/>
      <c r="X100" s="45"/>
      <c r="Y100" s="45"/>
      <c r="Z100" s="45"/>
      <c r="AA100" s="45"/>
      <c r="AY100" s="66"/>
      <c r="AZ100" s="66"/>
      <c r="BA100" s="66"/>
      <c r="BB100" s="22"/>
    </row>
    <row r="101" spans="2:54" ht="16" customHeight="1" x14ac:dyDescent="0.45">
      <c r="B101" s="45" t="s">
        <v>550</v>
      </c>
      <c r="C101" s="90"/>
      <c r="D101" s="56"/>
      <c r="E101" s="57"/>
      <c r="F101" s="58" t="e">
        <f>VLOOKUP($C101,'Daily_BU설비데이터 '!$C$20:$T$1000,4,0)</f>
        <v>#N/A</v>
      </c>
      <c r="G101" s="58" t="e">
        <f>VLOOKUP($C101,'Daily_BU설비데이터 '!$C$20:$T$1000,5,0)</f>
        <v>#N/A</v>
      </c>
      <c r="H101" s="58" t="e">
        <f>VLOOKUP($C101,'Daily_BU설비데이터 '!$C$20:$T$1000,6,0)</f>
        <v>#N/A</v>
      </c>
      <c r="I101" s="58" t="e">
        <f>VLOOKUP($C101,'Daily_BU설비데이터 '!$C$20:$T$1000,7,0)</f>
        <v>#N/A</v>
      </c>
      <c r="J101" s="58" t="e">
        <f>VLOOKUP($C101,'Daily_BU설비데이터 '!$C$20:$T$1000,8,0)</f>
        <v>#N/A</v>
      </c>
      <c r="K101" s="58" t="e">
        <f>VLOOKUP($C101,'Daily_BU설비데이터 '!$C$20:$T$1000,9,0)</f>
        <v>#N/A</v>
      </c>
      <c r="L101" s="59" t="e">
        <f t="shared" si="27"/>
        <v>#N/A</v>
      </c>
      <c r="M101" s="68" t="e">
        <f>VLOOKUP($C101,'Daily_BU설비데이터 '!$C$20:$T$1000,11,0)</f>
        <v>#N/A</v>
      </c>
      <c r="N101" s="68" t="e">
        <f>VLOOKUP($C101,'Daily_BU설비데이터 '!$C$20:$T$1000,12,0)</f>
        <v>#N/A</v>
      </c>
      <c r="O101" s="68" t="e">
        <f>VLOOKUP($C101,'Daily_BU설비데이터 '!$C$20:$T$1000,13,0)</f>
        <v>#N/A</v>
      </c>
      <c r="P101" s="68" t="e">
        <f>VLOOKUP($C101,'Daily_BU설비데이터 '!$C$20:$T$1000,14,0)</f>
        <v>#N/A</v>
      </c>
      <c r="Q101" s="99" t="e">
        <f t="shared" si="28"/>
        <v>#N/A</v>
      </c>
      <c r="R101" s="100" t="e">
        <f t="shared" si="29"/>
        <v>#N/A</v>
      </c>
      <c r="S101" s="83" t="e">
        <f>VLOOKUP($C101,'Daily_BU설비데이터 '!$C$20:$T$1000,17,0)</f>
        <v>#N/A</v>
      </c>
      <c r="T101" s="83" t="e">
        <f>VLOOKUP($C101,'Daily_BU설비데이터 '!$C$20:$T$1000,18,0)</f>
        <v>#N/A</v>
      </c>
      <c r="U101" s="101" t="e">
        <f t="shared" si="30"/>
        <v>#N/A</v>
      </c>
      <c r="V101" s="45"/>
      <c r="W101" s="45"/>
      <c r="X101" s="45"/>
      <c r="Y101" s="45"/>
      <c r="Z101" s="45"/>
      <c r="AA101" s="45"/>
      <c r="AY101" s="66"/>
      <c r="AZ101" s="66"/>
      <c r="BA101" s="66"/>
      <c r="BB101" s="22"/>
    </row>
    <row r="102" spans="2:54" x14ac:dyDescent="0.45">
      <c r="B102" s="45" t="s">
        <v>551</v>
      </c>
      <c r="C102" s="90"/>
      <c r="D102" s="56"/>
      <c r="E102" s="57"/>
      <c r="F102" s="58" t="e">
        <f>VLOOKUP($C102,'Daily_BU설비데이터 '!$C$20:$T$1000,4,0)</f>
        <v>#N/A</v>
      </c>
      <c r="G102" s="58" t="e">
        <f>VLOOKUP($C102,'Daily_BU설비데이터 '!$C$20:$T$1000,5,0)</f>
        <v>#N/A</v>
      </c>
      <c r="H102" s="58" t="e">
        <f>VLOOKUP($C102,'Daily_BU설비데이터 '!$C$20:$T$1000,6,0)</f>
        <v>#N/A</v>
      </c>
      <c r="I102" s="58" t="e">
        <f>VLOOKUP($C102,'Daily_BU설비데이터 '!$C$20:$T$1000,7,0)</f>
        <v>#N/A</v>
      </c>
      <c r="J102" s="58" t="e">
        <f>VLOOKUP($C102,'Daily_BU설비데이터 '!$C$20:$T$1000,8,0)</f>
        <v>#N/A</v>
      </c>
      <c r="K102" s="58" t="e">
        <f>VLOOKUP($C102,'Daily_BU설비데이터 '!$C$20:$T$1000,9,0)</f>
        <v>#N/A</v>
      </c>
      <c r="L102" s="59" t="e">
        <f t="shared" si="27"/>
        <v>#N/A</v>
      </c>
      <c r="M102" s="68" t="e">
        <f>VLOOKUP($C102,'Daily_BU설비데이터 '!$C$20:$T$1000,11,0)</f>
        <v>#N/A</v>
      </c>
      <c r="N102" s="68" t="e">
        <f>VLOOKUP($C102,'Daily_BU설비데이터 '!$C$20:$T$1000,12,0)</f>
        <v>#N/A</v>
      </c>
      <c r="O102" s="68" t="e">
        <f>VLOOKUP($C102,'Daily_BU설비데이터 '!$C$20:$T$1000,13,0)</f>
        <v>#N/A</v>
      </c>
      <c r="P102" s="68" t="e">
        <f>VLOOKUP($C102,'Daily_BU설비데이터 '!$C$20:$T$1000,14,0)</f>
        <v>#N/A</v>
      </c>
      <c r="Q102" s="99" t="e">
        <f t="shared" si="28"/>
        <v>#N/A</v>
      </c>
      <c r="R102" s="100" t="e">
        <f t="shared" si="29"/>
        <v>#N/A</v>
      </c>
      <c r="S102" s="83" t="e">
        <f>VLOOKUP($C102,'Daily_BU설비데이터 '!$C$20:$T$1000,17,0)</f>
        <v>#N/A</v>
      </c>
      <c r="T102" s="83" t="e">
        <f>VLOOKUP($C102,'Daily_BU설비데이터 '!$C$20:$T$1000,18,0)</f>
        <v>#N/A</v>
      </c>
      <c r="U102" s="101" t="e">
        <f t="shared" si="30"/>
        <v>#N/A</v>
      </c>
      <c r="V102" s="45"/>
      <c r="W102" s="45"/>
      <c r="X102" s="45"/>
      <c r="Y102" s="45"/>
      <c r="Z102" s="45"/>
      <c r="AA102" s="45"/>
      <c r="AY102" s="66"/>
      <c r="AZ102" s="66"/>
      <c r="BA102" s="66"/>
      <c r="BB102" s="22"/>
    </row>
    <row r="103" spans="2:54" x14ac:dyDescent="0.45">
      <c r="B103" s="45" t="s">
        <v>552</v>
      </c>
      <c r="C103" s="90"/>
      <c r="D103" s="56"/>
      <c r="E103" s="57"/>
      <c r="F103" s="58" t="e">
        <f>VLOOKUP($C103,'Daily_BU설비데이터 '!$C$20:$T$1000,4,0)</f>
        <v>#N/A</v>
      </c>
      <c r="G103" s="58" t="e">
        <f>VLOOKUP($C103,'Daily_BU설비데이터 '!$C$20:$T$1000,5,0)</f>
        <v>#N/A</v>
      </c>
      <c r="H103" s="58" t="e">
        <f>VLOOKUP($C103,'Daily_BU설비데이터 '!$C$20:$T$1000,6,0)</f>
        <v>#N/A</v>
      </c>
      <c r="I103" s="58" t="e">
        <f>VLOOKUP($C103,'Daily_BU설비데이터 '!$C$20:$T$1000,7,0)</f>
        <v>#N/A</v>
      </c>
      <c r="J103" s="58" t="e">
        <f>VLOOKUP($C103,'Daily_BU설비데이터 '!$C$20:$T$1000,8,0)</f>
        <v>#N/A</v>
      </c>
      <c r="K103" s="58" t="e">
        <f>VLOOKUP($C103,'Daily_BU설비데이터 '!$C$20:$T$1000,9,0)</f>
        <v>#N/A</v>
      </c>
      <c r="L103" s="59" t="e">
        <f t="shared" si="27"/>
        <v>#N/A</v>
      </c>
      <c r="M103" s="68" t="e">
        <f>VLOOKUP($C103,'Daily_BU설비데이터 '!$C$20:$T$1000,11,0)</f>
        <v>#N/A</v>
      </c>
      <c r="N103" s="68" t="e">
        <f>VLOOKUP($C103,'Daily_BU설비데이터 '!$C$20:$T$1000,12,0)</f>
        <v>#N/A</v>
      </c>
      <c r="O103" s="68" t="e">
        <f>VLOOKUP($C103,'Daily_BU설비데이터 '!$C$20:$T$1000,13,0)</f>
        <v>#N/A</v>
      </c>
      <c r="P103" s="68" t="e">
        <f>VLOOKUP($C103,'Daily_BU설비데이터 '!$C$20:$T$1000,14,0)</f>
        <v>#N/A</v>
      </c>
      <c r="Q103" s="99" t="e">
        <f t="shared" si="28"/>
        <v>#N/A</v>
      </c>
      <c r="R103" s="100" t="e">
        <f t="shared" si="29"/>
        <v>#N/A</v>
      </c>
      <c r="S103" s="83" t="e">
        <f>VLOOKUP($C103,'Daily_BU설비데이터 '!$C$20:$T$1000,17,0)</f>
        <v>#N/A</v>
      </c>
      <c r="T103" s="83" t="e">
        <f>VLOOKUP($C103,'Daily_BU설비데이터 '!$C$20:$T$1000,18,0)</f>
        <v>#N/A</v>
      </c>
      <c r="U103" s="101" t="e">
        <f t="shared" si="30"/>
        <v>#N/A</v>
      </c>
      <c r="V103" s="45"/>
      <c r="W103" s="45"/>
      <c r="X103" s="45"/>
      <c r="Y103" s="45"/>
      <c r="Z103" s="45"/>
      <c r="AA103" s="45"/>
      <c r="AY103" s="66"/>
      <c r="AZ103" s="66"/>
      <c r="BA103" s="66"/>
      <c r="BB103" s="22"/>
    </row>
    <row r="104" spans="2:54" x14ac:dyDescent="0.45">
      <c r="B104" s="45" t="s">
        <v>553</v>
      </c>
      <c r="C104" s="90"/>
      <c r="D104" s="56"/>
      <c r="E104" s="57"/>
      <c r="F104" s="58" t="e">
        <f>VLOOKUP($C104,'Daily_BU설비데이터 '!$C$20:$T$1000,4,0)</f>
        <v>#N/A</v>
      </c>
      <c r="G104" s="58" t="e">
        <f>VLOOKUP($C104,'Daily_BU설비데이터 '!$C$20:$T$1000,5,0)</f>
        <v>#N/A</v>
      </c>
      <c r="H104" s="58" t="e">
        <f>VLOOKUP($C104,'Daily_BU설비데이터 '!$C$20:$T$1000,6,0)</f>
        <v>#N/A</v>
      </c>
      <c r="I104" s="58" t="e">
        <f>VLOOKUP($C104,'Daily_BU설비데이터 '!$C$20:$T$1000,7,0)</f>
        <v>#N/A</v>
      </c>
      <c r="J104" s="58" t="e">
        <f>VLOOKUP($C104,'Daily_BU설비데이터 '!$C$20:$T$1000,8,0)</f>
        <v>#N/A</v>
      </c>
      <c r="K104" s="58" t="e">
        <f>VLOOKUP($C104,'Daily_BU설비데이터 '!$C$20:$T$1000,9,0)</f>
        <v>#N/A</v>
      </c>
      <c r="L104" s="59" t="e">
        <f t="shared" si="27"/>
        <v>#N/A</v>
      </c>
      <c r="M104" s="68" t="e">
        <f>VLOOKUP($C104,'Daily_BU설비데이터 '!$C$20:$T$1000,11,0)</f>
        <v>#N/A</v>
      </c>
      <c r="N104" s="68" t="e">
        <f>VLOOKUP($C104,'Daily_BU설비데이터 '!$C$20:$T$1000,12,0)</f>
        <v>#N/A</v>
      </c>
      <c r="O104" s="68" t="e">
        <f>VLOOKUP($C104,'Daily_BU설비데이터 '!$C$20:$T$1000,13,0)</f>
        <v>#N/A</v>
      </c>
      <c r="P104" s="68" t="e">
        <f>VLOOKUP($C104,'Daily_BU설비데이터 '!$C$20:$T$1000,14,0)</f>
        <v>#N/A</v>
      </c>
      <c r="Q104" s="99" t="e">
        <f t="shared" si="28"/>
        <v>#N/A</v>
      </c>
      <c r="R104" s="100" t="e">
        <f t="shared" si="29"/>
        <v>#N/A</v>
      </c>
      <c r="S104" s="83" t="e">
        <f>VLOOKUP($C104,'Daily_BU설비데이터 '!$C$20:$T$1000,17,0)</f>
        <v>#N/A</v>
      </c>
      <c r="T104" s="83" t="e">
        <f>VLOOKUP($C104,'Daily_BU설비데이터 '!$C$20:$T$1000,18,0)</f>
        <v>#N/A</v>
      </c>
      <c r="U104" s="101" t="e">
        <f t="shared" si="30"/>
        <v>#N/A</v>
      </c>
      <c r="V104" s="45"/>
      <c r="W104" s="45"/>
      <c r="X104" s="45"/>
      <c r="Y104" s="45"/>
      <c r="Z104" s="45"/>
      <c r="AA104" s="45"/>
      <c r="AY104" s="66"/>
      <c r="AZ104" s="66"/>
      <c r="BA104" s="66"/>
      <c r="BB104" s="22"/>
    </row>
    <row r="105" spans="2:54" x14ac:dyDescent="0.45">
      <c r="B105" s="45" t="s">
        <v>554</v>
      </c>
      <c r="C105" s="90"/>
      <c r="D105" s="56"/>
      <c r="E105" s="57"/>
      <c r="F105" s="58" t="e">
        <f>VLOOKUP($C105,'Daily_BU설비데이터 '!$C$20:$T$1000,4,0)</f>
        <v>#N/A</v>
      </c>
      <c r="G105" s="58" t="e">
        <f>VLOOKUP($C105,'Daily_BU설비데이터 '!$C$20:$T$1000,5,0)</f>
        <v>#N/A</v>
      </c>
      <c r="H105" s="58" t="e">
        <f>VLOOKUP($C105,'Daily_BU설비데이터 '!$C$20:$T$1000,6,0)</f>
        <v>#N/A</v>
      </c>
      <c r="I105" s="58" t="e">
        <f>VLOOKUP($C105,'Daily_BU설비데이터 '!$C$20:$T$1000,7,0)</f>
        <v>#N/A</v>
      </c>
      <c r="J105" s="58" t="e">
        <f>VLOOKUP($C105,'Daily_BU설비데이터 '!$C$20:$T$1000,8,0)</f>
        <v>#N/A</v>
      </c>
      <c r="K105" s="58" t="e">
        <f>VLOOKUP($C105,'Daily_BU설비데이터 '!$C$20:$T$1000,9,0)</f>
        <v>#N/A</v>
      </c>
      <c r="L105" s="59" t="e">
        <f t="shared" si="27"/>
        <v>#N/A</v>
      </c>
      <c r="M105" s="68" t="e">
        <f>VLOOKUP($C105,'Daily_BU설비데이터 '!$C$20:$T$1000,11,0)</f>
        <v>#N/A</v>
      </c>
      <c r="N105" s="68" t="e">
        <f>VLOOKUP($C105,'Daily_BU설비데이터 '!$C$20:$T$1000,12,0)</f>
        <v>#N/A</v>
      </c>
      <c r="O105" s="68" t="e">
        <f>VLOOKUP($C105,'Daily_BU설비데이터 '!$C$20:$T$1000,13,0)</f>
        <v>#N/A</v>
      </c>
      <c r="P105" s="68" t="e">
        <f>VLOOKUP($C105,'Daily_BU설비데이터 '!$C$20:$T$1000,14,0)</f>
        <v>#N/A</v>
      </c>
      <c r="Q105" s="99" t="e">
        <f t="shared" si="28"/>
        <v>#N/A</v>
      </c>
      <c r="R105" s="100" t="e">
        <f t="shared" si="29"/>
        <v>#N/A</v>
      </c>
      <c r="S105" s="83" t="e">
        <f>VLOOKUP($C105,'Daily_BU설비데이터 '!$C$20:$T$1000,17,0)</f>
        <v>#N/A</v>
      </c>
      <c r="T105" s="83" t="e">
        <f>VLOOKUP($C105,'Daily_BU설비데이터 '!$C$20:$T$1000,18,0)</f>
        <v>#N/A</v>
      </c>
      <c r="U105" s="101" t="e">
        <f t="shared" si="30"/>
        <v>#N/A</v>
      </c>
      <c r="V105" s="45"/>
      <c r="W105" s="45"/>
      <c r="X105" s="45"/>
      <c r="Y105" s="45"/>
      <c r="Z105" s="45"/>
      <c r="AA105" s="45"/>
      <c r="AY105" s="66"/>
      <c r="AZ105" s="66"/>
      <c r="BA105" s="66"/>
      <c r="BB105" s="22"/>
    </row>
    <row r="106" spans="2:54" x14ac:dyDescent="0.45">
      <c r="B106" s="45" t="s">
        <v>555</v>
      </c>
      <c r="C106" s="90"/>
      <c r="D106" s="56"/>
      <c r="E106" s="57"/>
      <c r="F106" s="58" t="e">
        <f>VLOOKUP($C106,'Daily_BU설비데이터 '!$C$20:$T$1000,4,0)</f>
        <v>#N/A</v>
      </c>
      <c r="G106" s="58" t="e">
        <f>VLOOKUP($C106,'Daily_BU설비데이터 '!$C$20:$T$1000,5,0)</f>
        <v>#N/A</v>
      </c>
      <c r="H106" s="58" t="e">
        <f>VLOOKUP($C106,'Daily_BU설비데이터 '!$C$20:$T$1000,6,0)</f>
        <v>#N/A</v>
      </c>
      <c r="I106" s="58" t="e">
        <f>VLOOKUP($C106,'Daily_BU설비데이터 '!$C$20:$T$1000,7,0)</f>
        <v>#N/A</v>
      </c>
      <c r="J106" s="58" t="e">
        <f>VLOOKUP($C106,'Daily_BU설비데이터 '!$C$20:$T$1000,8,0)</f>
        <v>#N/A</v>
      </c>
      <c r="K106" s="58" t="e">
        <f>VLOOKUP($C106,'Daily_BU설비데이터 '!$C$20:$T$1000,9,0)</f>
        <v>#N/A</v>
      </c>
      <c r="L106" s="59" t="e">
        <f t="shared" si="27"/>
        <v>#N/A</v>
      </c>
      <c r="M106" s="68" t="e">
        <f>VLOOKUP($C106,'Daily_BU설비데이터 '!$C$20:$T$1000,11,0)</f>
        <v>#N/A</v>
      </c>
      <c r="N106" s="68" t="e">
        <f>VLOOKUP($C106,'Daily_BU설비데이터 '!$C$20:$T$1000,12,0)</f>
        <v>#N/A</v>
      </c>
      <c r="O106" s="68" t="e">
        <f>VLOOKUP($C106,'Daily_BU설비데이터 '!$C$20:$T$1000,13,0)</f>
        <v>#N/A</v>
      </c>
      <c r="P106" s="68" t="e">
        <f>VLOOKUP($C106,'Daily_BU설비데이터 '!$C$20:$T$1000,14,0)</f>
        <v>#N/A</v>
      </c>
      <c r="Q106" s="99" t="e">
        <f t="shared" si="28"/>
        <v>#N/A</v>
      </c>
      <c r="R106" s="100" t="e">
        <f t="shared" si="29"/>
        <v>#N/A</v>
      </c>
      <c r="S106" s="83" t="e">
        <f>VLOOKUP($C106,'Daily_BU설비데이터 '!$C$20:$T$1000,17,0)</f>
        <v>#N/A</v>
      </c>
      <c r="T106" s="83" t="e">
        <f>VLOOKUP($C106,'Daily_BU설비데이터 '!$C$20:$T$1000,18,0)</f>
        <v>#N/A</v>
      </c>
      <c r="U106" s="101" t="e">
        <f t="shared" si="30"/>
        <v>#N/A</v>
      </c>
      <c r="V106" s="45"/>
      <c r="W106" s="45"/>
      <c r="X106" s="45"/>
      <c r="Y106" s="45"/>
      <c r="Z106" s="45"/>
      <c r="AA106" s="45"/>
      <c r="AY106" s="66"/>
      <c r="AZ106" s="66"/>
      <c r="BA106" s="66"/>
      <c r="BB106" s="22"/>
    </row>
    <row r="107" spans="2:54" x14ac:dyDescent="0.45">
      <c r="B107" s="45" t="s">
        <v>556</v>
      </c>
      <c r="C107" s="90"/>
      <c r="D107" s="56"/>
      <c r="E107" s="57"/>
      <c r="F107" s="58" t="e">
        <f>VLOOKUP($C107,'Daily_BU설비데이터 '!$C$20:$T$1000,4,0)</f>
        <v>#N/A</v>
      </c>
      <c r="G107" s="58" t="e">
        <f>VLOOKUP($C107,'Daily_BU설비데이터 '!$C$20:$T$1000,5,0)</f>
        <v>#N/A</v>
      </c>
      <c r="H107" s="58" t="e">
        <f>VLOOKUP($C107,'Daily_BU설비데이터 '!$C$20:$T$1000,6,0)</f>
        <v>#N/A</v>
      </c>
      <c r="I107" s="58" t="e">
        <f>VLOOKUP($C107,'Daily_BU설비데이터 '!$C$20:$T$1000,7,0)</f>
        <v>#N/A</v>
      </c>
      <c r="J107" s="58" t="e">
        <f>VLOOKUP($C107,'Daily_BU설비데이터 '!$C$20:$T$1000,8,0)</f>
        <v>#N/A</v>
      </c>
      <c r="K107" s="58" t="e">
        <f>VLOOKUP($C107,'Daily_BU설비데이터 '!$C$20:$T$1000,9,0)</f>
        <v>#N/A</v>
      </c>
      <c r="L107" s="59" t="e">
        <f t="shared" si="27"/>
        <v>#N/A</v>
      </c>
      <c r="M107" s="68" t="e">
        <f>VLOOKUP($C107,'Daily_BU설비데이터 '!$C$20:$T$1000,11,0)</f>
        <v>#N/A</v>
      </c>
      <c r="N107" s="68" t="e">
        <f>VLOOKUP($C107,'Daily_BU설비데이터 '!$C$20:$T$1000,12,0)</f>
        <v>#N/A</v>
      </c>
      <c r="O107" s="68" t="e">
        <f>VLOOKUP($C107,'Daily_BU설비데이터 '!$C$20:$T$1000,13,0)</f>
        <v>#N/A</v>
      </c>
      <c r="P107" s="68" t="e">
        <f>VLOOKUP($C107,'Daily_BU설비데이터 '!$C$20:$T$1000,14,0)</f>
        <v>#N/A</v>
      </c>
      <c r="Q107" s="99" t="e">
        <f t="shared" si="28"/>
        <v>#N/A</v>
      </c>
      <c r="R107" s="100" t="e">
        <f t="shared" si="29"/>
        <v>#N/A</v>
      </c>
      <c r="S107" s="83" t="e">
        <f>VLOOKUP($C107,'Daily_BU설비데이터 '!$C$20:$T$1000,17,0)</f>
        <v>#N/A</v>
      </c>
      <c r="T107" s="83" t="e">
        <f>VLOOKUP($C107,'Daily_BU설비데이터 '!$C$20:$T$1000,18,0)</f>
        <v>#N/A</v>
      </c>
      <c r="U107" s="101" t="e">
        <f t="shared" si="30"/>
        <v>#N/A</v>
      </c>
      <c r="V107" s="45"/>
      <c r="W107" s="45"/>
      <c r="X107" s="45"/>
      <c r="Y107" s="45"/>
      <c r="Z107" s="45"/>
      <c r="AA107" s="45"/>
      <c r="AY107" s="66"/>
      <c r="AZ107" s="66"/>
      <c r="BA107" s="66"/>
      <c r="BB107" s="22"/>
    </row>
    <row r="108" spans="2:54" x14ac:dyDescent="0.45">
      <c r="B108" s="45" t="s">
        <v>557</v>
      </c>
      <c r="C108" s="90"/>
      <c r="D108" s="56"/>
      <c r="E108" s="57"/>
      <c r="F108" s="58" t="e">
        <f>VLOOKUP($C108,'Daily_BU설비데이터 '!$C$20:$T$1000,4,0)</f>
        <v>#N/A</v>
      </c>
      <c r="G108" s="58" t="e">
        <f>VLOOKUP($C108,'Daily_BU설비데이터 '!$C$20:$T$1000,5,0)</f>
        <v>#N/A</v>
      </c>
      <c r="H108" s="58" t="e">
        <f>VLOOKUP($C108,'Daily_BU설비데이터 '!$C$20:$T$1000,6,0)</f>
        <v>#N/A</v>
      </c>
      <c r="I108" s="58" t="e">
        <f>VLOOKUP($C108,'Daily_BU설비데이터 '!$C$20:$T$1000,7,0)</f>
        <v>#N/A</v>
      </c>
      <c r="J108" s="58" t="e">
        <f>VLOOKUP($C108,'Daily_BU설비데이터 '!$C$20:$T$1000,8,0)</f>
        <v>#N/A</v>
      </c>
      <c r="K108" s="58" t="e">
        <f>VLOOKUP($C108,'Daily_BU설비데이터 '!$C$20:$T$1000,9,0)</f>
        <v>#N/A</v>
      </c>
      <c r="L108" s="59" t="e">
        <f t="shared" si="27"/>
        <v>#N/A</v>
      </c>
      <c r="M108" s="68" t="e">
        <f>VLOOKUP($C108,'Daily_BU설비데이터 '!$C$20:$T$1000,11,0)</f>
        <v>#N/A</v>
      </c>
      <c r="N108" s="68" t="e">
        <f>VLOOKUP($C108,'Daily_BU설비데이터 '!$C$20:$T$1000,12,0)</f>
        <v>#N/A</v>
      </c>
      <c r="O108" s="68" t="e">
        <f>VLOOKUP($C108,'Daily_BU설비데이터 '!$C$20:$T$1000,13,0)</f>
        <v>#N/A</v>
      </c>
      <c r="P108" s="68" t="e">
        <f>VLOOKUP($C108,'Daily_BU설비데이터 '!$C$20:$T$1000,14,0)</f>
        <v>#N/A</v>
      </c>
      <c r="Q108" s="99" t="e">
        <f t="shared" si="28"/>
        <v>#N/A</v>
      </c>
      <c r="R108" s="100" t="e">
        <f t="shared" si="29"/>
        <v>#N/A</v>
      </c>
      <c r="S108" s="83" t="e">
        <f>VLOOKUP($C108,'Daily_BU설비데이터 '!$C$20:$T$1000,17,0)</f>
        <v>#N/A</v>
      </c>
      <c r="T108" s="83" t="e">
        <f>VLOOKUP($C108,'Daily_BU설비데이터 '!$C$20:$T$1000,18,0)</f>
        <v>#N/A</v>
      </c>
      <c r="U108" s="101" t="e">
        <f t="shared" si="30"/>
        <v>#N/A</v>
      </c>
      <c r="V108" s="45"/>
      <c r="W108" s="45"/>
      <c r="X108" s="45"/>
      <c r="Y108" s="45"/>
      <c r="Z108" s="45"/>
      <c r="AA108" s="45"/>
      <c r="AY108" s="66"/>
      <c r="AZ108" s="66"/>
      <c r="BA108" s="66"/>
      <c r="BB108" s="22"/>
    </row>
    <row r="109" spans="2:54" x14ac:dyDescent="0.45">
      <c r="B109" s="45" t="s">
        <v>558</v>
      </c>
      <c r="C109" s="90"/>
      <c r="D109" s="56"/>
      <c r="E109" s="57"/>
      <c r="F109" s="58" t="e">
        <f>VLOOKUP($C109,'Daily_BU설비데이터 '!$C$20:$T$1000,4,0)</f>
        <v>#N/A</v>
      </c>
      <c r="G109" s="58" t="e">
        <f>VLOOKUP($C109,'Daily_BU설비데이터 '!$C$20:$T$1000,5,0)</f>
        <v>#N/A</v>
      </c>
      <c r="H109" s="58" t="e">
        <f>VLOOKUP($C109,'Daily_BU설비데이터 '!$C$20:$T$1000,6,0)</f>
        <v>#N/A</v>
      </c>
      <c r="I109" s="58" t="e">
        <f>VLOOKUP($C109,'Daily_BU설비데이터 '!$C$20:$T$1000,7,0)</f>
        <v>#N/A</v>
      </c>
      <c r="J109" s="58" t="e">
        <f>VLOOKUP($C109,'Daily_BU설비데이터 '!$C$20:$T$1000,8,0)</f>
        <v>#N/A</v>
      </c>
      <c r="K109" s="58" t="e">
        <f>VLOOKUP($C109,'Daily_BU설비데이터 '!$C$20:$T$1000,9,0)</f>
        <v>#N/A</v>
      </c>
      <c r="L109" s="59" t="e">
        <f t="shared" si="27"/>
        <v>#N/A</v>
      </c>
      <c r="M109" s="68" t="e">
        <f>VLOOKUP($C109,'Daily_BU설비데이터 '!$C$20:$T$1000,11,0)</f>
        <v>#N/A</v>
      </c>
      <c r="N109" s="68" t="e">
        <f>VLOOKUP($C109,'Daily_BU설비데이터 '!$C$20:$T$1000,12,0)</f>
        <v>#N/A</v>
      </c>
      <c r="O109" s="68" t="e">
        <f>VLOOKUP($C109,'Daily_BU설비데이터 '!$C$20:$T$1000,13,0)</f>
        <v>#N/A</v>
      </c>
      <c r="P109" s="68" t="e">
        <f>VLOOKUP($C109,'Daily_BU설비데이터 '!$C$20:$T$1000,14,0)</f>
        <v>#N/A</v>
      </c>
      <c r="Q109" s="99" t="e">
        <f t="shared" si="28"/>
        <v>#N/A</v>
      </c>
      <c r="R109" s="100" t="e">
        <f t="shared" si="29"/>
        <v>#N/A</v>
      </c>
      <c r="S109" s="83" t="e">
        <f>VLOOKUP($C109,'Daily_BU설비데이터 '!$C$20:$T$1000,17,0)</f>
        <v>#N/A</v>
      </c>
      <c r="T109" s="83" t="e">
        <f>VLOOKUP($C109,'Daily_BU설비데이터 '!$C$20:$T$1000,18,0)</f>
        <v>#N/A</v>
      </c>
      <c r="U109" s="101" t="e">
        <f t="shared" si="30"/>
        <v>#N/A</v>
      </c>
      <c r="V109" s="45"/>
      <c r="W109" s="45"/>
      <c r="X109" s="45"/>
      <c r="Y109" s="45"/>
      <c r="Z109" s="45"/>
      <c r="AA109" s="45"/>
      <c r="AY109" s="66"/>
      <c r="AZ109" s="66"/>
      <c r="BA109" s="66"/>
      <c r="BB109" s="22"/>
    </row>
    <row r="110" spans="2:54" x14ac:dyDescent="0.45">
      <c r="B110" s="45" t="s">
        <v>82</v>
      </c>
      <c r="C110" s="90"/>
      <c r="D110" s="56"/>
      <c r="E110" s="57"/>
      <c r="F110" s="58" t="e">
        <f>VLOOKUP($C110,'Daily_BU설비데이터 '!$C$20:$T$1000,4,0)</f>
        <v>#N/A</v>
      </c>
      <c r="G110" s="58" t="e">
        <f>VLOOKUP($C110,'Daily_BU설비데이터 '!$C$20:$T$1000,5,0)</f>
        <v>#N/A</v>
      </c>
      <c r="H110" s="58" t="e">
        <f>VLOOKUP($C110,'Daily_BU설비데이터 '!$C$20:$T$1000,6,0)</f>
        <v>#N/A</v>
      </c>
      <c r="I110" s="58" t="e">
        <f>VLOOKUP($C110,'Daily_BU설비데이터 '!$C$20:$T$1000,7,0)</f>
        <v>#N/A</v>
      </c>
      <c r="J110" s="58" t="e">
        <f>VLOOKUP($C110,'Daily_BU설비데이터 '!$C$20:$T$1000,8,0)</f>
        <v>#N/A</v>
      </c>
      <c r="K110" s="58" t="e">
        <f>VLOOKUP($C110,'Daily_BU설비데이터 '!$C$20:$T$1000,9,0)</f>
        <v>#N/A</v>
      </c>
      <c r="L110" s="59" t="e">
        <f t="shared" si="27"/>
        <v>#N/A</v>
      </c>
      <c r="M110" s="68" t="e">
        <f>VLOOKUP($C110,'Daily_BU설비데이터 '!$C$20:$T$1000,11,0)</f>
        <v>#N/A</v>
      </c>
      <c r="N110" s="68" t="e">
        <f>VLOOKUP($C110,'Daily_BU설비데이터 '!$C$20:$T$1000,12,0)</f>
        <v>#N/A</v>
      </c>
      <c r="O110" s="68" t="e">
        <f>VLOOKUP($C110,'Daily_BU설비데이터 '!$C$20:$T$1000,13,0)</f>
        <v>#N/A</v>
      </c>
      <c r="P110" s="68" t="e">
        <f>VLOOKUP($C110,'Daily_BU설비데이터 '!$C$20:$T$1000,14,0)</f>
        <v>#N/A</v>
      </c>
      <c r="Q110" s="99" t="e">
        <f t="shared" si="28"/>
        <v>#N/A</v>
      </c>
      <c r="R110" s="100" t="e">
        <f t="shared" si="29"/>
        <v>#N/A</v>
      </c>
      <c r="S110" s="83" t="e">
        <f>VLOOKUP($C110,'Daily_BU설비데이터 '!$C$20:$T$1000,17,0)</f>
        <v>#N/A</v>
      </c>
      <c r="T110" s="83" t="e">
        <f>VLOOKUP($C110,'Daily_BU설비데이터 '!$C$20:$T$1000,18,0)</f>
        <v>#N/A</v>
      </c>
      <c r="U110" s="101" t="e">
        <f t="shared" si="30"/>
        <v>#N/A</v>
      </c>
      <c r="V110" s="45"/>
      <c r="W110" s="45"/>
      <c r="X110" s="45"/>
      <c r="Y110" s="45"/>
      <c r="Z110" s="45"/>
      <c r="AA110" s="45"/>
      <c r="AY110" s="66"/>
      <c r="AZ110" s="66"/>
      <c r="BA110" s="66"/>
      <c r="BB110" s="22"/>
    </row>
    <row r="111" spans="2:54" x14ac:dyDescent="0.45">
      <c r="B111" s="45" t="s">
        <v>83</v>
      </c>
      <c r="C111" s="90"/>
      <c r="D111" s="56"/>
      <c r="E111" s="57"/>
      <c r="F111" s="58" t="e">
        <f>VLOOKUP($C111,'Daily_BU설비데이터 '!$C$20:$T$1000,4,0)</f>
        <v>#N/A</v>
      </c>
      <c r="G111" s="58" t="e">
        <f>VLOOKUP($C111,'Daily_BU설비데이터 '!$C$20:$T$1000,5,0)</f>
        <v>#N/A</v>
      </c>
      <c r="H111" s="58" t="e">
        <f>VLOOKUP($C111,'Daily_BU설비데이터 '!$C$20:$T$1000,6,0)</f>
        <v>#N/A</v>
      </c>
      <c r="I111" s="58" t="e">
        <f>VLOOKUP($C111,'Daily_BU설비데이터 '!$C$20:$T$1000,7,0)</f>
        <v>#N/A</v>
      </c>
      <c r="J111" s="58" t="e">
        <f>VLOOKUP($C111,'Daily_BU설비데이터 '!$C$20:$T$1000,8,0)</f>
        <v>#N/A</v>
      </c>
      <c r="K111" s="58" t="e">
        <f>VLOOKUP($C111,'Daily_BU설비데이터 '!$C$20:$T$1000,9,0)</f>
        <v>#N/A</v>
      </c>
      <c r="L111" s="59" t="e">
        <f t="shared" si="27"/>
        <v>#N/A</v>
      </c>
      <c r="M111" s="68" t="e">
        <f>VLOOKUP($C111,'Daily_BU설비데이터 '!$C$20:$T$1000,11,0)</f>
        <v>#N/A</v>
      </c>
      <c r="N111" s="68" t="e">
        <f>VLOOKUP($C111,'Daily_BU설비데이터 '!$C$20:$T$1000,12,0)</f>
        <v>#N/A</v>
      </c>
      <c r="O111" s="68" t="e">
        <f>VLOOKUP($C111,'Daily_BU설비데이터 '!$C$20:$T$1000,13,0)</f>
        <v>#N/A</v>
      </c>
      <c r="P111" s="68" t="e">
        <f>VLOOKUP($C111,'Daily_BU설비데이터 '!$C$20:$T$1000,14,0)</f>
        <v>#N/A</v>
      </c>
      <c r="Q111" s="99" t="e">
        <f t="shared" si="28"/>
        <v>#N/A</v>
      </c>
      <c r="R111" s="100" t="e">
        <f t="shared" si="29"/>
        <v>#N/A</v>
      </c>
      <c r="S111" s="83" t="e">
        <f>VLOOKUP($C111,'Daily_BU설비데이터 '!$C$20:$T$1000,17,0)</f>
        <v>#N/A</v>
      </c>
      <c r="T111" s="83" t="e">
        <f>VLOOKUP($C111,'Daily_BU설비데이터 '!$C$20:$T$1000,18,0)</f>
        <v>#N/A</v>
      </c>
      <c r="U111" s="101" t="e">
        <f t="shared" si="30"/>
        <v>#N/A</v>
      </c>
      <c r="V111" s="45"/>
      <c r="W111" s="45"/>
      <c r="X111" s="45"/>
      <c r="Y111" s="45"/>
      <c r="Z111" s="45"/>
      <c r="AA111" s="45"/>
      <c r="AY111" s="66"/>
      <c r="AZ111" s="66"/>
      <c r="BA111" s="66"/>
      <c r="BB111" s="22"/>
    </row>
    <row r="112" spans="2:54" x14ac:dyDescent="0.45">
      <c r="B112" s="45" t="s">
        <v>84</v>
      </c>
      <c r="C112" s="90"/>
      <c r="D112" s="56"/>
      <c r="E112" s="57"/>
      <c r="F112" s="58" t="e">
        <f>VLOOKUP($C112,'Daily_BU설비데이터 '!$C$20:$T$1000,4,0)</f>
        <v>#N/A</v>
      </c>
      <c r="G112" s="58" t="e">
        <f>VLOOKUP($C112,'Daily_BU설비데이터 '!$C$20:$T$1000,5,0)</f>
        <v>#N/A</v>
      </c>
      <c r="H112" s="58" t="e">
        <f>VLOOKUP($C112,'Daily_BU설비데이터 '!$C$20:$T$1000,6,0)</f>
        <v>#N/A</v>
      </c>
      <c r="I112" s="58" t="e">
        <f>VLOOKUP($C112,'Daily_BU설비데이터 '!$C$20:$T$1000,7,0)</f>
        <v>#N/A</v>
      </c>
      <c r="J112" s="58" t="e">
        <f>VLOOKUP($C112,'Daily_BU설비데이터 '!$C$20:$T$1000,8,0)</f>
        <v>#N/A</v>
      </c>
      <c r="K112" s="58" t="e">
        <f>VLOOKUP($C112,'Daily_BU설비데이터 '!$C$20:$T$1000,9,0)</f>
        <v>#N/A</v>
      </c>
      <c r="L112" s="59" t="e">
        <f t="shared" si="27"/>
        <v>#N/A</v>
      </c>
      <c r="M112" s="68" t="e">
        <f>VLOOKUP($C112,'Daily_BU설비데이터 '!$C$20:$T$1000,11,0)</f>
        <v>#N/A</v>
      </c>
      <c r="N112" s="68" t="e">
        <f>VLOOKUP($C112,'Daily_BU설비데이터 '!$C$20:$T$1000,12,0)</f>
        <v>#N/A</v>
      </c>
      <c r="O112" s="68" t="e">
        <f>VLOOKUP($C112,'Daily_BU설비데이터 '!$C$20:$T$1000,13,0)</f>
        <v>#N/A</v>
      </c>
      <c r="P112" s="68" t="e">
        <f>VLOOKUP($C112,'Daily_BU설비데이터 '!$C$20:$T$1000,14,0)</f>
        <v>#N/A</v>
      </c>
      <c r="Q112" s="99" t="e">
        <f t="shared" si="28"/>
        <v>#N/A</v>
      </c>
      <c r="R112" s="100" t="e">
        <f t="shared" si="29"/>
        <v>#N/A</v>
      </c>
      <c r="S112" s="83" t="e">
        <f>VLOOKUP($C112,'Daily_BU설비데이터 '!$C$20:$T$1000,17,0)</f>
        <v>#N/A</v>
      </c>
      <c r="T112" s="83" t="e">
        <f>VLOOKUP($C112,'Daily_BU설비데이터 '!$C$20:$T$1000,18,0)</f>
        <v>#N/A</v>
      </c>
      <c r="U112" s="101" t="e">
        <f t="shared" si="30"/>
        <v>#N/A</v>
      </c>
      <c r="V112" s="45"/>
      <c r="W112" s="45"/>
      <c r="X112" s="45"/>
      <c r="Y112" s="45"/>
      <c r="Z112" s="45"/>
      <c r="AA112" s="45"/>
      <c r="AY112" s="66"/>
      <c r="AZ112" s="66"/>
      <c r="BA112" s="66"/>
      <c r="BB112" s="22"/>
    </row>
    <row r="113" spans="2:54" x14ac:dyDescent="0.45">
      <c r="B113" s="45" t="s">
        <v>85</v>
      </c>
      <c r="C113" s="90"/>
      <c r="D113" s="56"/>
      <c r="E113" s="57"/>
      <c r="F113" s="58" t="e">
        <f>VLOOKUP($C113,'Daily_BU설비데이터 '!$C$20:$T$1000,4,0)</f>
        <v>#N/A</v>
      </c>
      <c r="G113" s="58" t="e">
        <f>VLOOKUP($C113,'Daily_BU설비데이터 '!$C$20:$T$1000,5,0)</f>
        <v>#N/A</v>
      </c>
      <c r="H113" s="58" t="e">
        <f>VLOOKUP($C113,'Daily_BU설비데이터 '!$C$20:$T$1000,6,0)</f>
        <v>#N/A</v>
      </c>
      <c r="I113" s="58" t="e">
        <f>VLOOKUP($C113,'Daily_BU설비데이터 '!$C$20:$T$1000,7,0)</f>
        <v>#N/A</v>
      </c>
      <c r="J113" s="58" t="e">
        <f>VLOOKUP($C113,'Daily_BU설비데이터 '!$C$20:$T$1000,8,0)</f>
        <v>#N/A</v>
      </c>
      <c r="K113" s="58" t="e">
        <f>VLOOKUP($C113,'Daily_BU설비데이터 '!$C$20:$T$1000,9,0)</f>
        <v>#N/A</v>
      </c>
      <c r="L113" s="59" t="e">
        <f t="shared" si="27"/>
        <v>#N/A</v>
      </c>
      <c r="M113" s="68" t="e">
        <f>VLOOKUP($C113,'Daily_BU설비데이터 '!$C$20:$T$1000,11,0)</f>
        <v>#N/A</v>
      </c>
      <c r="N113" s="68" t="e">
        <f>VLOOKUP($C113,'Daily_BU설비데이터 '!$C$20:$T$1000,12,0)</f>
        <v>#N/A</v>
      </c>
      <c r="O113" s="68" t="e">
        <f>VLOOKUP($C113,'Daily_BU설비데이터 '!$C$20:$T$1000,13,0)</f>
        <v>#N/A</v>
      </c>
      <c r="P113" s="68" t="e">
        <f>VLOOKUP($C113,'Daily_BU설비데이터 '!$C$20:$T$1000,14,0)</f>
        <v>#N/A</v>
      </c>
      <c r="Q113" s="99" t="e">
        <f t="shared" si="28"/>
        <v>#N/A</v>
      </c>
      <c r="R113" s="100" t="e">
        <f t="shared" si="29"/>
        <v>#N/A</v>
      </c>
      <c r="S113" s="83" t="e">
        <f>VLOOKUP($C113,'Daily_BU설비데이터 '!$C$20:$T$1000,17,0)</f>
        <v>#N/A</v>
      </c>
      <c r="T113" s="83" t="e">
        <f>VLOOKUP($C113,'Daily_BU설비데이터 '!$C$20:$T$1000,18,0)</f>
        <v>#N/A</v>
      </c>
      <c r="U113" s="101" t="e">
        <f t="shared" si="30"/>
        <v>#N/A</v>
      </c>
      <c r="V113" s="45"/>
      <c r="W113" s="45"/>
      <c r="X113" s="45"/>
      <c r="Y113" s="45"/>
      <c r="Z113" s="45"/>
      <c r="AA113" s="45"/>
      <c r="AY113" s="66"/>
      <c r="AZ113" s="66"/>
      <c r="BA113" s="66"/>
      <c r="BB113" s="22"/>
    </row>
    <row r="114" spans="2:54" ht="16" customHeight="1" x14ac:dyDescent="0.45">
      <c r="B114" s="45" t="s">
        <v>86</v>
      </c>
      <c r="C114" s="90"/>
      <c r="D114" s="56"/>
      <c r="E114" s="57"/>
      <c r="F114" s="58" t="e">
        <f>VLOOKUP($C114,'Daily_BU설비데이터 '!$C$20:$T$1000,4,0)</f>
        <v>#N/A</v>
      </c>
      <c r="G114" s="58" t="e">
        <f>VLOOKUP($C114,'Daily_BU설비데이터 '!$C$20:$T$1000,5,0)</f>
        <v>#N/A</v>
      </c>
      <c r="H114" s="58" t="e">
        <f>VLOOKUP($C114,'Daily_BU설비데이터 '!$C$20:$T$1000,6,0)</f>
        <v>#N/A</v>
      </c>
      <c r="I114" s="58" t="e">
        <f>VLOOKUP($C114,'Daily_BU설비데이터 '!$C$20:$T$1000,7,0)</f>
        <v>#N/A</v>
      </c>
      <c r="J114" s="58" t="e">
        <f>VLOOKUP($C114,'Daily_BU설비데이터 '!$C$20:$T$1000,8,0)</f>
        <v>#N/A</v>
      </c>
      <c r="K114" s="58" t="e">
        <f>VLOOKUP($C114,'Daily_BU설비데이터 '!$C$20:$T$1000,9,0)</f>
        <v>#N/A</v>
      </c>
      <c r="L114" s="59" t="e">
        <f t="shared" si="27"/>
        <v>#N/A</v>
      </c>
      <c r="M114" s="68" t="e">
        <f>VLOOKUP($C114,'Daily_BU설비데이터 '!$C$20:$T$1000,11,0)</f>
        <v>#N/A</v>
      </c>
      <c r="N114" s="68" t="e">
        <f>VLOOKUP($C114,'Daily_BU설비데이터 '!$C$20:$T$1000,12,0)</f>
        <v>#N/A</v>
      </c>
      <c r="O114" s="68" t="e">
        <f>VLOOKUP($C114,'Daily_BU설비데이터 '!$C$20:$T$1000,13,0)</f>
        <v>#N/A</v>
      </c>
      <c r="P114" s="68" t="e">
        <f>VLOOKUP($C114,'Daily_BU설비데이터 '!$C$20:$T$1000,14,0)</f>
        <v>#N/A</v>
      </c>
      <c r="Q114" s="99" t="e">
        <f t="shared" si="28"/>
        <v>#N/A</v>
      </c>
      <c r="R114" s="100" t="e">
        <f t="shared" si="29"/>
        <v>#N/A</v>
      </c>
      <c r="S114" s="83" t="e">
        <f>VLOOKUP($C114,'Daily_BU설비데이터 '!$C$20:$T$1000,17,0)</f>
        <v>#N/A</v>
      </c>
      <c r="T114" s="83" t="e">
        <f>VLOOKUP($C114,'Daily_BU설비데이터 '!$C$20:$T$1000,18,0)</f>
        <v>#N/A</v>
      </c>
      <c r="U114" s="101" t="e">
        <f t="shared" si="30"/>
        <v>#N/A</v>
      </c>
      <c r="V114" s="45"/>
      <c r="W114" s="45"/>
      <c r="X114" s="45"/>
      <c r="Y114" s="45"/>
      <c r="Z114" s="45"/>
      <c r="AA114" s="45"/>
      <c r="AY114" s="66"/>
      <c r="AZ114" s="66"/>
      <c r="BA114" s="66"/>
      <c r="BB114" s="22"/>
    </row>
    <row r="115" spans="2:54" ht="16" customHeight="1" x14ac:dyDescent="0.45">
      <c r="B115" s="45" t="s">
        <v>87</v>
      </c>
      <c r="C115" s="90"/>
      <c r="D115" s="56"/>
      <c r="E115" s="57"/>
      <c r="F115" s="58" t="e">
        <f>VLOOKUP($C115,'Daily_BU설비데이터 '!$C$20:$T$1000,4,0)</f>
        <v>#N/A</v>
      </c>
      <c r="G115" s="58" t="e">
        <f>VLOOKUP($C115,'Daily_BU설비데이터 '!$C$20:$T$1000,5,0)</f>
        <v>#N/A</v>
      </c>
      <c r="H115" s="58" t="e">
        <f>VLOOKUP($C115,'Daily_BU설비데이터 '!$C$20:$T$1000,6,0)</f>
        <v>#N/A</v>
      </c>
      <c r="I115" s="58" t="e">
        <f>VLOOKUP($C115,'Daily_BU설비데이터 '!$C$20:$T$1000,7,0)</f>
        <v>#N/A</v>
      </c>
      <c r="J115" s="58" t="e">
        <f>VLOOKUP($C115,'Daily_BU설비데이터 '!$C$20:$T$1000,8,0)</f>
        <v>#N/A</v>
      </c>
      <c r="K115" s="58" t="e">
        <f>VLOOKUP($C115,'Daily_BU설비데이터 '!$C$20:$T$1000,9,0)</f>
        <v>#N/A</v>
      </c>
      <c r="L115" s="59" t="e">
        <f t="shared" si="27"/>
        <v>#N/A</v>
      </c>
      <c r="M115" s="68" t="e">
        <f>VLOOKUP($C115,'Daily_BU설비데이터 '!$C$20:$T$1000,11,0)</f>
        <v>#N/A</v>
      </c>
      <c r="N115" s="68" t="e">
        <f>VLOOKUP($C115,'Daily_BU설비데이터 '!$C$20:$T$1000,12,0)</f>
        <v>#N/A</v>
      </c>
      <c r="O115" s="68" t="e">
        <f>VLOOKUP($C115,'Daily_BU설비데이터 '!$C$20:$T$1000,13,0)</f>
        <v>#N/A</v>
      </c>
      <c r="P115" s="68" t="e">
        <f>VLOOKUP($C115,'Daily_BU설비데이터 '!$C$20:$T$1000,14,0)</f>
        <v>#N/A</v>
      </c>
      <c r="Q115" s="99" t="e">
        <f t="shared" si="28"/>
        <v>#N/A</v>
      </c>
      <c r="R115" s="100" t="e">
        <f t="shared" si="29"/>
        <v>#N/A</v>
      </c>
      <c r="S115" s="83" t="e">
        <f>VLOOKUP($C115,'Daily_BU설비데이터 '!$C$20:$T$1000,17,0)</f>
        <v>#N/A</v>
      </c>
      <c r="T115" s="83" t="e">
        <f>VLOOKUP($C115,'Daily_BU설비데이터 '!$C$20:$T$1000,18,0)</f>
        <v>#N/A</v>
      </c>
      <c r="U115" s="101" t="e">
        <f t="shared" si="30"/>
        <v>#N/A</v>
      </c>
      <c r="V115" s="45"/>
      <c r="W115" s="45"/>
      <c r="X115" s="45"/>
      <c r="Y115" s="45"/>
      <c r="Z115" s="45"/>
      <c r="AA115" s="45"/>
      <c r="AY115" s="66"/>
      <c r="AZ115" s="66"/>
      <c r="BA115" s="66"/>
      <c r="BB115" s="22"/>
    </row>
    <row r="116" spans="2:54" ht="16" customHeight="1" x14ac:dyDescent="0.45">
      <c r="B116" s="45" t="s">
        <v>88</v>
      </c>
      <c r="C116" s="90"/>
      <c r="D116" s="56"/>
      <c r="E116" s="57"/>
      <c r="F116" s="58" t="e">
        <f>VLOOKUP($C116,'Daily_BU설비데이터 '!$C$20:$T$1000,4,0)</f>
        <v>#N/A</v>
      </c>
      <c r="G116" s="58" t="e">
        <f>VLOOKUP($C116,'Daily_BU설비데이터 '!$C$20:$T$1000,5,0)</f>
        <v>#N/A</v>
      </c>
      <c r="H116" s="58" t="e">
        <f>VLOOKUP($C116,'Daily_BU설비데이터 '!$C$20:$T$1000,6,0)</f>
        <v>#N/A</v>
      </c>
      <c r="I116" s="58" t="e">
        <f>VLOOKUP($C116,'Daily_BU설비데이터 '!$C$20:$T$1000,7,0)</f>
        <v>#N/A</v>
      </c>
      <c r="J116" s="58" t="e">
        <f>VLOOKUP($C116,'Daily_BU설비데이터 '!$C$20:$T$1000,8,0)</f>
        <v>#N/A</v>
      </c>
      <c r="K116" s="58" t="e">
        <f>VLOOKUP($C116,'Daily_BU설비데이터 '!$C$20:$T$1000,9,0)</f>
        <v>#N/A</v>
      </c>
      <c r="L116" s="59" t="e">
        <f t="shared" si="27"/>
        <v>#N/A</v>
      </c>
      <c r="M116" s="68" t="e">
        <f>VLOOKUP($C116,'Daily_BU설비데이터 '!$C$20:$T$1000,11,0)</f>
        <v>#N/A</v>
      </c>
      <c r="N116" s="68" t="e">
        <f>VLOOKUP($C116,'Daily_BU설비데이터 '!$C$20:$T$1000,12,0)</f>
        <v>#N/A</v>
      </c>
      <c r="O116" s="68" t="e">
        <f>VLOOKUP($C116,'Daily_BU설비데이터 '!$C$20:$T$1000,13,0)</f>
        <v>#N/A</v>
      </c>
      <c r="P116" s="68" t="e">
        <f>VLOOKUP($C116,'Daily_BU설비데이터 '!$C$20:$T$1000,14,0)</f>
        <v>#N/A</v>
      </c>
      <c r="Q116" s="99" t="e">
        <f t="shared" si="28"/>
        <v>#N/A</v>
      </c>
      <c r="R116" s="100" t="e">
        <f t="shared" si="29"/>
        <v>#N/A</v>
      </c>
      <c r="S116" s="83" t="e">
        <f>VLOOKUP($C116,'Daily_BU설비데이터 '!$C$20:$T$1000,17,0)</f>
        <v>#N/A</v>
      </c>
      <c r="T116" s="83" t="e">
        <f>VLOOKUP($C116,'Daily_BU설비데이터 '!$C$20:$T$1000,18,0)</f>
        <v>#N/A</v>
      </c>
      <c r="U116" s="101" t="e">
        <f t="shared" si="30"/>
        <v>#N/A</v>
      </c>
      <c r="V116" s="45"/>
      <c r="W116" s="45"/>
      <c r="X116" s="45"/>
      <c r="Y116" s="45"/>
      <c r="Z116" s="45"/>
      <c r="AA116" s="45"/>
      <c r="AY116" s="66"/>
      <c r="AZ116" s="66"/>
      <c r="BA116" s="66"/>
      <c r="BB116" s="22"/>
    </row>
    <row r="117" spans="2:54" ht="16" customHeight="1" x14ac:dyDescent="0.45">
      <c r="B117" s="45" t="s">
        <v>89</v>
      </c>
      <c r="C117" s="90"/>
      <c r="D117" s="56"/>
      <c r="E117" s="57"/>
      <c r="F117" s="58" t="e">
        <f>VLOOKUP($C117,'Daily_BU설비데이터 '!$C$20:$T$1000,4,0)</f>
        <v>#N/A</v>
      </c>
      <c r="G117" s="58" t="e">
        <f>VLOOKUP($C117,'Daily_BU설비데이터 '!$C$20:$T$1000,5,0)</f>
        <v>#N/A</v>
      </c>
      <c r="H117" s="58" t="e">
        <f>VLOOKUP($C117,'Daily_BU설비데이터 '!$C$20:$T$1000,6,0)</f>
        <v>#N/A</v>
      </c>
      <c r="I117" s="58" t="e">
        <f>VLOOKUP($C117,'Daily_BU설비데이터 '!$C$20:$T$1000,7,0)</f>
        <v>#N/A</v>
      </c>
      <c r="J117" s="58" t="e">
        <f>VLOOKUP($C117,'Daily_BU설비데이터 '!$C$20:$T$1000,8,0)</f>
        <v>#N/A</v>
      </c>
      <c r="K117" s="58" t="e">
        <f>VLOOKUP($C117,'Daily_BU설비데이터 '!$C$20:$T$1000,9,0)</f>
        <v>#N/A</v>
      </c>
      <c r="L117" s="59" t="e">
        <f t="shared" si="27"/>
        <v>#N/A</v>
      </c>
      <c r="M117" s="68" t="e">
        <f>VLOOKUP($C117,'Daily_BU설비데이터 '!$C$20:$T$1000,11,0)</f>
        <v>#N/A</v>
      </c>
      <c r="N117" s="68" t="e">
        <f>VLOOKUP($C117,'Daily_BU설비데이터 '!$C$20:$T$1000,12,0)</f>
        <v>#N/A</v>
      </c>
      <c r="O117" s="68" t="e">
        <f>VLOOKUP($C117,'Daily_BU설비데이터 '!$C$20:$T$1000,13,0)</f>
        <v>#N/A</v>
      </c>
      <c r="P117" s="68" t="e">
        <f>VLOOKUP($C117,'Daily_BU설비데이터 '!$C$20:$T$1000,14,0)</f>
        <v>#N/A</v>
      </c>
      <c r="Q117" s="99" t="e">
        <f t="shared" si="28"/>
        <v>#N/A</v>
      </c>
      <c r="R117" s="100" t="e">
        <f t="shared" si="29"/>
        <v>#N/A</v>
      </c>
      <c r="S117" s="83" t="e">
        <f>VLOOKUP($C117,'Daily_BU설비데이터 '!$C$20:$T$1000,17,0)</f>
        <v>#N/A</v>
      </c>
      <c r="T117" s="83" t="e">
        <f>VLOOKUP($C117,'Daily_BU설비데이터 '!$C$20:$T$1000,18,0)</f>
        <v>#N/A</v>
      </c>
      <c r="U117" s="101" t="e">
        <f t="shared" si="30"/>
        <v>#N/A</v>
      </c>
      <c r="V117" s="45"/>
      <c r="W117" s="45"/>
      <c r="X117" s="45"/>
      <c r="Y117" s="45"/>
      <c r="Z117" s="45"/>
      <c r="AA117" s="45"/>
      <c r="AY117" s="66"/>
      <c r="AZ117" s="66"/>
      <c r="BA117" s="66"/>
      <c r="BB117" s="22"/>
    </row>
    <row r="118" spans="2:54" x14ac:dyDescent="0.45">
      <c r="B118" s="45" t="s">
        <v>90</v>
      </c>
      <c r="C118" s="90"/>
      <c r="D118" s="56"/>
      <c r="E118" s="57"/>
      <c r="F118" s="58" t="e">
        <f>VLOOKUP($C118,'Daily_BU설비데이터 '!$C$20:$T$1000,4,0)</f>
        <v>#N/A</v>
      </c>
      <c r="G118" s="58" t="e">
        <f>VLOOKUP($C118,'Daily_BU설비데이터 '!$C$20:$T$1000,5,0)</f>
        <v>#N/A</v>
      </c>
      <c r="H118" s="58" t="e">
        <f>VLOOKUP($C118,'Daily_BU설비데이터 '!$C$20:$T$1000,6,0)</f>
        <v>#N/A</v>
      </c>
      <c r="I118" s="58" t="e">
        <f>VLOOKUP($C118,'Daily_BU설비데이터 '!$C$20:$T$1000,7,0)</f>
        <v>#N/A</v>
      </c>
      <c r="J118" s="58" t="e">
        <f>VLOOKUP($C118,'Daily_BU설비데이터 '!$C$20:$T$1000,8,0)</f>
        <v>#N/A</v>
      </c>
      <c r="K118" s="58" t="e">
        <f>VLOOKUP($C118,'Daily_BU설비데이터 '!$C$20:$T$1000,9,0)</f>
        <v>#N/A</v>
      </c>
      <c r="L118" s="59" t="e">
        <f t="shared" si="27"/>
        <v>#N/A</v>
      </c>
      <c r="M118" s="68" t="e">
        <f>VLOOKUP($C118,'Daily_BU설비데이터 '!$C$20:$T$1000,11,0)</f>
        <v>#N/A</v>
      </c>
      <c r="N118" s="68" t="e">
        <f>VLOOKUP($C118,'Daily_BU설비데이터 '!$C$20:$T$1000,12,0)</f>
        <v>#N/A</v>
      </c>
      <c r="O118" s="68" t="e">
        <f>VLOOKUP($C118,'Daily_BU설비데이터 '!$C$20:$T$1000,13,0)</f>
        <v>#N/A</v>
      </c>
      <c r="P118" s="68" t="e">
        <f>VLOOKUP($C118,'Daily_BU설비데이터 '!$C$20:$T$1000,14,0)</f>
        <v>#N/A</v>
      </c>
      <c r="Q118" s="99" t="e">
        <f t="shared" si="28"/>
        <v>#N/A</v>
      </c>
      <c r="R118" s="100" t="e">
        <f t="shared" si="29"/>
        <v>#N/A</v>
      </c>
      <c r="S118" s="83" t="e">
        <f>VLOOKUP($C118,'Daily_BU설비데이터 '!$C$20:$T$1000,17,0)</f>
        <v>#N/A</v>
      </c>
      <c r="T118" s="83" t="e">
        <f>VLOOKUP($C118,'Daily_BU설비데이터 '!$C$20:$T$1000,18,0)</f>
        <v>#N/A</v>
      </c>
      <c r="U118" s="101" t="e">
        <f t="shared" si="30"/>
        <v>#N/A</v>
      </c>
      <c r="V118" s="45"/>
      <c r="W118" s="45"/>
      <c r="X118" s="45"/>
      <c r="Y118" s="45"/>
      <c r="Z118" s="45"/>
      <c r="AA118" s="45"/>
      <c r="AY118" s="66"/>
      <c r="AZ118" s="66"/>
      <c r="BA118" s="66"/>
      <c r="BB118" s="22"/>
    </row>
    <row r="119" spans="2:54" x14ac:dyDescent="0.45">
      <c r="B119" s="45" t="s">
        <v>91</v>
      </c>
      <c r="C119" s="90"/>
      <c r="D119" s="56"/>
      <c r="E119" s="57"/>
      <c r="F119" s="58" t="e">
        <f>VLOOKUP($C119,'Daily_BU설비데이터 '!$C$20:$T$1000,4,0)</f>
        <v>#N/A</v>
      </c>
      <c r="G119" s="58" t="e">
        <f>VLOOKUP($C119,'Daily_BU설비데이터 '!$C$20:$T$1000,5,0)</f>
        <v>#N/A</v>
      </c>
      <c r="H119" s="58" t="e">
        <f>VLOOKUP($C119,'Daily_BU설비데이터 '!$C$20:$T$1000,6,0)</f>
        <v>#N/A</v>
      </c>
      <c r="I119" s="58" t="e">
        <f>VLOOKUP($C119,'Daily_BU설비데이터 '!$C$20:$T$1000,7,0)</f>
        <v>#N/A</v>
      </c>
      <c r="J119" s="58" t="e">
        <f>VLOOKUP($C119,'Daily_BU설비데이터 '!$C$20:$T$1000,8,0)</f>
        <v>#N/A</v>
      </c>
      <c r="K119" s="58" t="e">
        <f>VLOOKUP($C119,'Daily_BU설비데이터 '!$C$20:$T$1000,9,0)</f>
        <v>#N/A</v>
      </c>
      <c r="L119" s="59" t="e">
        <f t="shared" si="27"/>
        <v>#N/A</v>
      </c>
      <c r="M119" s="68" t="e">
        <f>VLOOKUP($C119,'Daily_BU설비데이터 '!$C$20:$T$1000,11,0)</f>
        <v>#N/A</v>
      </c>
      <c r="N119" s="68" t="e">
        <f>VLOOKUP($C119,'Daily_BU설비데이터 '!$C$20:$T$1000,12,0)</f>
        <v>#N/A</v>
      </c>
      <c r="O119" s="68" t="e">
        <f>VLOOKUP($C119,'Daily_BU설비데이터 '!$C$20:$T$1000,13,0)</f>
        <v>#N/A</v>
      </c>
      <c r="P119" s="68" t="e">
        <f>VLOOKUP($C119,'Daily_BU설비데이터 '!$C$20:$T$1000,14,0)</f>
        <v>#N/A</v>
      </c>
      <c r="Q119" s="99" t="e">
        <f t="shared" si="28"/>
        <v>#N/A</v>
      </c>
      <c r="R119" s="100" t="e">
        <f t="shared" si="29"/>
        <v>#N/A</v>
      </c>
      <c r="S119" s="83" t="e">
        <f>VLOOKUP($C119,'Daily_BU설비데이터 '!$C$20:$T$1000,17,0)</f>
        <v>#N/A</v>
      </c>
      <c r="T119" s="83" t="e">
        <f>VLOOKUP($C119,'Daily_BU설비데이터 '!$C$20:$T$1000,18,0)</f>
        <v>#N/A</v>
      </c>
      <c r="U119" s="101" t="e">
        <f t="shared" si="30"/>
        <v>#N/A</v>
      </c>
      <c r="V119" s="45"/>
      <c r="W119" s="45"/>
      <c r="X119" s="45"/>
      <c r="Y119" s="45"/>
      <c r="Z119" s="45"/>
      <c r="AA119" s="45"/>
      <c r="AY119" s="66"/>
      <c r="AZ119" s="66"/>
      <c r="BA119" s="66"/>
      <c r="BB119" s="22"/>
    </row>
    <row r="120" spans="2:54" x14ac:dyDescent="0.45">
      <c r="B120" s="45" t="s">
        <v>92</v>
      </c>
      <c r="C120" s="90"/>
      <c r="D120" s="56"/>
      <c r="E120" s="80"/>
      <c r="F120" s="58" t="e">
        <f>VLOOKUP($C120,'Daily_BU설비데이터 '!$C$20:$T$1000,4,0)</f>
        <v>#N/A</v>
      </c>
      <c r="G120" s="58" t="e">
        <f>VLOOKUP($C120,'Daily_BU설비데이터 '!$C$20:$T$1000,5,0)</f>
        <v>#N/A</v>
      </c>
      <c r="H120" s="58" t="e">
        <f>VLOOKUP($C120,'Daily_BU설비데이터 '!$C$20:$T$1000,6,0)</f>
        <v>#N/A</v>
      </c>
      <c r="I120" s="58" t="e">
        <f>VLOOKUP($C120,'Daily_BU설비데이터 '!$C$20:$T$1000,7,0)</f>
        <v>#N/A</v>
      </c>
      <c r="J120" s="58" t="e">
        <f>VLOOKUP($C120,'Daily_BU설비데이터 '!$C$20:$T$1000,8,0)</f>
        <v>#N/A</v>
      </c>
      <c r="K120" s="58" t="e">
        <f>VLOOKUP($C120,'Daily_BU설비데이터 '!$C$20:$T$1000,9,0)</f>
        <v>#N/A</v>
      </c>
      <c r="L120" s="59" t="e">
        <f t="shared" si="27"/>
        <v>#N/A</v>
      </c>
      <c r="M120" s="68" t="e">
        <f>VLOOKUP($C120,'Daily_BU설비데이터 '!$C$20:$T$1000,11,0)</f>
        <v>#N/A</v>
      </c>
      <c r="N120" s="68" t="e">
        <f>VLOOKUP($C120,'Daily_BU설비데이터 '!$C$20:$T$1000,12,0)</f>
        <v>#N/A</v>
      </c>
      <c r="O120" s="68" t="e">
        <f>VLOOKUP($C120,'Daily_BU설비데이터 '!$C$20:$T$1000,13,0)</f>
        <v>#N/A</v>
      </c>
      <c r="P120" s="68" t="e">
        <f>VLOOKUP($C120,'Daily_BU설비데이터 '!$C$20:$T$1000,14,0)</f>
        <v>#N/A</v>
      </c>
      <c r="Q120" s="99" t="e">
        <f t="shared" si="28"/>
        <v>#N/A</v>
      </c>
      <c r="R120" s="100" t="e">
        <f t="shared" si="29"/>
        <v>#N/A</v>
      </c>
      <c r="S120" s="83" t="e">
        <f>VLOOKUP($C120,'Daily_BU설비데이터 '!$C$20:$T$1000,17,0)</f>
        <v>#N/A</v>
      </c>
      <c r="T120" s="83" t="e">
        <f>VLOOKUP($C120,'Daily_BU설비데이터 '!$C$20:$T$1000,18,0)</f>
        <v>#N/A</v>
      </c>
      <c r="U120" s="101" t="e">
        <f t="shared" si="30"/>
        <v>#N/A</v>
      </c>
      <c r="V120" s="45"/>
      <c r="W120" s="45"/>
      <c r="X120" s="45"/>
      <c r="Y120" s="45"/>
      <c r="Z120" s="45"/>
      <c r="AA120" s="45"/>
      <c r="AY120" s="66"/>
      <c r="AZ120" s="66"/>
      <c r="BA120" s="66"/>
      <c r="BB120" s="22"/>
    </row>
    <row r="121" spans="2:54" x14ac:dyDescent="0.45">
      <c r="B121" s="45" t="s">
        <v>93</v>
      </c>
      <c r="C121" s="90"/>
      <c r="D121" s="56"/>
      <c r="E121" s="57"/>
      <c r="F121" s="58" t="e">
        <f>VLOOKUP($C121,'Daily_BU설비데이터 '!$C$20:$T$1000,4,0)</f>
        <v>#N/A</v>
      </c>
      <c r="G121" s="58" t="e">
        <f>VLOOKUP($C121,'Daily_BU설비데이터 '!$C$20:$T$1000,5,0)</f>
        <v>#N/A</v>
      </c>
      <c r="H121" s="58" t="e">
        <f>VLOOKUP($C121,'Daily_BU설비데이터 '!$C$20:$T$1000,6,0)</f>
        <v>#N/A</v>
      </c>
      <c r="I121" s="58" t="e">
        <f>VLOOKUP($C121,'Daily_BU설비데이터 '!$C$20:$T$1000,7,0)</f>
        <v>#N/A</v>
      </c>
      <c r="J121" s="58" t="e">
        <f>VLOOKUP($C121,'Daily_BU설비데이터 '!$C$20:$T$1000,8,0)</f>
        <v>#N/A</v>
      </c>
      <c r="K121" s="58" t="e">
        <f>VLOOKUP($C121,'Daily_BU설비데이터 '!$C$20:$T$1000,9,0)</f>
        <v>#N/A</v>
      </c>
      <c r="L121" s="59" t="e">
        <f t="shared" si="27"/>
        <v>#N/A</v>
      </c>
      <c r="M121" s="68" t="e">
        <f>VLOOKUP($C121,'Daily_BU설비데이터 '!$C$20:$T$1000,11,0)</f>
        <v>#N/A</v>
      </c>
      <c r="N121" s="68" t="e">
        <f>VLOOKUP($C121,'Daily_BU설비데이터 '!$C$20:$T$1000,12,0)</f>
        <v>#N/A</v>
      </c>
      <c r="O121" s="68" t="e">
        <f>VLOOKUP($C121,'Daily_BU설비데이터 '!$C$20:$T$1000,13,0)</f>
        <v>#N/A</v>
      </c>
      <c r="P121" s="68" t="e">
        <f>VLOOKUP($C121,'Daily_BU설비데이터 '!$C$20:$T$1000,14,0)</f>
        <v>#N/A</v>
      </c>
      <c r="Q121" s="99" t="e">
        <f t="shared" si="28"/>
        <v>#N/A</v>
      </c>
      <c r="R121" s="100" t="e">
        <f t="shared" si="29"/>
        <v>#N/A</v>
      </c>
      <c r="S121" s="83" t="e">
        <f>VLOOKUP($C121,'Daily_BU설비데이터 '!$C$20:$T$1000,17,0)</f>
        <v>#N/A</v>
      </c>
      <c r="T121" s="83" t="e">
        <f>VLOOKUP($C121,'Daily_BU설비데이터 '!$C$20:$T$1000,18,0)</f>
        <v>#N/A</v>
      </c>
      <c r="U121" s="101" t="e">
        <f t="shared" si="30"/>
        <v>#N/A</v>
      </c>
      <c r="V121" s="45"/>
      <c r="W121" s="45"/>
      <c r="X121" s="45"/>
      <c r="Y121" s="45"/>
      <c r="Z121" s="45"/>
      <c r="AA121" s="45"/>
      <c r="AY121" s="66"/>
      <c r="AZ121" s="66"/>
      <c r="BA121" s="66"/>
      <c r="BB121" s="22"/>
    </row>
    <row r="122" spans="2:54" x14ac:dyDescent="0.45">
      <c r="B122" s="45" t="s">
        <v>94</v>
      </c>
      <c r="C122" s="90"/>
      <c r="D122" s="56"/>
      <c r="E122" s="84"/>
      <c r="F122" s="58" t="e">
        <f>VLOOKUP($C122,'Daily_BU설비데이터 '!$C$20:$T$1000,4,0)</f>
        <v>#N/A</v>
      </c>
      <c r="G122" s="58" t="e">
        <f>VLOOKUP($C122,'Daily_BU설비데이터 '!$C$20:$T$1000,5,0)</f>
        <v>#N/A</v>
      </c>
      <c r="H122" s="58" t="e">
        <f>VLOOKUP($C122,'Daily_BU설비데이터 '!$C$20:$T$1000,6,0)</f>
        <v>#N/A</v>
      </c>
      <c r="I122" s="58" t="e">
        <f>VLOOKUP($C122,'Daily_BU설비데이터 '!$C$20:$T$1000,7,0)</f>
        <v>#N/A</v>
      </c>
      <c r="J122" s="58" t="e">
        <f>VLOOKUP($C122,'Daily_BU설비데이터 '!$C$20:$T$1000,8,0)</f>
        <v>#N/A</v>
      </c>
      <c r="K122" s="58" t="e">
        <f>VLOOKUP($C122,'Daily_BU설비데이터 '!$C$20:$T$1000,9,0)</f>
        <v>#N/A</v>
      </c>
      <c r="L122" s="59" t="e">
        <f t="shared" si="27"/>
        <v>#N/A</v>
      </c>
      <c r="M122" s="68" t="e">
        <f>VLOOKUP($C122,'Daily_BU설비데이터 '!$C$20:$T$1000,11,0)</f>
        <v>#N/A</v>
      </c>
      <c r="N122" s="68" t="e">
        <f>VLOOKUP($C122,'Daily_BU설비데이터 '!$C$20:$T$1000,12,0)</f>
        <v>#N/A</v>
      </c>
      <c r="O122" s="68" t="e">
        <f>VLOOKUP($C122,'Daily_BU설비데이터 '!$C$20:$T$1000,13,0)</f>
        <v>#N/A</v>
      </c>
      <c r="P122" s="68" t="e">
        <f>VLOOKUP($C122,'Daily_BU설비데이터 '!$C$20:$T$1000,14,0)</f>
        <v>#N/A</v>
      </c>
      <c r="Q122" s="99" t="e">
        <f t="shared" si="28"/>
        <v>#N/A</v>
      </c>
      <c r="R122" s="100" t="e">
        <f t="shared" si="29"/>
        <v>#N/A</v>
      </c>
      <c r="S122" s="83" t="e">
        <f>VLOOKUP($C122,'Daily_BU설비데이터 '!$C$20:$T$1000,17,0)</f>
        <v>#N/A</v>
      </c>
      <c r="T122" s="83" t="e">
        <f>VLOOKUP($C122,'Daily_BU설비데이터 '!$C$20:$T$1000,18,0)</f>
        <v>#N/A</v>
      </c>
      <c r="U122" s="101" t="e">
        <f t="shared" si="30"/>
        <v>#N/A</v>
      </c>
      <c r="V122" s="45"/>
      <c r="W122" s="45"/>
      <c r="X122" s="45"/>
      <c r="Y122" s="45"/>
      <c r="Z122" s="45"/>
      <c r="AA122" s="45"/>
      <c r="AY122" s="66"/>
      <c r="AZ122" s="66"/>
      <c r="BA122" s="66"/>
      <c r="BB122" s="22"/>
    </row>
    <row r="123" spans="2:54" x14ac:dyDescent="0.45">
      <c r="B123" s="45" t="s">
        <v>95</v>
      </c>
      <c r="C123" s="90"/>
      <c r="D123" s="56"/>
      <c r="E123" s="84"/>
      <c r="F123" s="58" t="e">
        <f>VLOOKUP($C123,'Daily_BU설비데이터 '!$C$20:$T$1000,4,0)</f>
        <v>#N/A</v>
      </c>
      <c r="G123" s="58" t="e">
        <f>VLOOKUP($C123,'Daily_BU설비데이터 '!$C$20:$T$1000,5,0)</f>
        <v>#N/A</v>
      </c>
      <c r="H123" s="58" t="e">
        <f>VLOOKUP($C123,'Daily_BU설비데이터 '!$C$20:$T$1000,6,0)</f>
        <v>#N/A</v>
      </c>
      <c r="I123" s="58" t="e">
        <f>VLOOKUP($C123,'Daily_BU설비데이터 '!$C$20:$T$1000,7,0)</f>
        <v>#N/A</v>
      </c>
      <c r="J123" s="58" t="e">
        <f>VLOOKUP($C123,'Daily_BU설비데이터 '!$C$20:$T$1000,8,0)</f>
        <v>#N/A</v>
      </c>
      <c r="K123" s="58" t="e">
        <f>VLOOKUP($C123,'Daily_BU설비데이터 '!$C$20:$T$1000,9,0)</f>
        <v>#N/A</v>
      </c>
      <c r="L123" s="59" t="e">
        <f t="shared" si="27"/>
        <v>#N/A</v>
      </c>
      <c r="M123" s="68" t="e">
        <f>VLOOKUP($C123,'Daily_BU설비데이터 '!$C$20:$T$1000,11,0)</f>
        <v>#N/A</v>
      </c>
      <c r="N123" s="68" t="e">
        <f>VLOOKUP($C123,'Daily_BU설비데이터 '!$C$20:$T$1000,12,0)</f>
        <v>#N/A</v>
      </c>
      <c r="O123" s="68" t="e">
        <f>VLOOKUP($C123,'Daily_BU설비데이터 '!$C$20:$T$1000,13,0)</f>
        <v>#N/A</v>
      </c>
      <c r="P123" s="68" t="e">
        <f>VLOOKUP($C123,'Daily_BU설비데이터 '!$C$20:$T$1000,14,0)</f>
        <v>#N/A</v>
      </c>
      <c r="Q123" s="99" t="e">
        <f t="shared" si="28"/>
        <v>#N/A</v>
      </c>
      <c r="R123" s="100" t="e">
        <f t="shared" si="29"/>
        <v>#N/A</v>
      </c>
      <c r="S123" s="83" t="e">
        <f>VLOOKUP($C123,'Daily_BU설비데이터 '!$C$20:$T$1000,17,0)</f>
        <v>#N/A</v>
      </c>
      <c r="T123" s="83" t="e">
        <f>VLOOKUP($C123,'Daily_BU설비데이터 '!$C$20:$T$1000,18,0)</f>
        <v>#N/A</v>
      </c>
      <c r="U123" s="101" t="e">
        <f t="shared" si="30"/>
        <v>#N/A</v>
      </c>
      <c r="V123" s="45"/>
      <c r="W123" s="45"/>
      <c r="X123" s="45"/>
      <c r="Y123" s="45"/>
      <c r="Z123" s="45"/>
      <c r="AA123" s="45"/>
      <c r="AY123" s="66"/>
      <c r="AZ123" s="66"/>
      <c r="BA123" s="66"/>
      <c r="BB123" s="22"/>
    </row>
    <row r="124" spans="2:54" x14ac:dyDescent="0.45">
      <c r="B124" s="45" t="s">
        <v>96</v>
      </c>
      <c r="C124" s="90"/>
      <c r="D124" s="56"/>
      <c r="E124" s="57"/>
      <c r="F124" s="58" t="e">
        <f>VLOOKUP($C124,'Daily_BU설비데이터 '!$C$20:$T$1000,4,0)</f>
        <v>#N/A</v>
      </c>
      <c r="G124" s="58" t="e">
        <f>VLOOKUP($C124,'Daily_BU설비데이터 '!$C$20:$T$1000,5,0)</f>
        <v>#N/A</v>
      </c>
      <c r="H124" s="58" t="e">
        <f>VLOOKUP($C124,'Daily_BU설비데이터 '!$C$20:$T$1000,6,0)</f>
        <v>#N/A</v>
      </c>
      <c r="I124" s="58" t="e">
        <f>VLOOKUP($C124,'Daily_BU설비데이터 '!$C$20:$T$1000,7,0)</f>
        <v>#N/A</v>
      </c>
      <c r="J124" s="58" t="e">
        <f>VLOOKUP($C124,'Daily_BU설비데이터 '!$C$20:$T$1000,8,0)</f>
        <v>#N/A</v>
      </c>
      <c r="K124" s="58" t="e">
        <f>VLOOKUP($C124,'Daily_BU설비데이터 '!$C$20:$T$1000,9,0)</f>
        <v>#N/A</v>
      </c>
      <c r="L124" s="59" t="e">
        <f t="shared" si="27"/>
        <v>#N/A</v>
      </c>
      <c r="M124" s="68" t="e">
        <f>VLOOKUP($C124,'Daily_BU설비데이터 '!$C$20:$T$1000,11,0)</f>
        <v>#N/A</v>
      </c>
      <c r="N124" s="68" t="e">
        <f>VLOOKUP($C124,'Daily_BU설비데이터 '!$C$20:$T$1000,12,0)</f>
        <v>#N/A</v>
      </c>
      <c r="O124" s="68" t="e">
        <f>VLOOKUP($C124,'Daily_BU설비데이터 '!$C$20:$T$1000,13,0)</f>
        <v>#N/A</v>
      </c>
      <c r="P124" s="68" t="e">
        <f>VLOOKUP($C124,'Daily_BU설비데이터 '!$C$20:$T$1000,14,0)</f>
        <v>#N/A</v>
      </c>
      <c r="Q124" s="99" t="e">
        <f t="shared" si="28"/>
        <v>#N/A</v>
      </c>
      <c r="R124" s="100" t="e">
        <f t="shared" si="29"/>
        <v>#N/A</v>
      </c>
      <c r="S124" s="83" t="e">
        <f>VLOOKUP($C124,'Daily_BU설비데이터 '!$C$20:$T$1000,17,0)</f>
        <v>#N/A</v>
      </c>
      <c r="T124" s="83" t="e">
        <f>VLOOKUP($C124,'Daily_BU설비데이터 '!$C$20:$T$1000,18,0)</f>
        <v>#N/A</v>
      </c>
      <c r="U124" s="101" t="e">
        <f t="shared" si="30"/>
        <v>#N/A</v>
      </c>
      <c r="V124" s="45"/>
      <c r="W124" s="45"/>
      <c r="X124" s="45"/>
      <c r="Y124" s="45"/>
      <c r="Z124" s="45"/>
      <c r="AA124" s="45"/>
      <c r="AY124" s="66"/>
      <c r="AZ124" s="66"/>
      <c r="BA124" s="66"/>
      <c r="BB124" s="22"/>
    </row>
    <row r="125" spans="2:54" x14ac:dyDescent="0.45">
      <c r="B125" s="45" t="s">
        <v>97</v>
      </c>
      <c r="C125" s="90"/>
      <c r="D125" s="56"/>
      <c r="E125" s="57"/>
      <c r="F125" s="58" t="e">
        <f>VLOOKUP($C125,'Daily_BU설비데이터 '!$C$20:$T$1000,4,0)</f>
        <v>#N/A</v>
      </c>
      <c r="G125" s="58" t="e">
        <f>VLOOKUP($C125,'Daily_BU설비데이터 '!$C$20:$T$1000,5,0)</f>
        <v>#N/A</v>
      </c>
      <c r="H125" s="58" t="e">
        <f>VLOOKUP($C125,'Daily_BU설비데이터 '!$C$20:$T$1000,6,0)</f>
        <v>#N/A</v>
      </c>
      <c r="I125" s="58" t="e">
        <f>VLOOKUP($C125,'Daily_BU설비데이터 '!$C$20:$T$1000,7,0)</f>
        <v>#N/A</v>
      </c>
      <c r="J125" s="58" t="e">
        <f>VLOOKUP($C125,'Daily_BU설비데이터 '!$C$20:$T$1000,8,0)</f>
        <v>#N/A</v>
      </c>
      <c r="K125" s="58" t="e">
        <f>VLOOKUP($C125,'Daily_BU설비데이터 '!$C$20:$T$1000,9,0)</f>
        <v>#N/A</v>
      </c>
      <c r="L125" s="59" t="e">
        <f t="shared" si="27"/>
        <v>#N/A</v>
      </c>
      <c r="M125" s="68" t="e">
        <f>VLOOKUP($C125,'Daily_BU설비데이터 '!$C$20:$T$1000,11,0)</f>
        <v>#N/A</v>
      </c>
      <c r="N125" s="68" t="e">
        <f>VLOOKUP($C125,'Daily_BU설비데이터 '!$C$20:$T$1000,12,0)</f>
        <v>#N/A</v>
      </c>
      <c r="O125" s="68" t="e">
        <f>VLOOKUP($C125,'Daily_BU설비데이터 '!$C$20:$T$1000,13,0)</f>
        <v>#N/A</v>
      </c>
      <c r="P125" s="68" t="e">
        <f>VLOOKUP($C125,'Daily_BU설비데이터 '!$C$20:$T$1000,14,0)</f>
        <v>#N/A</v>
      </c>
      <c r="Q125" s="99" t="e">
        <f t="shared" si="28"/>
        <v>#N/A</v>
      </c>
      <c r="R125" s="100" t="e">
        <f t="shared" si="29"/>
        <v>#N/A</v>
      </c>
      <c r="S125" s="83" t="e">
        <f>VLOOKUP($C125,'Daily_BU설비데이터 '!$C$20:$T$1000,17,0)</f>
        <v>#N/A</v>
      </c>
      <c r="T125" s="83" t="e">
        <f>VLOOKUP($C125,'Daily_BU설비데이터 '!$C$20:$T$1000,18,0)</f>
        <v>#N/A</v>
      </c>
      <c r="U125" s="101" t="e">
        <f t="shared" si="30"/>
        <v>#N/A</v>
      </c>
      <c r="V125" s="45"/>
      <c r="W125" s="45"/>
      <c r="X125" s="45"/>
      <c r="Y125" s="45"/>
      <c r="Z125" s="45"/>
      <c r="AA125" s="45"/>
      <c r="AY125" s="66"/>
      <c r="AZ125" s="66"/>
      <c r="BA125" s="66"/>
      <c r="BB125" s="22"/>
    </row>
    <row r="126" spans="2:54" ht="16" customHeight="1" x14ac:dyDescent="0.45">
      <c r="B126" s="45" t="s">
        <v>98</v>
      </c>
      <c r="C126" s="90"/>
      <c r="D126" s="56"/>
      <c r="E126" s="80"/>
      <c r="F126" s="58" t="e">
        <f>VLOOKUP($C126,'Daily_BU설비데이터 '!$C$20:$T$1000,4,0)</f>
        <v>#N/A</v>
      </c>
      <c r="G126" s="58" t="e">
        <f>VLOOKUP($C126,'Daily_BU설비데이터 '!$C$20:$T$1000,5,0)</f>
        <v>#N/A</v>
      </c>
      <c r="H126" s="58" t="e">
        <f>VLOOKUP($C126,'Daily_BU설비데이터 '!$C$20:$T$1000,6,0)</f>
        <v>#N/A</v>
      </c>
      <c r="I126" s="58" t="e">
        <f>VLOOKUP($C126,'Daily_BU설비데이터 '!$C$20:$T$1000,7,0)</f>
        <v>#N/A</v>
      </c>
      <c r="J126" s="58" t="e">
        <f>VLOOKUP($C126,'Daily_BU설비데이터 '!$C$20:$T$1000,8,0)</f>
        <v>#N/A</v>
      </c>
      <c r="K126" s="58" t="e">
        <f>VLOOKUP($C126,'Daily_BU설비데이터 '!$C$20:$T$1000,9,0)</f>
        <v>#N/A</v>
      </c>
      <c r="L126" s="59" t="e">
        <f t="shared" si="27"/>
        <v>#N/A</v>
      </c>
      <c r="M126" s="68" t="e">
        <f>VLOOKUP($C126,'Daily_BU설비데이터 '!$C$20:$T$1000,11,0)</f>
        <v>#N/A</v>
      </c>
      <c r="N126" s="68" t="e">
        <f>VLOOKUP($C126,'Daily_BU설비데이터 '!$C$20:$T$1000,12,0)</f>
        <v>#N/A</v>
      </c>
      <c r="O126" s="68" t="e">
        <f>VLOOKUP($C126,'Daily_BU설비데이터 '!$C$20:$T$1000,13,0)</f>
        <v>#N/A</v>
      </c>
      <c r="P126" s="68" t="e">
        <f>VLOOKUP($C126,'Daily_BU설비데이터 '!$C$20:$T$1000,14,0)</f>
        <v>#N/A</v>
      </c>
      <c r="Q126" s="99" t="e">
        <f t="shared" si="28"/>
        <v>#N/A</v>
      </c>
      <c r="R126" s="100" t="e">
        <f t="shared" si="29"/>
        <v>#N/A</v>
      </c>
      <c r="S126" s="83" t="e">
        <f>VLOOKUP($C126,'Daily_BU설비데이터 '!$C$20:$T$1000,17,0)</f>
        <v>#N/A</v>
      </c>
      <c r="T126" s="83" t="e">
        <f>VLOOKUP($C126,'Daily_BU설비데이터 '!$C$20:$T$1000,18,0)</f>
        <v>#N/A</v>
      </c>
      <c r="U126" s="101" t="e">
        <f t="shared" si="30"/>
        <v>#N/A</v>
      </c>
      <c r="V126" s="45"/>
      <c r="W126" s="45"/>
      <c r="X126" s="45"/>
      <c r="Y126" s="45"/>
      <c r="Z126" s="45"/>
      <c r="AA126" s="45"/>
      <c r="AY126" s="66"/>
      <c r="AZ126" s="66"/>
      <c r="BA126" s="66"/>
      <c r="BB126" s="22"/>
    </row>
    <row r="127" spans="2:54" ht="16" customHeight="1" x14ac:dyDescent="0.45">
      <c r="B127" s="45" t="s">
        <v>99</v>
      </c>
      <c r="C127" s="90"/>
      <c r="D127" s="56"/>
      <c r="E127" s="84"/>
      <c r="F127" s="58" t="e">
        <f>VLOOKUP($C127,'Daily_BU설비데이터 '!$C$20:$T$1000,4,0)</f>
        <v>#N/A</v>
      </c>
      <c r="G127" s="58" t="e">
        <f>VLOOKUP($C127,'Daily_BU설비데이터 '!$C$20:$T$1000,5,0)</f>
        <v>#N/A</v>
      </c>
      <c r="H127" s="58" t="e">
        <f>VLOOKUP($C127,'Daily_BU설비데이터 '!$C$20:$T$1000,6,0)</f>
        <v>#N/A</v>
      </c>
      <c r="I127" s="58" t="e">
        <f>VLOOKUP($C127,'Daily_BU설비데이터 '!$C$20:$T$1000,7,0)</f>
        <v>#N/A</v>
      </c>
      <c r="J127" s="58" t="e">
        <f>VLOOKUP($C127,'Daily_BU설비데이터 '!$C$20:$T$1000,8,0)</f>
        <v>#N/A</v>
      </c>
      <c r="K127" s="58" t="e">
        <f>VLOOKUP($C127,'Daily_BU설비데이터 '!$C$20:$T$1000,9,0)</f>
        <v>#N/A</v>
      </c>
      <c r="L127" s="59" t="e">
        <f t="shared" si="27"/>
        <v>#N/A</v>
      </c>
      <c r="M127" s="68" t="e">
        <f>VLOOKUP($C127,'Daily_BU설비데이터 '!$C$20:$T$1000,11,0)</f>
        <v>#N/A</v>
      </c>
      <c r="N127" s="68" t="e">
        <f>VLOOKUP($C127,'Daily_BU설비데이터 '!$C$20:$T$1000,12,0)</f>
        <v>#N/A</v>
      </c>
      <c r="O127" s="68" t="e">
        <f>VLOOKUP($C127,'Daily_BU설비데이터 '!$C$20:$T$1000,13,0)</f>
        <v>#N/A</v>
      </c>
      <c r="P127" s="68" t="e">
        <f>VLOOKUP($C127,'Daily_BU설비데이터 '!$C$20:$T$1000,14,0)</f>
        <v>#N/A</v>
      </c>
      <c r="Q127" s="99" t="e">
        <f t="shared" si="28"/>
        <v>#N/A</v>
      </c>
      <c r="R127" s="100" t="e">
        <f t="shared" si="29"/>
        <v>#N/A</v>
      </c>
      <c r="S127" s="83" t="e">
        <f>VLOOKUP($C127,'Daily_BU설비데이터 '!$C$20:$T$1000,17,0)</f>
        <v>#N/A</v>
      </c>
      <c r="T127" s="83" t="e">
        <f>VLOOKUP($C127,'Daily_BU설비데이터 '!$C$20:$T$1000,18,0)</f>
        <v>#N/A</v>
      </c>
      <c r="U127" s="101" t="e">
        <f t="shared" si="30"/>
        <v>#N/A</v>
      </c>
      <c r="V127" s="45"/>
      <c r="W127" s="45"/>
      <c r="X127" s="45"/>
      <c r="Y127" s="45"/>
      <c r="Z127" s="45"/>
      <c r="AA127" s="45"/>
      <c r="AY127" s="66"/>
      <c r="AZ127" s="66"/>
      <c r="BA127" s="66"/>
      <c r="BB127" s="22"/>
    </row>
    <row r="128" spans="2:54" ht="16" customHeight="1" x14ac:dyDescent="0.45">
      <c r="B128" s="45" t="s">
        <v>100</v>
      </c>
      <c r="C128" s="90"/>
      <c r="D128" s="56"/>
      <c r="E128" s="84"/>
      <c r="F128" s="58" t="e">
        <f>VLOOKUP($C128,'Daily_BU설비데이터 '!$C$20:$T$1000,4,0)</f>
        <v>#N/A</v>
      </c>
      <c r="G128" s="58" t="e">
        <f>VLOOKUP($C128,'Daily_BU설비데이터 '!$C$20:$T$1000,5,0)</f>
        <v>#N/A</v>
      </c>
      <c r="H128" s="58" t="e">
        <f>VLOOKUP($C128,'Daily_BU설비데이터 '!$C$20:$T$1000,6,0)</f>
        <v>#N/A</v>
      </c>
      <c r="I128" s="58" t="e">
        <f>VLOOKUP($C128,'Daily_BU설비데이터 '!$C$20:$T$1000,7,0)</f>
        <v>#N/A</v>
      </c>
      <c r="J128" s="58" t="e">
        <f>VLOOKUP($C128,'Daily_BU설비데이터 '!$C$20:$T$1000,8,0)</f>
        <v>#N/A</v>
      </c>
      <c r="K128" s="58" t="e">
        <f>VLOOKUP($C128,'Daily_BU설비데이터 '!$C$20:$T$1000,9,0)</f>
        <v>#N/A</v>
      </c>
      <c r="L128" s="59" t="e">
        <f t="shared" si="27"/>
        <v>#N/A</v>
      </c>
      <c r="M128" s="68" t="e">
        <f>VLOOKUP($C128,'Daily_BU설비데이터 '!$C$20:$T$1000,11,0)</f>
        <v>#N/A</v>
      </c>
      <c r="N128" s="68" t="e">
        <f>VLOOKUP($C128,'Daily_BU설비데이터 '!$C$20:$T$1000,12,0)</f>
        <v>#N/A</v>
      </c>
      <c r="O128" s="68" t="e">
        <f>VLOOKUP($C128,'Daily_BU설비데이터 '!$C$20:$T$1000,13,0)</f>
        <v>#N/A</v>
      </c>
      <c r="P128" s="68" t="e">
        <f>VLOOKUP($C128,'Daily_BU설비데이터 '!$C$20:$T$1000,14,0)</f>
        <v>#N/A</v>
      </c>
      <c r="Q128" s="99" t="e">
        <f t="shared" si="28"/>
        <v>#N/A</v>
      </c>
      <c r="R128" s="100" t="e">
        <f t="shared" si="29"/>
        <v>#N/A</v>
      </c>
      <c r="S128" s="83" t="e">
        <f>VLOOKUP($C128,'Daily_BU설비데이터 '!$C$20:$T$1000,17,0)</f>
        <v>#N/A</v>
      </c>
      <c r="T128" s="83" t="e">
        <f>VLOOKUP($C128,'Daily_BU설비데이터 '!$C$20:$T$1000,18,0)</f>
        <v>#N/A</v>
      </c>
      <c r="U128" s="101" t="e">
        <f t="shared" si="30"/>
        <v>#N/A</v>
      </c>
      <c r="V128" s="45"/>
      <c r="W128" s="45"/>
      <c r="X128" s="45"/>
      <c r="Y128" s="45"/>
      <c r="Z128" s="45"/>
      <c r="AA128" s="45"/>
      <c r="AY128" s="66"/>
      <c r="AZ128" s="66"/>
      <c r="BA128" s="66"/>
      <c r="BB128" s="22"/>
    </row>
    <row r="129" spans="2:54" ht="16" customHeight="1" x14ac:dyDescent="0.45">
      <c r="B129" s="45" t="s">
        <v>101</v>
      </c>
      <c r="C129" s="90"/>
      <c r="D129" s="56"/>
      <c r="E129" s="80"/>
      <c r="F129" s="58" t="e">
        <f>VLOOKUP($C129,'Daily_BU설비데이터 '!$C$20:$T$1000,4,0)</f>
        <v>#N/A</v>
      </c>
      <c r="G129" s="58" t="e">
        <f>VLOOKUP($C129,'Daily_BU설비데이터 '!$C$20:$T$1000,5,0)</f>
        <v>#N/A</v>
      </c>
      <c r="H129" s="58" t="e">
        <f>VLOOKUP($C129,'Daily_BU설비데이터 '!$C$20:$T$1000,6,0)</f>
        <v>#N/A</v>
      </c>
      <c r="I129" s="58" t="e">
        <f>VLOOKUP($C129,'Daily_BU설비데이터 '!$C$20:$T$1000,7,0)</f>
        <v>#N/A</v>
      </c>
      <c r="J129" s="58" t="e">
        <f>VLOOKUP($C129,'Daily_BU설비데이터 '!$C$20:$T$1000,8,0)</f>
        <v>#N/A</v>
      </c>
      <c r="K129" s="58" t="e">
        <f>VLOOKUP($C129,'Daily_BU설비데이터 '!$C$20:$T$1000,9,0)</f>
        <v>#N/A</v>
      </c>
      <c r="L129" s="59" t="e">
        <f t="shared" si="27"/>
        <v>#N/A</v>
      </c>
      <c r="M129" s="68" t="e">
        <f>VLOOKUP($C129,'Daily_BU설비데이터 '!$C$20:$T$1000,11,0)</f>
        <v>#N/A</v>
      </c>
      <c r="N129" s="68" t="e">
        <f>VLOOKUP($C129,'Daily_BU설비데이터 '!$C$20:$T$1000,12,0)</f>
        <v>#N/A</v>
      </c>
      <c r="O129" s="68" t="e">
        <f>VLOOKUP($C129,'Daily_BU설비데이터 '!$C$20:$T$1000,13,0)</f>
        <v>#N/A</v>
      </c>
      <c r="P129" s="68" t="e">
        <f>VLOOKUP($C129,'Daily_BU설비데이터 '!$C$20:$T$1000,14,0)</f>
        <v>#N/A</v>
      </c>
      <c r="Q129" s="99" t="e">
        <f t="shared" si="28"/>
        <v>#N/A</v>
      </c>
      <c r="R129" s="100" t="e">
        <f t="shared" si="29"/>
        <v>#N/A</v>
      </c>
      <c r="S129" s="83" t="e">
        <f>VLOOKUP($C129,'Daily_BU설비데이터 '!$C$20:$T$1000,17,0)</f>
        <v>#N/A</v>
      </c>
      <c r="T129" s="83" t="e">
        <f>VLOOKUP($C129,'Daily_BU설비데이터 '!$C$20:$T$1000,18,0)</f>
        <v>#N/A</v>
      </c>
      <c r="U129" s="101" t="e">
        <f t="shared" si="30"/>
        <v>#N/A</v>
      </c>
      <c r="V129" s="45"/>
      <c r="W129" s="45"/>
      <c r="X129" s="45"/>
      <c r="Y129" s="45"/>
      <c r="Z129" s="45"/>
      <c r="AA129" s="45"/>
      <c r="AY129" s="66"/>
      <c r="AZ129" s="66"/>
      <c r="BA129" s="66"/>
      <c r="BB129" s="22"/>
    </row>
    <row r="130" spans="2:54" x14ac:dyDescent="0.45">
      <c r="B130" s="45" t="s">
        <v>102</v>
      </c>
      <c r="C130" s="90"/>
      <c r="D130" s="56"/>
      <c r="E130" s="84"/>
      <c r="F130" s="58" t="e">
        <f>VLOOKUP($C130,'Daily_BU설비데이터 '!$C$20:$T$1000,4,0)</f>
        <v>#N/A</v>
      </c>
      <c r="G130" s="58" t="e">
        <f>VLOOKUP($C130,'Daily_BU설비데이터 '!$C$20:$T$1000,5,0)</f>
        <v>#N/A</v>
      </c>
      <c r="H130" s="58" t="e">
        <f>VLOOKUP($C130,'Daily_BU설비데이터 '!$C$20:$T$1000,6,0)</f>
        <v>#N/A</v>
      </c>
      <c r="I130" s="58" t="e">
        <f>VLOOKUP($C130,'Daily_BU설비데이터 '!$C$20:$T$1000,7,0)</f>
        <v>#N/A</v>
      </c>
      <c r="J130" s="58" t="e">
        <f>VLOOKUP($C130,'Daily_BU설비데이터 '!$C$20:$T$1000,8,0)</f>
        <v>#N/A</v>
      </c>
      <c r="K130" s="58" t="e">
        <f>VLOOKUP($C130,'Daily_BU설비데이터 '!$C$20:$T$1000,9,0)</f>
        <v>#N/A</v>
      </c>
      <c r="L130" s="59" t="e">
        <f t="shared" si="27"/>
        <v>#N/A</v>
      </c>
      <c r="M130" s="68" t="e">
        <f>VLOOKUP($C130,'Daily_BU설비데이터 '!$C$20:$T$1000,11,0)</f>
        <v>#N/A</v>
      </c>
      <c r="N130" s="68" t="e">
        <f>VLOOKUP($C130,'Daily_BU설비데이터 '!$C$20:$T$1000,12,0)</f>
        <v>#N/A</v>
      </c>
      <c r="O130" s="68" t="e">
        <f>VLOOKUP($C130,'Daily_BU설비데이터 '!$C$20:$T$1000,13,0)</f>
        <v>#N/A</v>
      </c>
      <c r="P130" s="68" t="e">
        <f>VLOOKUP($C130,'Daily_BU설비데이터 '!$C$20:$T$1000,14,0)</f>
        <v>#N/A</v>
      </c>
      <c r="Q130" s="99" t="e">
        <f t="shared" si="28"/>
        <v>#N/A</v>
      </c>
      <c r="R130" s="100" t="e">
        <f t="shared" si="29"/>
        <v>#N/A</v>
      </c>
      <c r="S130" s="83" t="e">
        <f>VLOOKUP($C130,'Daily_BU설비데이터 '!$C$20:$T$1000,17,0)</f>
        <v>#N/A</v>
      </c>
      <c r="T130" s="83" t="e">
        <f>VLOOKUP($C130,'Daily_BU설비데이터 '!$C$20:$T$1000,18,0)</f>
        <v>#N/A</v>
      </c>
      <c r="U130" s="101" t="e">
        <f t="shared" si="30"/>
        <v>#N/A</v>
      </c>
      <c r="V130" s="45"/>
      <c r="W130" s="45"/>
      <c r="X130" s="45"/>
      <c r="Y130" s="45"/>
      <c r="Z130" s="45"/>
      <c r="AA130" s="45"/>
      <c r="AY130" s="66"/>
      <c r="AZ130" s="66"/>
      <c r="BA130" s="66"/>
      <c r="BB130" s="22"/>
    </row>
    <row r="131" spans="2:54" x14ac:dyDescent="0.45">
      <c r="B131" s="45" t="s">
        <v>103</v>
      </c>
      <c r="C131" s="90"/>
      <c r="D131" s="56"/>
      <c r="E131" s="84"/>
      <c r="F131" s="58" t="e">
        <f>VLOOKUP($C131,'Daily_BU설비데이터 '!$C$20:$T$1000,4,0)</f>
        <v>#N/A</v>
      </c>
      <c r="G131" s="58" t="e">
        <f>VLOOKUP($C131,'Daily_BU설비데이터 '!$C$20:$T$1000,5,0)</f>
        <v>#N/A</v>
      </c>
      <c r="H131" s="58" t="e">
        <f>VLOOKUP($C131,'Daily_BU설비데이터 '!$C$20:$T$1000,6,0)</f>
        <v>#N/A</v>
      </c>
      <c r="I131" s="58" t="e">
        <f>VLOOKUP($C131,'Daily_BU설비데이터 '!$C$20:$T$1000,7,0)</f>
        <v>#N/A</v>
      </c>
      <c r="J131" s="58" t="e">
        <f>VLOOKUP($C131,'Daily_BU설비데이터 '!$C$20:$T$1000,8,0)</f>
        <v>#N/A</v>
      </c>
      <c r="K131" s="58" t="e">
        <f>VLOOKUP($C131,'Daily_BU설비데이터 '!$C$20:$T$1000,9,0)</f>
        <v>#N/A</v>
      </c>
      <c r="L131" s="59" t="e">
        <f t="shared" si="27"/>
        <v>#N/A</v>
      </c>
      <c r="M131" s="68" t="e">
        <f>VLOOKUP($C131,'Daily_BU설비데이터 '!$C$20:$T$1000,11,0)</f>
        <v>#N/A</v>
      </c>
      <c r="N131" s="68" t="e">
        <f>VLOOKUP($C131,'Daily_BU설비데이터 '!$C$20:$T$1000,12,0)</f>
        <v>#N/A</v>
      </c>
      <c r="O131" s="68" t="e">
        <f>VLOOKUP($C131,'Daily_BU설비데이터 '!$C$20:$T$1000,13,0)</f>
        <v>#N/A</v>
      </c>
      <c r="P131" s="68" t="e">
        <f>VLOOKUP($C131,'Daily_BU설비데이터 '!$C$20:$T$1000,14,0)</f>
        <v>#N/A</v>
      </c>
      <c r="Q131" s="99" t="e">
        <f t="shared" si="28"/>
        <v>#N/A</v>
      </c>
      <c r="R131" s="100" t="e">
        <f t="shared" si="29"/>
        <v>#N/A</v>
      </c>
      <c r="S131" s="83" t="e">
        <f>VLOOKUP($C131,'Daily_BU설비데이터 '!$C$20:$T$1000,17,0)</f>
        <v>#N/A</v>
      </c>
      <c r="T131" s="83" t="e">
        <f>VLOOKUP($C131,'Daily_BU설비데이터 '!$C$20:$T$1000,18,0)</f>
        <v>#N/A</v>
      </c>
      <c r="U131" s="101" t="e">
        <f t="shared" si="30"/>
        <v>#N/A</v>
      </c>
      <c r="V131" s="45"/>
      <c r="W131" s="45"/>
      <c r="X131" s="45"/>
      <c r="Y131" s="45"/>
      <c r="Z131" s="45"/>
      <c r="AA131" s="45"/>
      <c r="AY131" s="66"/>
      <c r="AZ131" s="66"/>
      <c r="BA131" s="66"/>
      <c r="BB131" s="22"/>
    </row>
    <row r="132" spans="2:54" x14ac:dyDescent="0.45">
      <c r="B132" s="45" t="s">
        <v>104</v>
      </c>
      <c r="C132" s="90"/>
      <c r="D132" s="56"/>
      <c r="E132" s="80"/>
      <c r="F132" s="58" t="e">
        <f>VLOOKUP($C132,'Daily_BU설비데이터 '!$C$20:$T$1000,4,0)</f>
        <v>#N/A</v>
      </c>
      <c r="G132" s="58" t="e">
        <f>VLOOKUP($C132,'Daily_BU설비데이터 '!$C$20:$T$1000,5,0)</f>
        <v>#N/A</v>
      </c>
      <c r="H132" s="58" t="e">
        <f>VLOOKUP($C132,'Daily_BU설비데이터 '!$C$20:$T$1000,6,0)</f>
        <v>#N/A</v>
      </c>
      <c r="I132" s="58" t="e">
        <f>VLOOKUP($C132,'Daily_BU설비데이터 '!$C$20:$T$1000,7,0)</f>
        <v>#N/A</v>
      </c>
      <c r="J132" s="58" t="e">
        <f>VLOOKUP($C132,'Daily_BU설비데이터 '!$C$20:$T$1000,8,0)</f>
        <v>#N/A</v>
      </c>
      <c r="K132" s="58" t="e">
        <f>VLOOKUP($C132,'Daily_BU설비데이터 '!$C$20:$T$1000,9,0)</f>
        <v>#N/A</v>
      </c>
      <c r="L132" s="59" t="e">
        <f t="shared" si="27"/>
        <v>#N/A</v>
      </c>
      <c r="M132" s="68" t="e">
        <f>VLOOKUP($C132,'Daily_BU설비데이터 '!$C$20:$T$1000,11,0)</f>
        <v>#N/A</v>
      </c>
      <c r="N132" s="68" t="e">
        <f>VLOOKUP($C132,'Daily_BU설비데이터 '!$C$20:$T$1000,12,0)</f>
        <v>#N/A</v>
      </c>
      <c r="O132" s="68" t="e">
        <f>VLOOKUP($C132,'Daily_BU설비데이터 '!$C$20:$T$1000,13,0)</f>
        <v>#N/A</v>
      </c>
      <c r="P132" s="68" t="e">
        <f>VLOOKUP($C132,'Daily_BU설비데이터 '!$C$20:$T$1000,14,0)</f>
        <v>#N/A</v>
      </c>
      <c r="Q132" s="99" t="e">
        <f t="shared" si="28"/>
        <v>#N/A</v>
      </c>
      <c r="R132" s="100" t="e">
        <f t="shared" si="29"/>
        <v>#N/A</v>
      </c>
      <c r="S132" s="83" t="e">
        <f>VLOOKUP($C132,'Daily_BU설비데이터 '!$C$20:$T$1000,17,0)</f>
        <v>#N/A</v>
      </c>
      <c r="T132" s="83" t="e">
        <f>VLOOKUP($C132,'Daily_BU설비데이터 '!$C$20:$T$1000,18,0)</f>
        <v>#N/A</v>
      </c>
      <c r="U132" s="101" t="e">
        <f t="shared" si="30"/>
        <v>#N/A</v>
      </c>
      <c r="V132" s="45"/>
      <c r="W132" s="45"/>
      <c r="X132" s="45"/>
      <c r="Y132" s="45"/>
      <c r="Z132" s="45"/>
      <c r="AA132" s="45"/>
      <c r="AY132" s="66"/>
      <c r="AZ132" s="66"/>
      <c r="BA132" s="66"/>
      <c r="BB132" s="22"/>
    </row>
    <row r="133" spans="2:54" x14ac:dyDescent="0.45">
      <c r="B133" s="45" t="s">
        <v>105</v>
      </c>
      <c r="C133" s="90"/>
      <c r="D133" s="56"/>
      <c r="E133" s="57"/>
      <c r="F133" s="58" t="e">
        <f>VLOOKUP($C133,'Daily_BU설비데이터 '!$C$20:$T$1000,4,0)</f>
        <v>#N/A</v>
      </c>
      <c r="G133" s="58" t="e">
        <f>VLOOKUP($C133,'Daily_BU설비데이터 '!$C$20:$T$1000,5,0)</f>
        <v>#N/A</v>
      </c>
      <c r="H133" s="58" t="e">
        <f>VLOOKUP($C133,'Daily_BU설비데이터 '!$C$20:$T$1000,6,0)</f>
        <v>#N/A</v>
      </c>
      <c r="I133" s="58" t="e">
        <f>VLOOKUP($C133,'Daily_BU설비데이터 '!$C$20:$T$1000,7,0)</f>
        <v>#N/A</v>
      </c>
      <c r="J133" s="58" t="e">
        <f>VLOOKUP($C133,'Daily_BU설비데이터 '!$C$20:$T$1000,8,0)</f>
        <v>#N/A</v>
      </c>
      <c r="K133" s="58" t="e">
        <f>VLOOKUP($C133,'Daily_BU설비데이터 '!$C$20:$T$1000,9,0)</f>
        <v>#N/A</v>
      </c>
      <c r="L133" s="59" t="e">
        <f t="shared" si="27"/>
        <v>#N/A</v>
      </c>
      <c r="M133" s="68" t="e">
        <f>VLOOKUP($C133,'Daily_BU설비데이터 '!$C$20:$T$1000,11,0)</f>
        <v>#N/A</v>
      </c>
      <c r="N133" s="68" t="e">
        <f>VLOOKUP($C133,'Daily_BU설비데이터 '!$C$20:$T$1000,12,0)</f>
        <v>#N/A</v>
      </c>
      <c r="O133" s="68" t="e">
        <f>VLOOKUP($C133,'Daily_BU설비데이터 '!$C$20:$T$1000,13,0)</f>
        <v>#N/A</v>
      </c>
      <c r="P133" s="68" t="e">
        <f>VLOOKUP($C133,'Daily_BU설비데이터 '!$C$20:$T$1000,14,0)</f>
        <v>#N/A</v>
      </c>
      <c r="Q133" s="99" t="e">
        <f t="shared" si="28"/>
        <v>#N/A</v>
      </c>
      <c r="R133" s="100" t="e">
        <f t="shared" si="29"/>
        <v>#N/A</v>
      </c>
      <c r="S133" s="83" t="e">
        <f>VLOOKUP($C133,'Daily_BU설비데이터 '!$C$20:$T$1000,17,0)</f>
        <v>#N/A</v>
      </c>
      <c r="T133" s="83" t="e">
        <f>VLOOKUP($C133,'Daily_BU설비데이터 '!$C$20:$T$1000,18,0)</f>
        <v>#N/A</v>
      </c>
      <c r="U133" s="101" t="e">
        <f t="shared" si="30"/>
        <v>#N/A</v>
      </c>
      <c r="V133" s="45"/>
      <c r="W133" s="45"/>
      <c r="X133" s="45"/>
      <c r="Y133" s="45"/>
      <c r="Z133" s="45"/>
      <c r="AA133" s="45"/>
      <c r="AY133" s="66"/>
      <c r="AZ133" s="66"/>
      <c r="BA133" s="66"/>
      <c r="BB133" s="22"/>
    </row>
    <row r="134" spans="2:54" x14ac:dyDescent="0.45">
      <c r="B134" s="45" t="s">
        <v>106</v>
      </c>
      <c r="C134" s="90"/>
      <c r="D134" s="56"/>
      <c r="E134" s="80"/>
      <c r="F134" s="58" t="e">
        <f>VLOOKUP($C134,'Daily_BU설비데이터 '!$C$20:$T$1000,4,0)</f>
        <v>#N/A</v>
      </c>
      <c r="G134" s="58" t="e">
        <f>VLOOKUP($C134,'Daily_BU설비데이터 '!$C$20:$T$1000,5,0)</f>
        <v>#N/A</v>
      </c>
      <c r="H134" s="58" t="e">
        <f>VLOOKUP($C134,'Daily_BU설비데이터 '!$C$20:$T$1000,6,0)</f>
        <v>#N/A</v>
      </c>
      <c r="I134" s="58" t="e">
        <f>VLOOKUP($C134,'Daily_BU설비데이터 '!$C$20:$T$1000,7,0)</f>
        <v>#N/A</v>
      </c>
      <c r="J134" s="58" t="e">
        <f>VLOOKUP($C134,'Daily_BU설비데이터 '!$C$20:$T$1000,8,0)</f>
        <v>#N/A</v>
      </c>
      <c r="K134" s="58" t="e">
        <f>VLOOKUP($C134,'Daily_BU설비데이터 '!$C$20:$T$1000,9,0)</f>
        <v>#N/A</v>
      </c>
      <c r="L134" s="59" t="e">
        <f t="shared" si="27"/>
        <v>#N/A</v>
      </c>
      <c r="M134" s="68" t="e">
        <f>VLOOKUP($C134,'Daily_BU설비데이터 '!$C$20:$T$1000,11,0)</f>
        <v>#N/A</v>
      </c>
      <c r="N134" s="68" t="e">
        <f>VLOOKUP($C134,'Daily_BU설비데이터 '!$C$20:$T$1000,12,0)</f>
        <v>#N/A</v>
      </c>
      <c r="O134" s="68" t="e">
        <f>VLOOKUP($C134,'Daily_BU설비데이터 '!$C$20:$T$1000,13,0)</f>
        <v>#N/A</v>
      </c>
      <c r="P134" s="68" t="e">
        <f>VLOOKUP($C134,'Daily_BU설비데이터 '!$C$20:$T$1000,14,0)</f>
        <v>#N/A</v>
      </c>
      <c r="Q134" s="99" t="e">
        <f t="shared" si="28"/>
        <v>#N/A</v>
      </c>
      <c r="R134" s="100" t="e">
        <f t="shared" si="29"/>
        <v>#N/A</v>
      </c>
      <c r="S134" s="83" t="e">
        <f>VLOOKUP($C134,'Daily_BU설비데이터 '!$C$20:$T$1000,17,0)</f>
        <v>#N/A</v>
      </c>
      <c r="T134" s="83" t="e">
        <f>VLOOKUP($C134,'Daily_BU설비데이터 '!$C$20:$T$1000,18,0)</f>
        <v>#N/A</v>
      </c>
      <c r="U134" s="101" t="e">
        <f t="shared" si="30"/>
        <v>#N/A</v>
      </c>
      <c r="V134" s="45"/>
      <c r="W134" s="45"/>
      <c r="X134" s="45"/>
      <c r="Y134" s="45"/>
      <c r="Z134" s="45"/>
      <c r="AA134" s="45"/>
      <c r="AY134" s="66"/>
      <c r="AZ134" s="66"/>
      <c r="BA134" s="66"/>
      <c r="BB134" s="22"/>
    </row>
    <row r="135" spans="2:54" x14ac:dyDescent="0.45">
      <c r="B135" s="45" t="s">
        <v>107</v>
      </c>
      <c r="C135" s="90"/>
      <c r="D135" s="56"/>
      <c r="E135" s="84"/>
      <c r="F135" s="58" t="e">
        <f>VLOOKUP($C135,'Daily_BU설비데이터 '!$C$20:$T$1000,4,0)</f>
        <v>#N/A</v>
      </c>
      <c r="G135" s="58" t="e">
        <f>VLOOKUP($C135,'Daily_BU설비데이터 '!$C$20:$T$1000,5,0)</f>
        <v>#N/A</v>
      </c>
      <c r="H135" s="58" t="e">
        <f>VLOOKUP($C135,'Daily_BU설비데이터 '!$C$20:$T$1000,6,0)</f>
        <v>#N/A</v>
      </c>
      <c r="I135" s="58" t="e">
        <f>VLOOKUP($C135,'Daily_BU설비데이터 '!$C$20:$T$1000,7,0)</f>
        <v>#N/A</v>
      </c>
      <c r="J135" s="58" t="e">
        <f>VLOOKUP($C135,'Daily_BU설비데이터 '!$C$20:$T$1000,8,0)</f>
        <v>#N/A</v>
      </c>
      <c r="K135" s="58" t="e">
        <f>VLOOKUP($C135,'Daily_BU설비데이터 '!$C$20:$T$1000,9,0)</f>
        <v>#N/A</v>
      </c>
      <c r="L135" s="59" t="e">
        <f t="shared" si="27"/>
        <v>#N/A</v>
      </c>
      <c r="M135" s="68" t="e">
        <f>VLOOKUP($C135,'Daily_BU설비데이터 '!$C$20:$T$1000,11,0)</f>
        <v>#N/A</v>
      </c>
      <c r="N135" s="68" t="e">
        <f>VLOOKUP($C135,'Daily_BU설비데이터 '!$C$20:$T$1000,12,0)</f>
        <v>#N/A</v>
      </c>
      <c r="O135" s="68" t="e">
        <f>VLOOKUP($C135,'Daily_BU설비데이터 '!$C$20:$T$1000,13,0)</f>
        <v>#N/A</v>
      </c>
      <c r="P135" s="68" t="e">
        <f>VLOOKUP($C135,'Daily_BU설비데이터 '!$C$20:$T$1000,14,0)</f>
        <v>#N/A</v>
      </c>
      <c r="Q135" s="99" t="e">
        <f t="shared" si="28"/>
        <v>#N/A</v>
      </c>
      <c r="R135" s="100" t="e">
        <f t="shared" si="29"/>
        <v>#N/A</v>
      </c>
      <c r="S135" s="83" t="e">
        <f>VLOOKUP($C135,'Daily_BU설비데이터 '!$C$20:$T$1000,17,0)</f>
        <v>#N/A</v>
      </c>
      <c r="T135" s="83" t="e">
        <f>VLOOKUP($C135,'Daily_BU설비데이터 '!$C$20:$T$1000,18,0)</f>
        <v>#N/A</v>
      </c>
      <c r="U135" s="101" t="e">
        <f t="shared" si="30"/>
        <v>#N/A</v>
      </c>
      <c r="V135" s="45"/>
      <c r="W135" s="45"/>
      <c r="X135" s="45"/>
      <c r="Y135" s="45"/>
      <c r="Z135" s="45"/>
      <c r="AA135" s="45"/>
      <c r="AY135" s="66"/>
      <c r="AZ135" s="66"/>
      <c r="BA135" s="66"/>
      <c r="BB135" s="22"/>
    </row>
    <row r="136" spans="2:54" x14ac:dyDescent="0.45">
      <c r="B136" s="45" t="s">
        <v>108</v>
      </c>
      <c r="C136" s="90"/>
      <c r="D136" s="56"/>
      <c r="E136" s="80"/>
      <c r="F136" s="58" t="e">
        <f>VLOOKUP($C136,'Daily_BU설비데이터 '!$C$20:$T$1000,4,0)</f>
        <v>#N/A</v>
      </c>
      <c r="G136" s="58" t="e">
        <f>VLOOKUP($C136,'Daily_BU설비데이터 '!$C$20:$T$1000,5,0)</f>
        <v>#N/A</v>
      </c>
      <c r="H136" s="58" t="e">
        <f>VLOOKUP($C136,'Daily_BU설비데이터 '!$C$20:$T$1000,6,0)</f>
        <v>#N/A</v>
      </c>
      <c r="I136" s="58" t="e">
        <f>VLOOKUP($C136,'Daily_BU설비데이터 '!$C$20:$T$1000,7,0)</f>
        <v>#N/A</v>
      </c>
      <c r="J136" s="58" t="e">
        <f>VLOOKUP($C136,'Daily_BU설비데이터 '!$C$20:$T$1000,8,0)</f>
        <v>#N/A</v>
      </c>
      <c r="K136" s="58" t="e">
        <f>VLOOKUP($C136,'Daily_BU설비데이터 '!$C$20:$T$1000,9,0)</f>
        <v>#N/A</v>
      </c>
      <c r="L136" s="59" t="e">
        <f t="shared" si="27"/>
        <v>#N/A</v>
      </c>
      <c r="M136" s="68" t="e">
        <f>VLOOKUP($C136,'Daily_BU설비데이터 '!$C$20:$T$1000,11,0)</f>
        <v>#N/A</v>
      </c>
      <c r="N136" s="68" t="e">
        <f>VLOOKUP($C136,'Daily_BU설비데이터 '!$C$20:$T$1000,12,0)</f>
        <v>#N/A</v>
      </c>
      <c r="O136" s="68" t="e">
        <f>VLOOKUP($C136,'Daily_BU설비데이터 '!$C$20:$T$1000,13,0)</f>
        <v>#N/A</v>
      </c>
      <c r="P136" s="68" t="e">
        <f>VLOOKUP($C136,'Daily_BU설비데이터 '!$C$20:$T$1000,14,0)</f>
        <v>#N/A</v>
      </c>
      <c r="Q136" s="99" t="e">
        <f t="shared" si="28"/>
        <v>#N/A</v>
      </c>
      <c r="R136" s="100" t="e">
        <f t="shared" si="29"/>
        <v>#N/A</v>
      </c>
      <c r="S136" s="83" t="e">
        <f>VLOOKUP($C136,'Daily_BU설비데이터 '!$C$20:$T$1000,17,0)</f>
        <v>#N/A</v>
      </c>
      <c r="T136" s="83" t="e">
        <f>VLOOKUP($C136,'Daily_BU설비데이터 '!$C$20:$T$1000,18,0)</f>
        <v>#N/A</v>
      </c>
      <c r="U136" s="101" t="e">
        <f t="shared" si="30"/>
        <v>#N/A</v>
      </c>
      <c r="V136" s="45"/>
      <c r="W136" s="45"/>
      <c r="X136" s="45"/>
      <c r="Y136" s="45"/>
      <c r="Z136" s="45"/>
      <c r="AA136" s="45"/>
      <c r="AY136" s="66"/>
      <c r="AZ136" s="66"/>
      <c r="BA136" s="66"/>
      <c r="BB136" s="22"/>
    </row>
    <row r="137" spans="2:54" x14ac:dyDescent="0.45">
      <c r="B137" s="45" t="s">
        <v>109</v>
      </c>
      <c r="C137" s="90"/>
      <c r="D137" s="56"/>
      <c r="E137" s="57"/>
      <c r="F137" s="58" t="e">
        <f>VLOOKUP($C137,'Daily_BU설비데이터 '!$C$20:$T$1000,4,0)</f>
        <v>#N/A</v>
      </c>
      <c r="G137" s="58" t="e">
        <f>VLOOKUP($C137,'Daily_BU설비데이터 '!$C$20:$T$1000,5,0)</f>
        <v>#N/A</v>
      </c>
      <c r="H137" s="58" t="e">
        <f>VLOOKUP($C137,'Daily_BU설비데이터 '!$C$20:$T$1000,6,0)</f>
        <v>#N/A</v>
      </c>
      <c r="I137" s="58" t="e">
        <f>VLOOKUP($C137,'Daily_BU설비데이터 '!$C$20:$T$1000,7,0)</f>
        <v>#N/A</v>
      </c>
      <c r="J137" s="58" t="e">
        <f>VLOOKUP($C137,'Daily_BU설비데이터 '!$C$20:$T$1000,8,0)</f>
        <v>#N/A</v>
      </c>
      <c r="K137" s="58" t="e">
        <f>VLOOKUP($C137,'Daily_BU설비데이터 '!$C$20:$T$1000,9,0)</f>
        <v>#N/A</v>
      </c>
      <c r="L137" s="59" t="e">
        <f t="shared" si="27"/>
        <v>#N/A</v>
      </c>
      <c r="M137" s="68" t="e">
        <f>VLOOKUP($C137,'Daily_BU설비데이터 '!$C$20:$T$1000,11,0)</f>
        <v>#N/A</v>
      </c>
      <c r="N137" s="68" t="e">
        <f>VLOOKUP($C137,'Daily_BU설비데이터 '!$C$20:$T$1000,12,0)</f>
        <v>#N/A</v>
      </c>
      <c r="O137" s="68" t="e">
        <f>VLOOKUP($C137,'Daily_BU설비데이터 '!$C$20:$T$1000,13,0)</f>
        <v>#N/A</v>
      </c>
      <c r="P137" s="68" t="e">
        <f>VLOOKUP($C137,'Daily_BU설비데이터 '!$C$20:$T$1000,14,0)</f>
        <v>#N/A</v>
      </c>
      <c r="Q137" s="99" t="e">
        <f t="shared" si="28"/>
        <v>#N/A</v>
      </c>
      <c r="R137" s="100" t="e">
        <f t="shared" si="29"/>
        <v>#N/A</v>
      </c>
      <c r="S137" s="83" t="e">
        <f>VLOOKUP($C137,'Daily_BU설비데이터 '!$C$20:$T$1000,17,0)</f>
        <v>#N/A</v>
      </c>
      <c r="T137" s="83" t="e">
        <f>VLOOKUP($C137,'Daily_BU설비데이터 '!$C$20:$T$1000,18,0)</f>
        <v>#N/A</v>
      </c>
      <c r="U137" s="101" t="e">
        <f t="shared" si="30"/>
        <v>#N/A</v>
      </c>
      <c r="V137" s="45"/>
      <c r="W137" s="45"/>
      <c r="X137" s="45"/>
      <c r="Y137" s="45"/>
      <c r="Z137" s="45"/>
      <c r="AA137" s="45"/>
      <c r="AY137" s="66"/>
      <c r="AZ137" s="66"/>
      <c r="BA137" s="66"/>
      <c r="BB137" s="22"/>
    </row>
    <row r="138" spans="2:54" x14ac:dyDescent="0.45">
      <c r="B138" s="45" t="s">
        <v>110</v>
      </c>
      <c r="C138" s="90"/>
      <c r="D138" s="56"/>
      <c r="E138" s="84"/>
      <c r="F138" s="58" t="e">
        <f>VLOOKUP($C138,'Daily_BU설비데이터 '!$C$20:$T$1000,4,0)</f>
        <v>#N/A</v>
      </c>
      <c r="G138" s="58" t="e">
        <f>VLOOKUP($C138,'Daily_BU설비데이터 '!$C$20:$T$1000,5,0)</f>
        <v>#N/A</v>
      </c>
      <c r="H138" s="58" t="e">
        <f>VLOOKUP($C138,'Daily_BU설비데이터 '!$C$20:$T$1000,6,0)</f>
        <v>#N/A</v>
      </c>
      <c r="I138" s="58" t="e">
        <f>VLOOKUP($C138,'Daily_BU설비데이터 '!$C$20:$T$1000,7,0)</f>
        <v>#N/A</v>
      </c>
      <c r="J138" s="58" t="e">
        <f>VLOOKUP($C138,'Daily_BU설비데이터 '!$C$20:$T$1000,8,0)</f>
        <v>#N/A</v>
      </c>
      <c r="K138" s="58" t="e">
        <f>VLOOKUP($C138,'Daily_BU설비데이터 '!$C$20:$T$1000,9,0)</f>
        <v>#N/A</v>
      </c>
      <c r="L138" s="59" t="e">
        <f t="shared" si="27"/>
        <v>#N/A</v>
      </c>
      <c r="M138" s="68" t="e">
        <f>VLOOKUP($C138,'Daily_BU설비데이터 '!$C$20:$T$1000,11,0)</f>
        <v>#N/A</v>
      </c>
      <c r="N138" s="68" t="e">
        <f>VLOOKUP($C138,'Daily_BU설비데이터 '!$C$20:$T$1000,12,0)</f>
        <v>#N/A</v>
      </c>
      <c r="O138" s="68" t="e">
        <f>VLOOKUP($C138,'Daily_BU설비데이터 '!$C$20:$T$1000,13,0)</f>
        <v>#N/A</v>
      </c>
      <c r="P138" s="68" t="e">
        <f>VLOOKUP($C138,'Daily_BU설비데이터 '!$C$20:$T$1000,14,0)</f>
        <v>#N/A</v>
      </c>
      <c r="Q138" s="99" t="e">
        <f t="shared" si="28"/>
        <v>#N/A</v>
      </c>
      <c r="R138" s="100" t="e">
        <f t="shared" si="29"/>
        <v>#N/A</v>
      </c>
      <c r="S138" s="83" t="e">
        <f>VLOOKUP($C138,'Daily_BU설비데이터 '!$C$20:$T$1000,17,0)</f>
        <v>#N/A</v>
      </c>
      <c r="T138" s="83" t="e">
        <f>VLOOKUP($C138,'Daily_BU설비데이터 '!$C$20:$T$1000,18,0)</f>
        <v>#N/A</v>
      </c>
      <c r="U138" s="101" t="e">
        <f t="shared" si="30"/>
        <v>#N/A</v>
      </c>
      <c r="V138" s="45"/>
      <c r="W138" s="45"/>
      <c r="X138" s="45"/>
      <c r="Y138" s="45"/>
      <c r="Z138" s="45"/>
      <c r="AA138" s="45"/>
      <c r="AY138" s="66"/>
      <c r="AZ138" s="66"/>
      <c r="BA138" s="66"/>
      <c r="BB138" s="22"/>
    </row>
    <row r="139" spans="2:54" x14ac:dyDescent="0.45">
      <c r="B139" s="45" t="s">
        <v>111</v>
      </c>
      <c r="C139" s="90"/>
      <c r="D139" s="56"/>
      <c r="E139" s="84"/>
      <c r="F139" s="58" t="e">
        <f>VLOOKUP($C139,'Daily_BU설비데이터 '!$C$20:$T$1000,4,0)</f>
        <v>#N/A</v>
      </c>
      <c r="G139" s="58" t="e">
        <f>VLOOKUP($C139,'Daily_BU설비데이터 '!$C$20:$T$1000,5,0)</f>
        <v>#N/A</v>
      </c>
      <c r="H139" s="58" t="e">
        <f>VLOOKUP($C139,'Daily_BU설비데이터 '!$C$20:$T$1000,6,0)</f>
        <v>#N/A</v>
      </c>
      <c r="I139" s="58" t="e">
        <f>VLOOKUP($C139,'Daily_BU설비데이터 '!$C$20:$T$1000,7,0)</f>
        <v>#N/A</v>
      </c>
      <c r="J139" s="58" t="e">
        <f>VLOOKUP($C139,'Daily_BU설비데이터 '!$C$20:$T$1000,8,0)</f>
        <v>#N/A</v>
      </c>
      <c r="K139" s="58" t="e">
        <f>VLOOKUP($C139,'Daily_BU설비데이터 '!$C$20:$T$1000,9,0)</f>
        <v>#N/A</v>
      </c>
      <c r="L139" s="59" t="e">
        <f t="shared" si="27"/>
        <v>#N/A</v>
      </c>
      <c r="M139" s="68" t="e">
        <f>VLOOKUP($C139,'Daily_BU설비데이터 '!$C$20:$T$1000,11,0)</f>
        <v>#N/A</v>
      </c>
      <c r="N139" s="68" t="e">
        <f>VLOOKUP($C139,'Daily_BU설비데이터 '!$C$20:$T$1000,12,0)</f>
        <v>#N/A</v>
      </c>
      <c r="O139" s="68" t="e">
        <f>VLOOKUP($C139,'Daily_BU설비데이터 '!$C$20:$T$1000,13,0)</f>
        <v>#N/A</v>
      </c>
      <c r="P139" s="68" t="e">
        <f>VLOOKUP($C139,'Daily_BU설비데이터 '!$C$20:$T$1000,14,0)</f>
        <v>#N/A</v>
      </c>
      <c r="Q139" s="99" t="e">
        <f t="shared" si="28"/>
        <v>#N/A</v>
      </c>
      <c r="R139" s="100" t="e">
        <f t="shared" si="29"/>
        <v>#N/A</v>
      </c>
      <c r="S139" s="83" t="e">
        <f>VLOOKUP($C139,'Daily_BU설비데이터 '!$C$20:$T$1000,17,0)</f>
        <v>#N/A</v>
      </c>
      <c r="T139" s="83" t="e">
        <f>VLOOKUP($C139,'Daily_BU설비데이터 '!$C$20:$T$1000,18,0)</f>
        <v>#N/A</v>
      </c>
      <c r="U139" s="101" t="e">
        <f t="shared" si="30"/>
        <v>#N/A</v>
      </c>
      <c r="V139" s="45"/>
      <c r="W139" s="45"/>
      <c r="X139" s="45"/>
      <c r="Y139" s="45"/>
      <c r="Z139" s="45"/>
      <c r="AA139" s="45"/>
      <c r="AY139" s="66"/>
      <c r="AZ139" s="66"/>
      <c r="BA139" s="66"/>
      <c r="BB139" s="22"/>
    </row>
    <row r="140" spans="2:54" x14ac:dyDescent="0.45">
      <c r="B140" s="45" t="s">
        <v>112</v>
      </c>
      <c r="C140" s="90"/>
      <c r="D140" s="56"/>
      <c r="E140" s="57"/>
      <c r="F140" s="58" t="e">
        <f>VLOOKUP($C140,'Daily_BU설비데이터 '!$C$20:$T$1000,4,0)</f>
        <v>#N/A</v>
      </c>
      <c r="G140" s="58" t="e">
        <f>VLOOKUP($C140,'Daily_BU설비데이터 '!$C$20:$T$1000,5,0)</f>
        <v>#N/A</v>
      </c>
      <c r="H140" s="58" t="e">
        <f>VLOOKUP($C140,'Daily_BU설비데이터 '!$C$20:$T$1000,6,0)</f>
        <v>#N/A</v>
      </c>
      <c r="I140" s="58" t="e">
        <f>VLOOKUP($C140,'Daily_BU설비데이터 '!$C$20:$T$1000,7,0)</f>
        <v>#N/A</v>
      </c>
      <c r="J140" s="58" t="e">
        <f>VLOOKUP($C140,'Daily_BU설비데이터 '!$C$20:$T$1000,8,0)</f>
        <v>#N/A</v>
      </c>
      <c r="K140" s="58" t="e">
        <f>VLOOKUP($C140,'Daily_BU설비데이터 '!$C$20:$T$1000,9,0)</f>
        <v>#N/A</v>
      </c>
      <c r="L140" s="59" t="e">
        <f t="shared" si="27"/>
        <v>#N/A</v>
      </c>
      <c r="M140" s="68" t="e">
        <f>VLOOKUP($C140,'Daily_BU설비데이터 '!$C$20:$T$1000,11,0)</f>
        <v>#N/A</v>
      </c>
      <c r="N140" s="68" t="e">
        <f>VLOOKUP($C140,'Daily_BU설비데이터 '!$C$20:$T$1000,12,0)</f>
        <v>#N/A</v>
      </c>
      <c r="O140" s="68" t="e">
        <f>VLOOKUP($C140,'Daily_BU설비데이터 '!$C$20:$T$1000,13,0)</f>
        <v>#N/A</v>
      </c>
      <c r="P140" s="68" t="e">
        <f>VLOOKUP($C140,'Daily_BU설비데이터 '!$C$20:$T$1000,14,0)</f>
        <v>#N/A</v>
      </c>
      <c r="Q140" s="99" t="e">
        <f t="shared" si="28"/>
        <v>#N/A</v>
      </c>
      <c r="R140" s="100" t="e">
        <f t="shared" si="29"/>
        <v>#N/A</v>
      </c>
      <c r="S140" s="83" t="e">
        <f>VLOOKUP($C140,'Daily_BU설비데이터 '!$C$20:$T$1000,17,0)</f>
        <v>#N/A</v>
      </c>
      <c r="T140" s="83" t="e">
        <f>VLOOKUP($C140,'Daily_BU설비데이터 '!$C$20:$T$1000,18,0)</f>
        <v>#N/A</v>
      </c>
      <c r="U140" s="101" t="e">
        <f t="shared" si="30"/>
        <v>#N/A</v>
      </c>
      <c r="V140" s="45"/>
      <c r="W140" s="45"/>
      <c r="X140" s="45"/>
      <c r="Y140" s="45"/>
      <c r="Z140" s="45"/>
      <c r="AA140" s="45"/>
      <c r="AY140" s="66"/>
      <c r="AZ140" s="66"/>
      <c r="BA140" s="66"/>
      <c r="BB140" s="22"/>
    </row>
    <row r="141" spans="2:54" x14ac:dyDescent="0.45">
      <c r="B141" s="45" t="s">
        <v>113</v>
      </c>
      <c r="C141" s="90"/>
      <c r="D141" s="56"/>
      <c r="E141" s="80"/>
      <c r="F141" s="58" t="e">
        <f>VLOOKUP($C141,'Daily_BU설비데이터 '!$C$20:$T$1000,4,0)</f>
        <v>#N/A</v>
      </c>
      <c r="G141" s="58" t="e">
        <f>VLOOKUP($C141,'Daily_BU설비데이터 '!$C$20:$T$1000,5,0)</f>
        <v>#N/A</v>
      </c>
      <c r="H141" s="58" t="e">
        <f>VLOOKUP($C141,'Daily_BU설비데이터 '!$C$20:$T$1000,6,0)</f>
        <v>#N/A</v>
      </c>
      <c r="I141" s="58" t="e">
        <f>VLOOKUP($C141,'Daily_BU설비데이터 '!$C$20:$T$1000,7,0)</f>
        <v>#N/A</v>
      </c>
      <c r="J141" s="58" t="e">
        <f>VLOOKUP($C141,'Daily_BU설비데이터 '!$C$20:$T$1000,8,0)</f>
        <v>#N/A</v>
      </c>
      <c r="K141" s="58" t="e">
        <f>VLOOKUP($C141,'Daily_BU설비데이터 '!$C$20:$T$1000,9,0)</f>
        <v>#N/A</v>
      </c>
      <c r="L141" s="59" t="e">
        <f t="shared" si="27"/>
        <v>#N/A</v>
      </c>
      <c r="M141" s="68" t="e">
        <f>VLOOKUP($C141,'Daily_BU설비데이터 '!$C$20:$T$1000,11,0)</f>
        <v>#N/A</v>
      </c>
      <c r="N141" s="68" t="e">
        <f>VLOOKUP($C141,'Daily_BU설비데이터 '!$C$20:$T$1000,12,0)</f>
        <v>#N/A</v>
      </c>
      <c r="O141" s="68" t="e">
        <f>VLOOKUP($C141,'Daily_BU설비데이터 '!$C$20:$T$1000,13,0)</f>
        <v>#N/A</v>
      </c>
      <c r="P141" s="68" t="e">
        <f>VLOOKUP($C141,'Daily_BU설비데이터 '!$C$20:$T$1000,14,0)</f>
        <v>#N/A</v>
      </c>
      <c r="Q141" s="99" t="e">
        <f t="shared" si="28"/>
        <v>#N/A</v>
      </c>
      <c r="R141" s="100" t="e">
        <f t="shared" si="29"/>
        <v>#N/A</v>
      </c>
      <c r="S141" s="83" t="e">
        <f>VLOOKUP($C141,'Daily_BU설비데이터 '!$C$20:$T$1000,17,0)</f>
        <v>#N/A</v>
      </c>
      <c r="T141" s="83" t="e">
        <f>VLOOKUP($C141,'Daily_BU설비데이터 '!$C$20:$T$1000,18,0)</f>
        <v>#N/A</v>
      </c>
      <c r="U141" s="101" t="e">
        <f t="shared" si="30"/>
        <v>#N/A</v>
      </c>
      <c r="V141" s="45"/>
      <c r="W141" s="45"/>
      <c r="X141" s="45"/>
      <c r="Y141" s="45"/>
      <c r="Z141" s="45"/>
      <c r="AA141" s="45"/>
      <c r="AY141" s="66"/>
      <c r="AZ141" s="66"/>
      <c r="BA141" s="66"/>
      <c r="BB141" s="22"/>
    </row>
    <row r="142" spans="2:54" ht="16" customHeight="1" x14ac:dyDescent="0.45">
      <c r="B142" s="45" t="s">
        <v>114</v>
      </c>
      <c r="C142" s="90"/>
      <c r="D142" s="56"/>
      <c r="E142" s="84"/>
      <c r="F142" s="58" t="e">
        <f>VLOOKUP($C142,'Daily_BU설비데이터 '!$C$20:$T$1000,4,0)</f>
        <v>#N/A</v>
      </c>
      <c r="G142" s="58" t="e">
        <f>VLOOKUP($C142,'Daily_BU설비데이터 '!$C$20:$T$1000,5,0)</f>
        <v>#N/A</v>
      </c>
      <c r="H142" s="58" t="e">
        <f>VLOOKUP($C142,'Daily_BU설비데이터 '!$C$20:$T$1000,6,0)</f>
        <v>#N/A</v>
      </c>
      <c r="I142" s="58" t="e">
        <f>VLOOKUP($C142,'Daily_BU설비데이터 '!$C$20:$T$1000,7,0)</f>
        <v>#N/A</v>
      </c>
      <c r="J142" s="58" t="e">
        <f>VLOOKUP($C142,'Daily_BU설비데이터 '!$C$20:$T$1000,8,0)</f>
        <v>#N/A</v>
      </c>
      <c r="K142" s="58" t="e">
        <f>VLOOKUP($C142,'Daily_BU설비데이터 '!$C$20:$T$1000,9,0)</f>
        <v>#N/A</v>
      </c>
      <c r="L142" s="59" t="e">
        <f t="shared" si="27"/>
        <v>#N/A</v>
      </c>
      <c r="M142" s="68" t="e">
        <f>VLOOKUP($C142,'Daily_BU설비데이터 '!$C$20:$T$1000,11,0)</f>
        <v>#N/A</v>
      </c>
      <c r="N142" s="68" t="e">
        <f>VLOOKUP($C142,'Daily_BU설비데이터 '!$C$20:$T$1000,12,0)</f>
        <v>#N/A</v>
      </c>
      <c r="O142" s="68" t="e">
        <f>VLOOKUP($C142,'Daily_BU설비데이터 '!$C$20:$T$1000,13,0)</f>
        <v>#N/A</v>
      </c>
      <c r="P142" s="68" t="e">
        <f>VLOOKUP($C142,'Daily_BU설비데이터 '!$C$20:$T$1000,14,0)</f>
        <v>#N/A</v>
      </c>
      <c r="Q142" s="99" t="e">
        <f t="shared" si="28"/>
        <v>#N/A</v>
      </c>
      <c r="R142" s="100" t="e">
        <f t="shared" si="29"/>
        <v>#N/A</v>
      </c>
      <c r="S142" s="83" t="e">
        <f>VLOOKUP($C142,'Daily_BU설비데이터 '!$C$20:$T$1000,17,0)</f>
        <v>#N/A</v>
      </c>
      <c r="T142" s="83" t="e">
        <f>VLOOKUP($C142,'Daily_BU설비데이터 '!$C$20:$T$1000,18,0)</f>
        <v>#N/A</v>
      </c>
      <c r="U142" s="101" t="e">
        <f t="shared" si="30"/>
        <v>#N/A</v>
      </c>
      <c r="V142" s="45"/>
      <c r="W142" s="45"/>
      <c r="X142" s="45"/>
      <c r="Y142" s="45"/>
      <c r="Z142" s="45"/>
      <c r="AA142" s="45"/>
      <c r="AY142" s="66"/>
      <c r="AZ142" s="66"/>
      <c r="BA142" s="66"/>
      <c r="BB142" s="22"/>
    </row>
    <row r="143" spans="2:54" ht="16" customHeight="1" x14ac:dyDescent="0.45">
      <c r="B143" s="45" t="s">
        <v>115</v>
      </c>
      <c r="C143" s="90"/>
      <c r="D143" s="56"/>
      <c r="E143" s="57"/>
      <c r="F143" s="58" t="e">
        <f>VLOOKUP($C143,'Daily_BU설비데이터 '!$C$20:$T$1000,4,0)</f>
        <v>#N/A</v>
      </c>
      <c r="G143" s="58" t="e">
        <f>VLOOKUP($C143,'Daily_BU설비데이터 '!$C$20:$T$1000,5,0)</f>
        <v>#N/A</v>
      </c>
      <c r="H143" s="58" t="e">
        <f>VLOOKUP($C143,'Daily_BU설비데이터 '!$C$20:$T$1000,6,0)</f>
        <v>#N/A</v>
      </c>
      <c r="I143" s="58" t="e">
        <f>VLOOKUP($C143,'Daily_BU설비데이터 '!$C$20:$T$1000,7,0)</f>
        <v>#N/A</v>
      </c>
      <c r="J143" s="58" t="e">
        <f>VLOOKUP($C143,'Daily_BU설비데이터 '!$C$20:$T$1000,8,0)</f>
        <v>#N/A</v>
      </c>
      <c r="K143" s="58" t="e">
        <f>VLOOKUP($C143,'Daily_BU설비데이터 '!$C$20:$T$1000,9,0)</f>
        <v>#N/A</v>
      </c>
      <c r="L143" s="59" t="e">
        <f t="shared" si="27"/>
        <v>#N/A</v>
      </c>
      <c r="M143" s="68" t="e">
        <f>VLOOKUP($C143,'Daily_BU설비데이터 '!$C$20:$T$1000,11,0)</f>
        <v>#N/A</v>
      </c>
      <c r="N143" s="68" t="e">
        <f>VLOOKUP($C143,'Daily_BU설비데이터 '!$C$20:$T$1000,12,0)</f>
        <v>#N/A</v>
      </c>
      <c r="O143" s="68" t="e">
        <f>VLOOKUP($C143,'Daily_BU설비데이터 '!$C$20:$T$1000,13,0)</f>
        <v>#N/A</v>
      </c>
      <c r="P143" s="68" t="e">
        <f>VLOOKUP($C143,'Daily_BU설비데이터 '!$C$20:$T$1000,14,0)</f>
        <v>#N/A</v>
      </c>
      <c r="Q143" s="99" t="e">
        <f t="shared" si="28"/>
        <v>#N/A</v>
      </c>
      <c r="R143" s="100" t="e">
        <f t="shared" si="29"/>
        <v>#N/A</v>
      </c>
      <c r="S143" s="83" t="e">
        <f>VLOOKUP($C143,'Daily_BU설비데이터 '!$C$20:$T$1000,17,0)</f>
        <v>#N/A</v>
      </c>
      <c r="T143" s="83" t="e">
        <f>VLOOKUP($C143,'Daily_BU설비데이터 '!$C$20:$T$1000,18,0)</f>
        <v>#N/A</v>
      </c>
      <c r="U143" s="101" t="e">
        <f t="shared" si="30"/>
        <v>#N/A</v>
      </c>
      <c r="V143" s="45"/>
      <c r="W143" s="45"/>
      <c r="X143" s="45"/>
      <c r="Y143" s="45"/>
      <c r="Z143" s="45"/>
      <c r="AA143" s="45"/>
      <c r="AY143" s="66"/>
      <c r="AZ143" s="66"/>
      <c r="BA143" s="66"/>
      <c r="BB143" s="22"/>
    </row>
    <row r="144" spans="2:54" ht="16" customHeight="1" x14ac:dyDescent="0.45">
      <c r="B144" s="45" t="s">
        <v>116</v>
      </c>
      <c r="C144" s="90"/>
      <c r="D144" s="56"/>
      <c r="E144" s="80"/>
      <c r="F144" s="58" t="e">
        <f>VLOOKUP($C144,'Daily_BU설비데이터 '!$C$20:$T$1000,4,0)</f>
        <v>#N/A</v>
      </c>
      <c r="G144" s="58" t="e">
        <f>VLOOKUP($C144,'Daily_BU설비데이터 '!$C$20:$T$1000,5,0)</f>
        <v>#N/A</v>
      </c>
      <c r="H144" s="58" t="e">
        <f>VLOOKUP($C144,'Daily_BU설비데이터 '!$C$20:$T$1000,6,0)</f>
        <v>#N/A</v>
      </c>
      <c r="I144" s="58" t="e">
        <f>VLOOKUP($C144,'Daily_BU설비데이터 '!$C$20:$T$1000,7,0)</f>
        <v>#N/A</v>
      </c>
      <c r="J144" s="58" t="e">
        <f>VLOOKUP($C144,'Daily_BU설비데이터 '!$C$20:$T$1000,8,0)</f>
        <v>#N/A</v>
      </c>
      <c r="K144" s="58" t="e">
        <f>VLOOKUP($C144,'Daily_BU설비데이터 '!$C$20:$T$1000,9,0)</f>
        <v>#N/A</v>
      </c>
      <c r="L144" s="59" t="e">
        <f t="shared" si="27"/>
        <v>#N/A</v>
      </c>
      <c r="M144" s="68" t="e">
        <f>VLOOKUP($C144,'Daily_BU설비데이터 '!$C$20:$T$1000,11,0)</f>
        <v>#N/A</v>
      </c>
      <c r="N144" s="68" t="e">
        <f>VLOOKUP($C144,'Daily_BU설비데이터 '!$C$20:$T$1000,12,0)</f>
        <v>#N/A</v>
      </c>
      <c r="O144" s="68" t="e">
        <f>VLOOKUP($C144,'Daily_BU설비데이터 '!$C$20:$T$1000,13,0)</f>
        <v>#N/A</v>
      </c>
      <c r="P144" s="68" t="e">
        <f>VLOOKUP($C144,'Daily_BU설비데이터 '!$C$20:$T$1000,14,0)</f>
        <v>#N/A</v>
      </c>
      <c r="Q144" s="99" t="e">
        <f t="shared" si="28"/>
        <v>#N/A</v>
      </c>
      <c r="R144" s="100" t="e">
        <f t="shared" si="29"/>
        <v>#N/A</v>
      </c>
      <c r="S144" s="83" t="e">
        <f>VLOOKUP($C144,'Daily_BU설비데이터 '!$C$20:$T$1000,17,0)</f>
        <v>#N/A</v>
      </c>
      <c r="T144" s="83" t="e">
        <f>VLOOKUP($C144,'Daily_BU설비데이터 '!$C$20:$T$1000,18,0)</f>
        <v>#N/A</v>
      </c>
      <c r="U144" s="101" t="e">
        <f t="shared" si="30"/>
        <v>#N/A</v>
      </c>
      <c r="V144" s="45"/>
      <c r="W144" s="45"/>
      <c r="X144" s="45"/>
      <c r="Y144" s="45"/>
      <c r="Z144" s="45"/>
      <c r="AA144" s="45"/>
      <c r="AY144" s="66"/>
      <c r="AZ144" s="66"/>
      <c r="BA144" s="66"/>
      <c r="BB144" s="22"/>
    </row>
    <row r="145" spans="2:54" ht="16" customHeight="1" x14ac:dyDescent="0.45">
      <c r="B145" s="45" t="s">
        <v>117</v>
      </c>
      <c r="C145" s="90"/>
      <c r="D145" s="56"/>
      <c r="E145" s="84"/>
      <c r="F145" s="58" t="e">
        <f>VLOOKUP($C145,'Daily_BU설비데이터 '!$C$20:$T$1000,4,0)</f>
        <v>#N/A</v>
      </c>
      <c r="G145" s="58" t="e">
        <f>VLOOKUP($C145,'Daily_BU설비데이터 '!$C$20:$T$1000,5,0)</f>
        <v>#N/A</v>
      </c>
      <c r="H145" s="58" t="e">
        <f>VLOOKUP($C145,'Daily_BU설비데이터 '!$C$20:$T$1000,6,0)</f>
        <v>#N/A</v>
      </c>
      <c r="I145" s="58" t="e">
        <f>VLOOKUP($C145,'Daily_BU설비데이터 '!$C$20:$T$1000,7,0)</f>
        <v>#N/A</v>
      </c>
      <c r="J145" s="58" t="e">
        <f>VLOOKUP($C145,'Daily_BU설비데이터 '!$C$20:$T$1000,8,0)</f>
        <v>#N/A</v>
      </c>
      <c r="K145" s="58" t="e">
        <f>VLOOKUP($C145,'Daily_BU설비데이터 '!$C$20:$T$1000,9,0)</f>
        <v>#N/A</v>
      </c>
      <c r="L145" s="59" t="e">
        <f t="shared" si="27"/>
        <v>#N/A</v>
      </c>
      <c r="M145" s="68" t="e">
        <f>VLOOKUP($C145,'Daily_BU설비데이터 '!$C$20:$T$1000,11,0)</f>
        <v>#N/A</v>
      </c>
      <c r="N145" s="68" t="e">
        <f>VLOOKUP($C145,'Daily_BU설비데이터 '!$C$20:$T$1000,12,0)</f>
        <v>#N/A</v>
      </c>
      <c r="O145" s="68" t="e">
        <f>VLOOKUP($C145,'Daily_BU설비데이터 '!$C$20:$T$1000,13,0)</f>
        <v>#N/A</v>
      </c>
      <c r="P145" s="68" t="e">
        <f>VLOOKUP($C145,'Daily_BU설비데이터 '!$C$20:$T$1000,14,0)</f>
        <v>#N/A</v>
      </c>
      <c r="Q145" s="99" t="e">
        <f t="shared" si="28"/>
        <v>#N/A</v>
      </c>
      <c r="R145" s="100" t="e">
        <f t="shared" si="29"/>
        <v>#N/A</v>
      </c>
      <c r="S145" s="83" t="e">
        <f>VLOOKUP($C145,'Daily_BU설비데이터 '!$C$20:$T$1000,17,0)</f>
        <v>#N/A</v>
      </c>
      <c r="T145" s="83" t="e">
        <f>VLOOKUP($C145,'Daily_BU설비데이터 '!$C$20:$T$1000,18,0)</f>
        <v>#N/A</v>
      </c>
      <c r="U145" s="101" t="e">
        <f t="shared" si="30"/>
        <v>#N/A</v>
      </c>
      <c r="V145" s="45"/>
      <c r="W145" s="45"/>
      <c r="X145" s="45"/>
      <c r="Y145" s="45"/>
      <c r="Z145" s="45"/>
      <c r="AA145" s="45"/>
      <c r="AY145" s="66"/>
      <c r="AZ145" s="66"/>
      <c r="BA145" s="66"/>
      <c r="BB145" s="22"/>
    </row>
    <row r="146" spans="2:54" x14ac:dyDescent="0.45">
      <c r="B146" s="45" t="s">
        <v>118</v>
      </c>
      <c r="C146" s="90"/>
      <c r="D146" s="56"/>
      <c r="E146" s="57"/>
      <c r="F146" s="58" t="e">
        <f>VLOOKUP($C146,'Daily_BU설비데이터 '!$C$20:$T$1000,4,0)</f>
        <v>#N/A</v>
      </c>
      <c r="G146" s="58" t="e">
        <f>VLOOKUP($C146,'Daily_BU설비데이터 '!$C$20:$T$1000,5,0)</f>
        <v>#N/A</v>
      </c>
      <c r="H146" s="58" t="e">
        <f>VLOOKUP($C146,'Daily_BU설비데이터 '!$C$20:$T$1000,6,0)</f>
        <v>#N/A</v>
      </c>
      <c r="I146" s="58" t="e">
        <f>VLOOKUP($C146,'Daily_BU설비데이터 '!$C$20:$T$1000,7,0)</f>
        <v>#N/A</v>
      </c>
      <c r="J146" s="58" t="e">
        <f>VLOOKUP($C146,'Daily_BU설비데이터 '!$C$20:$T$1000,8,0)</f>
        <v>#N/A</v>
      </c>
      <c r="K146" s="58" t="e">
        <f>VLOOKUP($C146,'Daily_BU설비데이터 '!$C$20:$T$1000,9,0)</f>
        <v>#N/A</v>
      </c>
      <c r="L146" s="59" t="e">
        <f t="shared" ref="L146:L209" si="35">1/2*((F146*I146+H146*K146+J146*G146)-(G146*H146+I146*J146+K146*F146))/0.1582*100</f>
        <v>#N/A</v>
      </c>
      <c r="M146" s="68" t="e">
        <f>VLOOKUP($C146,'Daily_BU설비데이터 '!$C$20:$T$1000,11,0)</f>
        <v>#N/A</v>
      </c>
      <c r="N146" s="68" t="e">
        <f>VLOOKUP($C146,'Daily_BU설비데이터 '!$C$20:$T$1000,12,0)</f>
        <v>#N/A</v>
      </c>
      <c r="O146" s="68" t="e">
        <f>VLOOKUP($C146,'Daily_BU설비데이터 '!$C$20:$T$1000,13,0)</f>
        <v>#N/A</v>
      </c>
      <c r="P146" s="68" t="e">
        <f>VLOOKUP($C146,'Daily_BU설비데이터 '!$C$20:$T$1000,14,0)</f>
        <v>#N/A</v>
      </c>
      <c r="Q146" s="99" t="e">
        <f t="shared" ref="Q146:Q209" si="36">O146/P146</f>
        <v>#N/A</v>
      </c>
      <c r="R146" s="100" t="e">
        <f t="shared" ref="R146:R209" si="37">SQRT(POWER(M146-$M$12,2)+POWER(N146-$N$12,2))</f>
        <v>#N/A</v>
      </c>
      <c r="S146" s="83" t="e">
        <f>VLOOKUP($C146,'Daily_BU설비데이터 '!$C$20:$T$1000,17,0)</f>
        <v>#N/A</v>
      </c>
      <c r="T146" s="83" t="e">
        <f>VLOOKUP($C146,'Daily_BU설비데이터 '!$C$20:$T$1000,18,0)</f>
        <v>#N/A</v>
      </c>
      <c r="U146" s="101" t="e">
        <f t="shared" ref="U146:U209" si="38">(-449*((M146-0.332)/(N146-0.1858))^3)+(3525*((M146-0.332)/(N146-0.1858))^2)+(-6823.3*(M146-0.332)/(N146-0.1858))+5520.33</f>
        <v>#N/A</v>
      </c>
      <c r="V146" s="45"/>
      <c r="W146" s="45"/>
      <c r="X146" s="45"/>
      <c r="Y146" s="45"/>
      <c r="Z146" s="45"/>
      <c r="AA146" s="45"/>
      <c r="AY146" s="66"/>
      <c r="AZ146" s="66"/>
      <c r="BA146" s="66"/>
      <c r="BB146" s="22"/>
    </row>
    <row r="147" spans="2:54" x14ac:dyDescent="0.45">
      <c r="B147" s="45" t="s">
        <v>119</v>
      </c>
      <c r="C147" s="90"/>
      <c r="D147" s="56"/>
      <c r="E147" s="80"/>
      <c r="F147" s="58" t="e">
        <f>VLOOKUP($C147,'Daily_BU설비데이터 '!$C$20:$T$1000,4,0)</f>
        <v>#N/A</v>
      </c>
      <c r="G147" s="58" t="e">
        <f>VLOOKUP($C147,'Daily_BU설비데이터 '!$C$20:$T$1000,5,0)</f>
        <v>#N/A</v>
      </c>
      <c r="H147" s="58" t="e">
        <f>VLOOKUP($C147,'Daily_BU설비데이터 '!$C$20:$T$1000,6,0)</f>
        <v>#N/A</v>
      </c>
      <c r="I147" s="58" t="e">
        <f>VLOOKUP($C147,'Daily_BU설비데이터 '!$C$20:$T$1000,7,0)</f>
        <v>#N/A</v>
      </c>
      <c r="J147" s="58" t="e">
        <f>VLOOKUP($C147,'Daily_BU설비데이터 '!$C$20:$T$1000,8,0)</f>
        <v>#N/A</v>
      </c>
      <c r="K147" s="58" t="e">
        <f>VLOOKUP($C147,'Daily_BU설비데이터 '!$C$20:$T$1000,9,0)</f>
        <v>#N/A</v>
      </c>
      <c r="L147" s="59" t="e">
        <f t="shared" si="35"/>
        <v>#N/A</v>
      </c>
      <c r="M147" s="68" t="e">
        <f>VLOOKUP($C147,'Daily_BU설비데이터 '!$C$20:$T$1000,11,0)</f>
        <v>#N/A</v>
      </c>
      <c r="N147" s="68" t="e">
        <f>VLOOKUP($C147,'Daily_BU설비데이터 '!$C$20:$T$1000,12,0)</f>
        <v>#N/A</v>
      </c>
      <c r="O147" s="68" t="e">
        <f>VLOOKUP($C147,'Daily_BU설비데이터 '!$C$20:$T$1000,13,0)</f>
        <v>#N/A</v>
      </c>
      <c r="P147" s="68" t="e">
        <f>VLOOKUP($C147,'Daily_BU설비데이터 '!$C$20:$T$1000,14,0)</f>
        <v>#N/A</v>
      </c>
      <c r="Q147" s="99" t="e">
        <f t="shared" si="36"/>
        <v>#N/A</v>
      </c>
      <c r="R147" s="100" t="e">
        <f t="shared" si="37"/>
        <v>#N/A</v>
      </c>
      <c r="S147" s="83" t="e">
        <f>VLOOKUP($C147,'Daily_BU설비데이터 '!$C$20:$T$1000,17,0)</f>
        <v>#N/A</v>
      </c>
      <c r="T147" s="83" t="e">
        <f>VLOOKUP($C147,'Daily_BU설비데이터 '!$C$20:$T$1000,18,0)</f>
        <v>#N/A</v>
      </c>
      <c r="U147" s="101" t="e">
        <f t="shared" si="38"/>
        <v>#N/A</v>
      </c>
      <c r="V147" s="45"/>
      <c r="W147" s="45"/>
      <c r="X147" s="45"/>
      <c r="Y147" s="45"/>
      <c r="Z147" s="45"/>
      <c r="AA147" s="45"/>
      <c r="AY147" s="66"/>
      <c r="AZ147" s="66"/>
      <c r="BA147" s="66"/>
      <c r="BB147" s="22"/>
    </row>
    <row r="148" spans="2:54" x14ac:dyDescent="0.45">
      <c r="B148" s="45" t="s">
        <v>120</v>
      </c>
      <c r="C148" s="90"/>
      <c r="D148" s="56"/>
      <c r="E148" s="84"/>
      <c r="F148" s="58" t="e">
        <f>VLOOKUP($C148,'Daily_BU설비데이터 '!$C$20:$T$1000,4,0)</f>
        <v>#N/A</v>
      </c>
      <c r="G148" s="58" t="e">
        <f>VLOOKUP($C148,'Daily_BU설비데이터 '!$C$20:$T$1000,5,0)</f>
        <v>#N/A</v>
      </c>
      <c r="H148" s="58" t="e">
        <f>VLOOKUP($C148,'Daily_BU설비데이터 '!$C$20:$T$1000,6,0)</f>
        <v>#N/A</v>
      </c>
      <c r="I148" s="58" t="e">
        <f>VLOOKUP($C148,'Daily_BU설비데이터 '!$C$20:$T$1000,7,0)</f>
        <v>#N/A</v>
      </c>
      <c r="J148" s="58" t="e">
        <f>VLOOKUP($C148,'Daily_BU설비데이터 '!$C$20:$T$1000,8,0)</f>
        <v>#N/A</v>
      </c>
      <c r="K148" s="58" t="e">
        <f>VLOOKUP($C148,'Daily_BU설비데이터 '!$C$20:$T$1000,9,0)</f>
        <v>#N/A</v>
      </c>
      <c r="L148" s="59" t="e">
        <f t="shared" si="35"/>
        <v>#N/A</v>
      </c>
      <c r="M148" s="68" t="e">
        <f>VLOOKUP($C148,'Daily_BU설비데이터 '!$C$20:$T$1000,11,0)</f>
        <v>#N/A</v>
      </c>
      <c r="N148" s="68" t="e">
        <f>VLOOKUP($C148,'Daily_BU설비데이터 '!$C$20:$T$1000,12,0)</f>
        <v>#N/A</v>
      </c>
      <c r="O148" s="68" t="e">
        <f>VLOOKUP($C148,'Daily_BU설비데이터 '!$C$20:$T$1000,13,0)</f>
        <v>#N/A</v>
      </c>
      <c r="P148" s="68" t="e">
        <f>VLOOKUP($C148,'Daily_BU설비데이터 '!$C$20:$T$1000,14,0)</f>
        <v>#N/A</v>
      </c>
      <c r="Q148" s="99" t="e">
        <f t="shared" si="36"/>
        <v>#N/A</v>
      </c>
      <c r="R148" s="100" t="e">
        <f t="shared" si="37"/>
        <v>#N/A</v>
      </c>
      <c r="S148" s="83" t="e">
        <f>VLOOKUP($C148,'Daily_BU설비데이터 '!$C$20:$T$1000,17,0)</f>
        <v>#N/A</v>
      </c>
      <c r="T148" s="83" t="e">
        <f>VLOOKUP($C148,'Daily_BU설비데이터 '!$C$20:$T$1000,18,0)</f>
        <v>#N/A</v>
      </c>
      <c r="U148" s="101" t="e">
        <f t="shared" si="38"/>
        <v>#N/A</v>
      </c>
      <c r="V148" s="45"/>
      <c r="W148" s="45"/>
      <c r="X148" s="45"/>
      <c r="Y148" s="45"/>
      <c r="Z148" s="45"/>
      <c r="AA148" s="45"/>
      <c r="AY148" s="66"/>
      <c r="AZ148" s="66"/>
      <c r="BA148" s="66"/>
      <c r="BB148" s="22"/>
    </row>
    <row r="149" spans="2:54" x14ac:dyDescent="0.45">
      <c r="B149" s="45" t="s">
        <v>121</v>
      </c>
      <c r="C149" s="90"/>
      <c r="D149" s="56"/>
      <c r="E149" s="57"/>
      <c r="F149" s="58" t="e">
        <f>VLOOKUP($C149,'Daily_BU설비데이터 '!$C$20:$T$1000,4,0)</f>
        <v>#N/A</v>
      </c>
      <c r="G149" s="58" t="e">
        <f>VLOOKUP($C149,'Daily_BU설비데이터 '!$C$20:$T$1000,5,0)</f>
        <v>#N/A</v>
      </c>
      <c r="H149" s="58" t="e">
        <f>VLOOKUP($C149,'Daily_BU설비데이터 '!$C$20:$T$1000,6,0)</f>
        <v>#N/A</v>
      </c>
      <c r="I149" s="58" t="e">
        <f>VLOOKUP($C149,'Daily_BU설비데이터 '!$C$20:$T$1000,7,0)</f>
        <v>#N/A</v>
      </c>
      <c r="J149" s="58" t="e">
        <f>VLOOKUP($C149,'Daily_BU설비데이터 '!$C$20:$T$1000,8,0)</f>
        <v>#N/A</v>
      </c>
      <c r="K149" s="58" t="e">
        <f>VLOOKUP($C149,'Daily_BU설비데이터 '!$C$20:$T$1000,9,0)</f>
        <v>#N/A</v>
      </c>
      <c r="L149" s="59" t="e">
        <f t="shared" si="35"/>
        <v>#N/A</v>
      </c>
      <c r="M149" s="68" t="e">
        <f>VLOOKUP($C149,'Daily_BU설비데이터 '!$C$20:$T$1000,11,0)</f>
        <v>#N/A</v>
      </c>
      <c r="N149" s="68" t="e">
        <f>VLOOKUP($C149,'Daily_BU설비데이터 '!$C$20:$T$1000,12,0)</f>
        <v>#N/A</v>
      </c>
      <c r="O149" s="68" t="e">
        <f>VLOOKUP($C149,'Daily_BU설비데이터 '!$C$20:$T$1000,13,0)</f>
        <v>#N/A</v>
      </c>
      <c r="P149" s="68" t="e">
        <f>VLOOKUP($C149,'Daily_BU설비데이터 '!$C$20:$T$1000,14,0)</f>
        <v>#N/A</v>
      </c>
      <c r="Q149" s="99" t="e">
        <f t="shared" si="36"/>
        <v>#N/A</v>
      </c>
      <c r="R149" s="100" t="e">
        <f t="shared" si="37"/>
        <v>#N/A</v>
      </c>
      <c r="S149" s="83" t="e">
        <f>VLOOKUP($C149,'Daily_BU설비데이터 '!$C$20:$T$1000,17,0)</f>
        <v>#N/A</v>
      </c>
      <c r="T149" s="83" t="e">
        <f>VLOOKUP($C149,'Daily_BU설비데이터 '!$C$20:$T$1000,18,0)</f>
        <v>#N/A</v>
      </c>
      <c r="U149" s="101" t="e">
        <f t="shared" si="38"/>
        <v>#N/A</v>
      </c>
      <c r="V149" s="45"/>
      <c r="W149" s="45"/>
      <c r="X149" s="45"/>
      <c r="Y149" s="45"/>
      <c r="Z149" s="45"/>
      <c r="AA149" s="45"/>
      <c r="AY149" s="66"/>
      <c r="AZ149" s="66"/>
      <c r="BA149" s="66"/>
      <c r="BB149" s="22"/>
    </row>
    <row r="150" spans="2:54" x14ac:dyDescent="0.45">
      <c r="B150" s="45" t="s">
        <v>122</v>
      </c>
      <c r="C150" s="90"/>
      <c r="D150" s="56"/>
      <c r="E150" s="80"/>
      <c r="F150" s="58" t="e">
        <f>VLOOKUP($C150,'Daily_BU설비데이터 '!$C$20:$T$1000,4,0)</f>
        <v>#N/A</v>
      </c>
      <c r="G150" s="58" t="e">
        <f>VLOOKUP($C150,'Daily_BU설비데이터 '!$C$20:$T$1000,5,0)</f>
        <v>#N/A</v>
      </c>
      <c r="H150" s="58" t="e">
        <f>VLOOKUP($C150,'Daily_BU설비데이터 '!$C$20:$T$1000,6,0)</f>
        <v>#N/A</v>
      </c>
      <c r="I150" s="58" t="e">
        <f>VLOOKUP($C150,'Daily_BU설비데이터 '!$C$20:$T$1000,7,0)</f>
        <v>#N/A</v>
      </c>
      <c r="J150" s="58" t="e">
        <f>VLOOKUP($C150,'Daily_BU설비데이터 '!$C$20:$T$1000,8,0)</f>
        <v>#N/A</v>
      </c>
      <c r="K150" s="58" t="e">
        <f>VLOOKUP($C150,'Daily_BU설비데이터 '!$C$20:$T$1000,9,0)</f>
        <v>#N/A</v>
      </c>
      <c r="L150" s="59" t="e">
        <f t="shared" si="35"/>
        <v>#N/A</v>
      </c>
      <c r="M150" s="68" t="e">
        <f>VLOOKUP($C150,'Daily_BU설비데이터 '!$C$20:$T$1000,11,0)</f>
        <v>#N/A</v>
      </c>
      <c r="N150" s="68" t="e">
        <f>VLOOKUP($C150,'Daily_BU설비데이터 '!$C$20:$T$1000,12,0)</f>
        <v>#N/A</v>
      </c>
      <c r="O150" s="68" t="e">
        <f>VLOOKUP($C150,'Daily_BU설비데이터 '!$C$20:$T$1000,13,0)</f>
        <v>#N/A</v>
      </c>
      <c r="P150" s="68" t="e">
        <f>VLOOKUP($C150,'Daily_BU설비데이터 '!$C$20:$T$1000,14,0)</f>
        <v>#N/A</v>
      </c>
      <c r="Q150" s="99" t="e">
        <f t="shared" si="36"/>
        <v>#N/A</v>
      </c>
      <c r="R150" s="100" t="e">
        <f t="shared" si="37"/>
        <v>#N/A</v>
      </c>
      <c r="S150" s="83" t="e">
        <f>VLOOKUP($C150,'Daily_BU설비데이터 '!$C$20:$T$1000,17,0)</f>
        <v>#N/A</v>
      </c>
      <c r="T150" s="83" t="e">
        <f>VLOOKUP($C150,'Daily_BU설비데이터 '!$C$20:$T$1000,18,0)</f>
        <v>#N/A</v>
      </c>
      <c r="U150" s="101" t="e">
        <f t="shared" si="38"/>
        <v>#N/A</v>
      </c>
      <c r="V150" s="45"/>
      <c r="W150" s="45"/>
      <c r="X150" s="45"/>
      <c r="Y150" s="45"/>
      <c r="Z150" s="45"/>
      <c r="AA150" s="45"/>
      <c r="AY150" s="66"/>
      <c r="AZ150" s="66"/>
      <c r="BA150" s="66"/>
      <c r="BB150" s="22"/>
    </row>
    <row r="151" spans="2:54" x14ac:dyDescent="0.45">
      <c r="B151" s="45" t="s">
        <v>123</v>
      </c>
      <c r="C151" s="90"/>
      <c r="D151" s="56"/>
      <c r="E151" s="84"/>
      <c r="F151" s="58" t="e">
        <f>VLOOKUP($C151,'Daily_BU설비데이터 '!$C$20:$T$1000,4,0)</f>
        <v>#N/A</v>
      </c>
      <c r="G151" s="58" t="e">
        <f>VLOOKUP($C151,'Daily_BU설비데이터 '!$C$20:$T$1000,5,0)</f>
        <v>#N/A</v>
      </c>
      <c r="H151" s="58" t="e">
        <f>VLOOKUP($C151,'Daily_BU설비데이터 '!$C$20:$T$1000,6,0)</f>
        <v>#N/A</v>
      </c>
      <c r="I151" s="58" t="e">
        <f>VLOOKUP($C151,'Daily_BU설비데이터 '!$C$20:$T$1000,7,0)</f>
        <v>#N/A</v>
      </c>
      <c r="J151" s="58" t="e">
        <f>VLOOKUP($C151,'Daily_BU설비데이터 '!$C$20:$T$1000,8,0)</f>
        <v>#N/A</v>
      </c>
      <c r="K151" s="58" t="e">
        <f>VLOOKUP($C151,'Daily_BU설비데이터 '!$C$20:$T$1000,9,0)</f>
        <v>#N/A</v>
      </c>
      <c r="L151" s="59" t="e">
        <f t="shared" si="35"/>
        <v>#N/A</v>
      </c>
      <c r="M151" s="68" t="e">
        <f>VLOOKUP($C151,'Daily_BU설비데이터 '!$C$20:$T$1000,11,0)</f>
        <v>#N/A</v>
      </c>
      <c r="N151" s="68" t="e">
        <f>VLOOKUP($C151,'Daily_BU설비데이터 '!$C$20:$T$1000,12,0)</f>
        <v>#N/A</v>
      </c>
      <c r="O151" s="68" t="e">
        <f>VLOOKUP($C151,'Daily_BU설비데이터 '!$C$20:$T$1000,13,0)</f>
        <v>#N/A</v>
      </c>
      <c r="P151" s="68" t="e">
        <f>VLOOKUP($C151,'Daily_BU설비데이터 '!$C$20:$T$1000,14,0)</f>
        <v>#N/A</v>
      </c>
      <c r="Q151" s="99" t="e">
        <f t="shared" si="36"/>
        <v>#N/A</v>
      </c>
      <c r="R151" s="100" t="e">
        <f t="shared" si="37"/>
        <v>#N/A</v>
      </c>
      <c r="S151" s="83" t="e">
        <f>VLOOKUP($C151,'Daily_BU설비데이터 '!$C$20:$T$1000,17,0)</f>
        <v>#N/A</v>
      </c>
      <c r="T151" s="83" t="e">
        <f>VLOOKUP($C151,'Daily_BU설비데이터 '!$C$20:$T$1000,18,0)</f>
        <v>#N/A</v>
      </c>
      <c r="U151" s="101" t="e">
        <f t="shared" si="38"/>
        <v>#N/A</v>
      </c>
      <c r="V151" s="45"/>
      <c r="W151" s="45"/>
      <c r="X151" s="45"/>
      <c r="Y151" s="45"/>
      <c r="Z151" s="45"/>
      <c r="AA151" s="45"/>
      <c r="AY151" s="66"/>
      <c r="AZ151" s="66"/>
      <c r="BA151" s="66"/>
      <c r="BB151" s="22"/>
    </row>
    <row r="152" spans="2:54" x14ac:dyDescent="0.45">
      <c r="B152" s="45" t="s">
        <v>124</v>
      </c>
      <c r="C152" s="90"/>
      <c r="D152" s="56"/>
      <c r="E152" s="57"/>
      <c r="F152" s="58" t="e">
        <f>VLOOKUP($C152,'Daily_BU설비데이터 '!$C$20:$T$1000,4,0)</f>
        <v>#N/A</v>
      </c>
      <c r="G152" s="58" t="e">
        <f>VLOOKUP($C152,'Daily_BU설비데이터 '!$C$20:$T$1000,5,0)</f>
        <v>#N/A</v>
      </c>
      <c r="H152" s="58" t="e">
        <f>VLOOKUP($C152,'Daily_BU설비데이터 '!$C$20:$T$1000,6,0)</f>
        <v>#N/A</v>
      </c>
      <c r="I152" s="58" t="e">
        <f>VLOOKUP($C152,'Daily_BU설비데이터 '!$C$20:$T$1000,7,0)</f>
        <v>#N/A</v>
      </c>
      <c r="J152" s="58" t="e">
        <f>VLOOKUP($C152,'Daily_BU설비데이터 '!$C$20:$T$1000,8,0)</f>
        <v>#N/A</v>
      </c>
      <c r="K152" s="58" t="e">
        <f>VLOOKUP($C152,'Daily_BU설비데이터 '!$C$20:$T$1000,9,0)</f>
        <v>#N/A</v>
      </c>
      <c r="L152" s="59" t="e">
        <f t="shared" si="35"/>
        <v>#N/A</v>
      </c>
      <c r="M152" s="68" t="e">
        <f>VLOOKUP($C152,'Daily_BU설비데이터 '!$C$20:$T$1000,11,0)</f>
        <v>#N/A</v>
      </c>
      <c r="N152" s="68" t="e">
        <f>VLOOKUP($C152,'Daily_BU설비데이터 '!$C$20:$T$1000,12,0)</f>
        <v>#N/A</v>
      </c>
      <c r="O152" s="68" t="e">
        <f>VLOOKUP($C152,'Daily_BU설비데이터 '!$C$20:$T$1000,13,0)</f>
        <v>#N/A</v>
      </c>
      <c r="P152" s="68" t="e">
        <f>VLOOKUP($C152,'Daily_BU설비데이터 '!$C$20:$T$1000,14,0)</f>
        <v>#N/A</v>
      </c>
      <c r="Q152" s="99" t="e">
        <f t="shared" si="36"/>
        <v>#N/A</v>
      </c>
      <c r="R152" s="100" t="e">
        <f t="shared" si="37"/>
        <v>#N/A</v>
      </c>
      <c r="S152" s="83" t="e">
        <f>VLOOKUP($C152,'Daily_BU설비데이터 '!$C$20:$T$1000,17,0)</f>
        <v>#N/A</v>
      </c>
      <c r="T152" s="83" t="e">
        <f>VLOOKUP($C152,'Daily_BU설비데이터 '!$C$20:$T$1000,18,0)</f>
        <v>#N/A</v>
      </c>
      <c r="U152" s="101" t="e">
        <f t="shared" si="38"/>
        <v>#N/A</v>
      </c>
      <c r="V152" s="45"/>
      <c r="W152" s="45"/>
      <c r="X152" s="45"/>
      <c r="Y152" s="45"/>
      <c r="Z152" s="45"/>
      <c r="AA152" s="45"/>
      <c r="AY152" s="66"/>
      <c r="AZ152" s="66"/>
      <c r="BA152" s="66"/>
      <c r="BB152" s="22"/>
    </row>
    <row r="153" spans="2:54" x14ac:dyDescent="0.45">
      <c r="B153" s="45" t="s">
        <v>125</v>
      </c>
      <c r="C153" s="90"/>
      <c r="D153" s="56"/>
      <c r="E153" s="80"/>
      <c r="F153" s="58" t="e">
        <f>VLOOKUP($C153,'Daily_BU설비데이터 '!$C$20:$T$1000,4,0)</f>
        <v>#N/A</v>
      </c>
      <c r="G153" s="58" t="e">
        <f>VLOOKUP($C153,'Daily_BU설비데이터 '!$C$20:$T$1000,5,0)</f>
        <v>#N/A</v>
      </c>
      <c r="H153" s="58" t="e">
        <f>VLOOKUP($C153,'Daily_BU설비데이터 '!$C$20:$T$1000,6,0)</f>
        <v>#N/A</v>
      </c>
      <c r="I153" s="58" t="e">
        <f>VLOOKUP($C153,'Daily_BU설비데이터 '!$C$20:$T$1000,7,0)</f>
        <v>#N/A</v>
      </c>
      <c r="J153" s="58" t="e">
        <f>VLOOKUP($C153,'Daily_BU설비데이터 '!$C$20:$T$1000,8,0)</f>
        <v>#N/A</v>
      </c>
      <c r="K153" s="58" t="e">
        <f>VLOOKUP($C153,'Daily_BU설비데이터 '!$C$20:$T$1000,9,0)</f>
        <v>#N/A</v>
      </c>
      <c r="L153" s="59" t="e">
        <f t="shared" si="35"/>
        <v>#N/A</v>
      </c>
      <c r="M153" s="68" t="e">
        <f>VLOOKUP($C153,'Daily_BU설비데이터 '!$C$20:$T$1000,11,0)</f>
        <v>#N/A</v>
      </c>
      <c r="N153" s="68" t="e">
        <f>VLOOKUP($C153,'Daily_BU설비데이터 '!$C$20:$T$1000,12,0)</f>
        <v>#N/A</v>
      </c>
      <c r="O153" s="68" t="e">
        <f>VLOOKUP($C153,'Daily_BU설비데이터 '!$C$20:$T$1000,13,0)</f>
        <v>#N/A</v>
      </c>
      <c r="P153" s="68" t="e">
        <f>VLOOKUP($C153,'Daily_BU설비데이터 '!$C$20:$T$1000,14,0)</f>
        <v>#N/A</v>
      </c>
      <c r="Q153" s="99" t="e">
        <f t="shared" si="36"/>
        <v>#N/A</v>
      </c>
      <c r="R153" s="100" t="e">
        <f t="shared" si="37"/>
        <v>#N/A</v>
      </c>
      <c r="S153" s="83" t="e">
        <f>VLOOKUP($C153,'Daily_BU설비데이터 '!$C$20:$T$1000,17,0)</f>
        <v>#N/A</v>
      </c>
      <c r="T153" s="83" t="e">
        <f>VLOOKUP($C153,'Daily_BU설비데이터 '!$C$20:$T$1000,18,0)</f>
        <v>#N/A</v>
      </c>
      <c r="U153" s="101" t="e">
        <f t="shared" si="38"/>
        <v>#N/A</v>
      </c>
      <c r="V153" s="45"/>
      <c r="W153" s="45"/>
      <c r="X153" s="45"/>
      <c r="Y153" s="45"/>
      <c r="Z153" s="45"/>
      <c r="AA153" s="45"/>
      <c r="AY153" s="66"/>
      <c r="AZ153" s="66"/>
      <c r="BA153" s="66"/>
      <c r="BB153" s="22"/>
    </row>
    <row r="154" spans="2:54" x14ac:dyDescent="0.45">
      <c r="B154" s="45" t="s">
        <v>126</v>
      </c>
      <c r="C154" s="90"/>
      <c r="D154" s="56"/>
      <c r="E154" s="84"/>
      <c r="F154" s="58" t="e">
        <f>VLOOKUP($C154,'Daily_BU설비데이터 '!$C$20:$T$1000,4,0)</f>
        <v>#N/A</v>
      </c>
      <c r="G154" s="58" t="e">
        <f>VLOOKUP($C154,'Daily_BU설비데이터 '!$C$20:$T$1000,5,0)</f>
        <v>#N/A</v>
      </c>
      <c r="H154" s="58" t="e">
        <f>VLOOKUP($C154,'Daily_BU설비데이터 '!$C$20:$T$1000,6,0)</f>
        <v>#N/A</v>
      </c>
      <c r="I154" s="58" t="e">
        <f>VLOOKUP($C154,'Daily_BU설비데이터 '!$C$20:$T$1000,7,0)</f>
        <v>#N/A</v>
      </c>
      <c r="J154" s="58" t="e">
        <f>VLOOKUP($C154,'Daily_BU설비데이터 '!$C$20:$T$1000,8,0)</f>
        <v>#N/A</v>
      </c>
      <c r="K154" s="58" t="e">
        <f>VLOOKUP($C154,'Daily_BU설비데이터 '!$C$20:$T$1000,9,0)</f>
        <v>#N/A</v>
      </c>
      <c r="L154" s="59" t="e">
        <f t="shared" si="35"/>
        <v>#N/A</v>
      </c>
      <c r="M154" s="68" t="e">
        <f>VLOOKUP($C154,'Daily_BU설비데이터 '!$C$20:$T$1000,11,0)</f>
        <v>#N/A</v>
      </c>
      <c r="N154" s="68" t="e">
        <f>VLOOKUP($C154,'Daily_BU설비데이터 '!$C$20:$T$1000,12,0)</f>
        <v>#N/A</v>
      </c>
      <c r="O154" s="68" t="e">
        <f>VLOOKUP($C154,'Daily_BU설비데이터 '!$C$20:$T$1000,13,0)</f>
        <v>#N/A</v>
      </c>
      <c r="P154" s="68" t="e">
        <f>VLOOKUP($C154,'Daily_BU설비데이터 '!$C$20:$T$1000,14,0)</f>
        <v>#N/A</v>
      </c>
      <c r="Q154" s="99" t="e">
        <f t="shared" si="36"/>
        <v>#N/A</v>
      </c>
      <c r="R154" s="100" t="e">
        <f t="shared" si="37"/>
        <v>#N/A</v>
      </c>
      <c r="S154" s="83" t="e">
        <f>VLOOKUP($C154,'Daily_BU설비데이터 '!$C$20:$T$1000,17,0)</f>
        <v>#N/A</v>
      </c>
      <c r="T154" s="83" t="e">
        <f>VLOOKUP($C154,'Daily_BU설비데이터 '!$C$20:$T$1000,18,0)</f>
        <v>#N/A</v>
      </c>
      <c r="U154" s="101" t="e">
        <f t="shared" si="38"/>
        <v>#N/A</v>
      </c>
      <c r="V154" s="45"/>
      <c r="W154" s="45"/>
      <c r="X154" s="45"/>
      <c r="Y154" s="45"/>
      <c r="Z154" s="45"/>
      <c r="AA154" s="45"/>
      <c r="AY154" s="66"/>
      <c r="AZ154" s="66"/>
      <c r="BA154" s="66"/>
      <c r="BB154" s="22"/>
    </row>
    <row r="155" spans="2:54" x14ac:dyDescent="0.45">
      <c r="B155" s="45" t="s">
        <v>127</v>
      </c>
      <c r="C155" s="90"/>
      <c r="D155" s="56"/>
      <c r="E155" s="57"/>
      <c r="F155" s="58" t="e">
        <f>VLOOKUP($C155,'Daily_BU설비데이터 '!$C$20:$T$1000,4,0)</f>
        <v>#N/A</v>
      </c>
      <c r="G155" s="58" t="e">
        <f>VLOOKUP($C155,'Daily_BU설비데이터 '!$C$20:$T$1000,5,0)</f>
        <v>#N/A</v>
      </c>
      <c r="H155" s="58" t="e">
        <f>VLOOKUP($C155,'Daily_BU설비데이터 '!$C$20:$T$1000,6,0)</f>
        <v>#N/A</v>
      </c>
      <c r="I155" s="58" t="e">
        <f>VLOOKUP($C155,'Daily_BU설비데이터 '!$C$20:$T$1000,7,0)</f>
        <v>#N/A</v>
      </c>
      <c r="J155" s="58" t="e">
        <f>VLOOKUP($C155,'Daily_BU설비데이터 '!$C$20:$T$1000,8,0)</f>
        <v>#N/A</v>
      </c>
      <c r="K155" s="58" t="e">
        <f>VLOOKUP($C155,'Daily_BU설비데이터 '!$C$20:$T$1000,9,0)</f>
        <v>#N/A</v>
      </c>
      <c r="L155" s="59" t="e">
        <f t="shared" si="35"/>
        <v>#N/A</v>
      </c>
      <c r="M155" s="68" t="e">
        <f>VLOOKUP($C155,'Daily_BU설비데이터 '!$C$20:$T$1000,11,0)</f>
        <v>#N/A</v>
      </c>
      <c r="N155" s="68" t="e">
        <f>VLOOKUP($C155,'Daily_BU설비데이터 '!$C$20:$T$1000,12,0)</f>
        <v>#N/A</v>
      </c>
      <c r="O155" s="68" t="e">
        <f>VLOOKUP($C155,'Daily_BU설비데이터 '!$C$20:$T$1000,13,0)</f>
        <v>#N/A</v>
      </c>
      <c r="P155" s="68" t="e">
        <f>VLOOKUP($C155,'Daily_BU설비데이터 '!$C$20:$T$1000,14,0)</f>
        <v>#N/A</v>
      </c>
      <c r="Q155" s="99" t="e">
        <f t="shared" si="36"/>
        <v>#N/A</v>
      </c>
      <c r="R155" s="100" t="e">
        <f t="shared" si="37"/>
        <v>#N/A</v>
      </c>
      <c r="S155" s="83" t="e">
        <f>VLOOKUP($C155,'Daily_BU설비데이터 '!$C$20:$T$1000,17,0)</f>
        <v>#N/A</v>
      </c>
      <c r="T155" s="83" t="e">
        <f>VLOOKUP($C155,'Daily_BU설비데이터 '!$C$20:$T$1000,18,0)</f>
        <v>#N/A</v>
      </c>
      <c r="U155" s="101" t="e">
        <f t="shared" si="38"/>
        <v>#N/A</v>
      </c>
      <c r="V155" s="45"/>
      <c r="W155" s="45"/>
      <c r="X155" s="45"/>
      <c r="Y155" s="45"/>
      <c r="Z155" s="45"/>
      <c r="AA155" s="45"/>
      <c r="AY155" s="66"/>
      <c r="AZ155" s="66"/>
      <c r="BA155" s="66"/>
      <c r="BB155" s="22"/>
    </row>
    <row r="156" spans="2:54" x14ac:dyDescent="0.45">
      <c r="B156" s="45" t="s">
        <v>128</v>
      </c>
      <c r="C156" s="90"/>
      <c r="D156" s="56"/>
      <c r="E156" s="80"/>
      <c r="F156" s="58" t="e">
        <f>VLOOKUP($C156,'Daily_BU설비데이터 '!$C$20:$T$1000,4,0)</f>
        <v>#N/A</v>
      </c>
      <c r="G156" s="58" t="e">
        <f>VLOOKUP($C156,'Daily_BU설비데이터 '!$C$20:$T$1000,5,0)</f>
        <v>#N/A</v>
      </c>
      <c r="H156" s="58" t="e">
        <f>VLOOKUP($C156,'Daily_BU설비데이터 '!$C$20:$T$1000,6,0)</f>
        <v>#N/A</v>
      </c>
      <c r="I156" s="58" t="e">
        <f>VLOOKUP($C156,'Daily_BU설비데이터 '!$C$20:$T$1000,7,0)</f>
        <v>#N/A</v>
      </c>
      <c r="J156" s="58" t="e">
        <f>VLOOKUP($C156,'Daily_BU설비데이터 '!$C$20:$T$1000,8,0)</f>
        <v>#N/A</v>
      </c>
      <c r="K156" s="58" t="e">
        <f>VLOOKUP($C156,'Daily_BU설비데이터 '!$C$20:$T$1000,9,0)</f>
        <v>#N/A</v>
      </c>
      <c r="L156" s="59" t="e">
        <f t="shared" si="35"/>
        <v>#N/A</v>
      </c>
      <c r="M156" s="68" t="e">
        <f>VLOOKUP($C156,'Daily_BU설비데이터 '!$C$20:$T$1000,11,0)</f>
        <v>#N/A</v>
      </c>
      <c r="N156" s="68" t="e">
        <f>VLOOKUP($C156,'Daily_BU설비데이터 '!$C$20:$T$1000,12,0)</f>
        <v>#N/A</v>
      </c>
      <c r="O156" s="68" t="e">
        <f>VLOOKUP($C156,'Daily_BU설비데이터 '!$C$20:$T$1000,13,0)</f>
        <v>#N/A</v>
      </c>
      <c r="P156" s="68" t="e">
        <f>VLOOKUP($C156,'Daily_BU설비데이터 '!$C$20:$T$1000,14,0)</f>
        <v>#N/A</v>
      </c>
      <c r="Q156" s="99" t="e">
        <f t="shared" si="36"/>
        <v>#N/A</v>
      </c>
      <c r="R156" s="100" t="e">
        <f t="shared" si="37"/>
        <v>#N/A</v>
      </c>
      <c r="S156" s="83" t="e">
        <f>VLOOKUP($C156,'Daily_BU설비데이터 '!$C$20:$T$1000,17,0)</f>
        <v>#N/A</v>
      </c>
      <c r="T156" s="83" t="e">
        <f>VLOOKUP($C156,'Daily_BU설비데이터 '!$C$20:$T$1000,18,0)</f>
        <v>#N/A</v>
      </c>
      <c r="U156" s="101" t="e">
        <f t="shared" si="38"/>
        <v>#N/A</v>
      </c>
      <c r="V156" s="45"/>
      <c r="W156" s="45"/>
      <c r="X156" s="45"/>
      <c r="Y156" s="45"/>
      <c r="Z156" s="45"/>
      <c r="AA156" s="45"/>
      <c r="AY156" s="66"/>
      <c r="AZ156" s="66"/>
      <c r="BA156" s="66"/>
      <c r="BB156" s="22"/>
    </row>
    <row r="157" spans="2:54" x14ac:dyDescent="0.45">
      <c r="B157" s="45" t="s">
        <v>129</v>
      </c>
      <c r="C157" s="90"/>
      <c r="D157" s="56"/>
      <c r="E157" s="84"/>
      <c r="F157" s="58" t="e">
        <f>VLOOKUP($C157,'Daily_BU설비데이터 '!$C$20:$T$1000,4,0)</f>
        <v>#N/A</v>
      </c>
      <c r="G157" s="58" t="e">
        <f>VLOOKUP($C157,'Daily_BU설비데이터 '!$C$20:$T$1000,5,0)</f>
        <v>#N/A</v>
      </c>
      <c r="H157" s="58" t="e">
        <f>VLOOKUP($C157,'Daily_BU설비데이터 '!$C$20:$T$1000,6,0)</f>
        <v>#N/A</v>
      </c>
      <c r="I157" s="58" t="e">
        <f>VLOOKUP($C157,'Daily_BU설비데이터 '!$C$20:$T$1000,7,0)</f>
        <v>#N/A</v>
      </c>
      <c r="J157" s="58" t="e">
        <f>VLOOKUP($C157,'Daily_BU설비데이터 '!$C$20:$T$1000,8,0)</f>
        <v>#N/A</v>
      </c>
      <c r="K157" s="58" t="e">
        <f>VLOOKUP($C157,'Daily_BU설비데이터 '!$C$20:$T$1000,9,0)</f>
        <v>#N/A</v>
      </c>
      <c r="L157" s="59" t="e">
        <f t="shared" si="35"/>
        <v>#N/A</v>
      </c>
      <c r="M157" s="68" t="e">
        <f>VLOOKUP($C157,'Daily_BU설비데이터 '!$C$20:$T$1000,11,0)</f>
        <v>#N/A</v>
      </c>
      <c r="N157" s="68" t="e">
        <f>VLOOKUP($C157,'Daily_BU설비데이터 '!$C$20:$T$1000,12,0)</f>
        <v>#N/A</v>
      </c>
      <c r="O157" s="68" t="e">
        <f>VLOOKUP($C157,'Daily_BU설비데이터 '!$C$20:$T$1000,13,0)</f>
        <v>#N/A</v>
      </c>
      <c r="P157" s="68" t="e">
        <f>VLOOKUP($C157,'Daily_BU설비데이터 '!$C$20:$T$1000,14,0)</f>
        <v>#N/A</v>
      </c>
      <c r="Q157" s="99" t="e">
        <f t="shared" si="36"/>
        <v>#N/A</v>
      </c>
      <c r="R157" s="100" t="e">
        <f t="shared" si="37"/>
        <v>#N/A</v>
      </c>
      <c r="S157" s="83" t="e">
        <f>VLOOKUP($C157,'Daily_BU설비데이터 '!$C$20:$T$1000,17,0)</f>
        <v>#N/A</v>
      </c>
      <c r="T157" s="83" t="e">
        <f>VLOOKUP($C157,'Daily_BU설비데이터 '!$C$20:$T$1000,18,0)</f>
        <v>#N/A</v>
      </c>
      <c r="U157" s="101" t="e">
        <f t="shared" si="38"/>
        <v>#N/A</v>
      </c>
      <c r="V157" s="45"/>
      <c r="W157" s="45"/>
      <c r="X157" s="45"/>
      <c r="Y157" s="45"/>
      <c r="Z157" s="45"/>
      <c r="AA157" s="45"/>
      <c r="AY157" s="66"/>
      <c r="AZ157" s="66"/>
      <c r="BA157" s="66"/>
      <c r="BB157" s="22"/>
    </row>
    <row r="158" spans="2:54" x14ac:dyDescent="0.45">
      <c r="B158" s="45" t="s">
        <v>130</v>
      </c>
      <c r="C158" s="90"/>
      <c r="D158" s="56"/>
      <c r="E158" s="57"/>
      <c r="F158" s="58" t="e">
        <f>VLOOKUP($C158,'Daily_BU설비데이터 '!$C$20:$T$1000,4,0)</f>
        <v>#N/A</v>
      </c>
      <c r="G158" s="58" t="e">
        <f>VLOOKUP($C158,'Daily_BU설비데이터 '!$C$20:$T$1000,5,0)</f>
        <v>#N/A</v>
      </c>
      <c r="H158" s="58" t="e">
        <f>VLOOKUP($C158,'Daily_BU설비데이터 '!$C$20:$T$1000,6,0)</f>
        <v>#N/A</v>
      </c>
      <c r="I158" s="58" t="e">
        <f>VLOOKUP($C158,'Daily_BU설비데이터 '!$C$20:$T$1000,7,0)</f>
        <v>#N/A</v>
      </c>
      <c r="J158" s="58" t="e">
        <f>VLOOKUP($C158,'Daily_BU설비데이터 '!$C$20:$T$1000,8,0)</f>
        <v>#N/A</v>
      </c>
      <c r="K158" s="58" t="e">
        <f>VLOOKUP($C158,'Daily_BU설비데이터 '!$C$20:$T$1000,9,0)</f>
        <v>#N/A</v>
      </c>
      <c r="L158" s="59" t="e">
        <f t="shared" si="35"/>
        <v>#N/A</v>
      </c>
      <c r="M158" s="68" t="e">
        <f>VLOOKUP($C158,'Daily_BU설비데이터 '!$C$20:$T$1000,11,0)</f>
        <v>#N/A</v>
      </c>
      <c r="N158" s="68" t="e">
        <f>VLOOKUP($C158,'Daily_BU설비데이터 '!$C$20:$T$1000,12,0)</f>
        <v>#N/A</v>
      </c>
      <c r="O158" s="68" t="e">
        <f>VLOOKUP($C158,'Daily_BU설비데이터 '!$C$20:$T$1000,13,0)</f>
        <v>#N/A</v>
      </c>
      <c r="P158" s="68" t="e">
        <f>VLOOKUP($C158,'Daily_BU설비데이터 '!$C$20:$T$1000,14,0)</f>
        <v>#N/A</v>
      </c>
      <c r="Q158" s="99" t="e">
        <f t="shared" si="36"/>
        <v>#N/A</v>
      </c>
      <c r="R158" s="100" t="e">
        <f t="shared" si="37"/>
        <v>#N/A</v>
      </c>
      <c r="S158" s="83" t="e">
        <f>VLOOKUP($C158,'Daily_BU설비데이터 '!$C$20:$T$1000,17,0)</f>
        <v>#N/A</v>
      </c>
      <c r="T158" s="83" t="e">
        <f>VLOOKUP($C158,'Daily_BU설비데이터 '!$C$20:$T$1000,18,0)</f>
        <v>#N/A</v>
      </c>
      <c r="U158" s="101" t="e">
        <f t="shared" si="38"/>
        <v>#N/A</v>
      </c>
      <c r="V158" s="45"/>
      <c r="W158" s="45"/>
      <c r="X158" s="45"/>
      <c r="Y158" s="45"/>
      <c r="Z158" s="45"/>
      <c r="AA158" s="45"/>
      <c r="AY158" s="66"/>
      <c r="AZ158" s="66"/>
      <c r="BA158" s="66"/>
      <c r="BB158" s="22"/>
    </row>
    <row r="159" spans="2:54" x14ac:dyDescent="0.45">
      <c r="B159" s="45" t="s">
        <v>131</v>
      </c>
      <c r="C159" s="90"/>
      <c r="D159" s="56"/>
      <c r="E159" s="80"/>
      <c r="F159" s="58" t="e">
        <f>VLOOKUP($C159,'Daily_BU설비데이터 '!$C$20:$T$1000,4,0)</f>
        <v>#N/A</v>
      </c>
      <c r="G159" s="58" t="e">
        <f>VLOOKUP($C159,'Daily_BU설비데이터 '!$C$20:$T$1000,5,0)</f>
        <v>#N/A</v>
      </c>
      <c r="H159" s="58" t="e">
        <f>VLOOKUP($C159,'Daily_BU설비데이터 '!$C$20:$T$1000,6,0)</f>
        <v>#N/A</v>
      </c>
      <c r="I159" s="58" t="e">
        <f>VLOOKUP($C159,'Daily_BU설비데이터 '!$C$20:$T$1000,7,0)</f>
        <v>#N/A</v>
      </c>
      <c r="J159" s="58" t="e">
        <f>VLOOKUP($C159,'Daily_BU설비데이터 '!$C$20:$T$1000,8,0)</f>
        <v>#N/A</v>
      </c>
      <c r="K159" s="58" t="e">
        <f>VLOOKUP($C159,'Daily_BU설비데이터 '!$C$20:$T$1000,9,0)</f>
        <v>#N/A</v>
      </c>
      <c r="L159" s="59" t="e">
        <f t="shared" si="35"/>
        <v>#N/A</v>
      </c>
      <c r="M159" s="68" t="e">
        <f>VLOOKUP($C159,'Daily_BU설비데이터 '!$C$20:$T$1000,11,0)</f>
        <v>#N/A</v>
      </c>
      <c r="N159" s="68" t="e">
        <f>VLOOKUP($C159,'Daily_BU설비데이터 '!$C$20:$T$1000,12,0)</f>
        <v>#N/A</v>
      </c>
      <c r="O159" s="68" t="e">
        <f>VLOOKUP($C159,'Daily_BU설비데이터 '!$C$20:$T$1000,13,0)</f>
        <v>#N/A</v>
      </c>
      <c r="P159" s="68" t="e">
        <f>VLOOKUP($C159,'Daily_BU설비데이터 '!$C$20:$T$1000,14,0)</f>
        <v>#N/A</v>
      </c>
      <c r="Q159" s="99" t="e">
        <f t="shared" si="36"/>
        <v>#N/A</v>
      </c>
      <c r="R159" s="100" t="e">
        <f t="shared" si="37"/>
        <v>#N/A</v>
      </c>
      <c r="S159" s="83" t="e">
        <f>VLOOKUP($C159,'Daily_BU설비데이터 '!$C$20:$T$1000,17,0)</f>
        <v>#N/A</v>
      </c>
      <c r="T159" s="83" t="e">
        <f>VLOOKUP($C159,'Daily_BU설비데이터 '!$C$20:$T$1000,18,0)</f>
        <v>#N/A</v>
      </c>
      <c r="U159" s="101" t="e">
        <f t="shared" si="38"/>
        <v>#N/A</v>
      </c>
      <c r="V159" s="45"/>
      <c r="W159" s="45"/>
      <c r="X159" s="45"/>
      <c r="Y159" s="45"/>
      <c r="Z159" s="45"/>
      <c r="AA159" s="45"/>
      <c r="AY159" s="66"/>
      <c r="AZ159" s="66"/>
      <c r="BA159" s="66"/>
      <c r="BB159" s="22"/>
    </row>
    <row r="160" spans="2:54" x14ac:dyDescent="0.45">
      <c r="B160" s="45" t="s">
        <v>132</v>
      </c>
      <c r="C160" s="90"/>
      <c r="D160" s="56"/>
      <c r="E160" s="84"/>
      <c r="F160" s="58" t="e">
        <f>VLOOKUP($C160,'Daily_BU설비데이터 '!$C$20:$T$1000,4,0)</f>
        <v>#N/A</v>
      </c>
      <c r="G160" s="58" t="e">
        <f>VLOOKUP($C160,'Daily_BU설비데이터 '!$C$20:$T$1000,5,0)</f>
        <v>#N/A</v>
      </c>
      <c r="H160" s="58" t="e">
        <f>VLOOKUP($C160,'Daily_BU설비데이터 '!$C$20:$T$1000,6,0)</f>
        <v>#N/A</v>
      </c>
      <c r="I160" s="58" t="e">
        <f>VLOOKUP($C160,'Daily_BU설비데이터 '!$C$20:$T$1000,7,0)</f>
        <v>#N/A</v>
      </c>
      <c r="J160" s="58" t="e">
        <f>VLOOKUP($C160,'Daily_BU설비데이터 '!$C$20:$T$1000,8,0)</f>
        <v>#N/A</v>
      </c>
      <c r="K160" s="58" t="e">
        <f>VLOOKUP($C160,'Daily_BU설비데이터 '!$C$20:$T$1000,9,0)</f>
        <v>#N/A</v>
      </c>
      <c r="L160" s="59" t="e">
        <f t="shared" si="35"/>
        <v>#N/A</v>
      </c>
      <c r="M160" s="68" t="e">
        <f>VLOOKUP($C160,'Daily_BU설비데이터 '!$C$20:$T$1000,11,0)</f>
        <v>#N/A</v>
      </c>
      <c r="N160" s="68" t="e">
        <f>VLOOKUP($C160,'Daily_BU설비데이터 '!$C$20:$T$1000,12,0)</f>
        <v>#N/A</v>
      </c>
      <c r="O160" s="68" t="e">
        <f>VLOOKUP($C160,'Daily_BU설비데이터 '!$C$20:$T$1000,13,0)</f>
        <v>#N/A</v>
      </c>
      <c r="P160" s="68" t="e">
        <f>VLOOKUP($C160,'Daily_BU설비데이터 '!$C$20:$T$1000,14,0)</f>
        <v>#N/A</v>
      </c>
      <c r="Q160" s="99" t="e">
        <f t="shared" si="36"/>
        <v>#N/A</v>
      </c>
      <c r="R160" s="100" t="e">
        <f t="shared" si="37"/>
        <v>#N/A</v>
      </c>
      <c r="S160" s="83" t="e">
        <f>VLOOKUP($C160,'Daily_BU설비데이터 '!$C$20:$T$1000,17,0)</f>
        <v>#N/A</v>
      </c>
      <c r="T160" s="83" t="e">
        <f>VLOOKUP($C160,'Daily_BU설비데이터 '!$C$20:$T$1000,18,0)</f>
        <v>#N/A</v>
      </c>
      <c r="U160" s="101" t="e">
        <f t="shared" si="38"/>
        <v>#N/A</v>
      </c>
      <c r="V160" s="45"/>
      <c r="W160" s="45"/>
      <c r="X160" s="45"/>
      <c r="Y160" s="45"/>
      <c r="Z160" s="45"/>
      <c r="AA160" s="45"/>
      <c r="AY160" s="66"/>
      <c r="AZ160" s="66"/>
      <c r="BA160" s="66"/>
      <c r="BB160" s="22"/>
    </row>
    <row r="161" spans="2:54" x14ac:dyDescent="0.45">
      <c r="B161" s="45" t="s">
        <v>133</v>
      </c>
      <c r="C161" s="90"/>
      <c r="D161" s="56"/>
      <c r="E161" s="57"/>
      <c r="F161" s="58" t="e">
        <f>VLOOKUP($C161,'Daily_BU설비데이터 '!$C$20:$T$1000,4,0)</f>
        <v>#N/A</v>
      </c>
      <c r="G161" s="58" t="e">
        <f>VLOOKUP($C161,'Daily_BU설비데이터 '!$C$20:$T$1000,5,0)</f>
        <v>#N/A</v>
      </c>
      <c r="H161" s="58" t="e">
        <f>VLOOKUP($C161,'Daily_BU설비데이터 '!$C$20:$T$1000,6,0)</f>
        <v>#N/A</v>
      </c>
      <c r="I161" s="58" t="e">
        <f>VLOOKUP($C161,'Daily_BU설비데이터 '!$C$20:$T$1000,7,0)</f>
        <v>#N/A</v>
      </c>
      <c r="J161" s="58" t="e">
        <f>VLOOKUP($C161,'Daily_BU설비데이터 '!$C$20:$T$1000,8,0)</f>
        <v>#N/A</v>
      </c>
      <c r="K161" s="58" t="e">
        <f>VLOOKUP($C161,'Daily_BU설비데이터 '!$C$20:$T$1000,9,0)</f>
        <v>#N/A</v>
      </c>
      <c r="L161" s="59" t="e">
        <f t="shared" si="35"/>
        <v>#N/A</v>
      </c>
      <c r="M161" s="68" t="e">
        <f>VLOOKUP($C161,'Daily_BU설비데이터 '!$C$20:$T$1000,11,0)</f>
        <v>#N/A</v>
      </c>
      <c r="N161" s="68" t="e">
        <f>VLOOKUP($C161,'Daily_BU설비데이터 '!$C$20:$T$1000,12,0)</f>
        <v>#N/A</v>
      </c>
      <c r="O161" s="68" t="e">
        <f>VLOOKUP($C161,'Daily_BU설비데이터 '!$C$20:$T$1000,13,0)</f>
        <v>#N/A</v>
      </c>
      <c r="P161" s="68" t="e">
        <f>VLOOKUP($C161,'Daily_BU설비데이터 '!$C$20:$T$1000,14,0)</f>
        <v>#N/A</v>
      </c>
      <c r="Q161" s="99" t="e">
        <f t="shared" si="36"/>
        <v>#N/A</v>
      </c>
      <c r="R161" s="100" t="e">
        <f t="shared" si="37"/>
        <v>#N/A</v>
      </c>
      <c r="S161" s="83" t="e">
        <f>VLOOKUP($C161,'Daily_BU설비데이터 '!$C$20:$T$1000,17,0)</f>
        <v>#N/A</v>
      </c>
      <c r="T161" s="83" t="e">
        <f>VLOOKUP($C161,'Daily_BU설비데이터 '!$C$20:$T$1000,18,0)</f>
        <v>#N/A</v>
      </c>
      <c r="U161" s="101" t="e">
        <f t="shared" si="38"/>
        <v>#N/A</v>
      </c>
      <c r="V161" s="45"/>
      <c r="W161" s="45"/>
      <c r="X161" s="45"/>
      <c r="Y161" s="45"/>
      <c r="Z161" s="45"/>
      <c r="AA161" s="45"/>
      <c r="AY161" s="66"/>
      <c r="AZ161" s="66"/>
      <c r="BA161" s="66"/>
      <c r="BB161" s="22"/>
    </row>
    <row r="162" spans="2:54" x14ac:dyDescent="0.45">
      <c r="B162" s="45" t="s">
        <v>134</v>
      </c>
      <c r="C162" s="90"/>
      <c r="D162" s="56"/>
      <c r="E162" s="80"/>
      <c r="F162" s="58" t="e">
        <f>VLOOKUP($C162,'Daily_BU설비데이터 '!$C$20:$T$1000,4,0)</f>
        <v>#N/A</v>
      </c>
      <c r="G162" s="58" t="e">
        <f>VLOOKUP($C162,'Daily_BU설비데이터 '!$C$20:$T$1000,5,0)</f>
        <v>#N/A</v>
      </c>
      <c r="H162" s="58" t="e">
        <f>VLOOKUP($C162,'Daily_BU설비데이터 '!$C$20:$T$1000,6,0)</f>
        <v>#N/A</v>
      </c>
      <c r="I162" s="58" t="e">
        <f>VLOOKUP($C162,'Daily_BU설비데이터 '!$C$20:$T$1000,7,0)</f>
        <v>#N/A</v>
      </c>
      <c r="J162" s="58" t="e">
        <f>VLOOKUP($C162,'Daily_BU설비데이터 '!$C$20:$T$1000,8,0)</f>
        <v>#N/A</v>
      </c>
      <c r="K162" s="58" t="e">
        <f>VLOOKUP($C162,'Daily_BU설비데이터 '!$C$20:$T$1000,9,0)</f>
        <v>#N/A</v>
      </c>
      <c r="L162" s="59" t="e">
        <f t="shared" si="35"/>
        <v>#N/A</v>
      </c>
      <c r="M162" s="68" t="e">
        <f>VLOOKUP($C162,'Daily_BU설비데이터 '!$C$20:$T$1000,11,0)</f>
        <v>#N/A</v>
      </c>
      <c r="N162" s="68" t="e">
        <f>VLOOKUP($C162,'Daily_BU설비데이터 '!$C$20:$T$1000,12,0)</f>
        <v>#N/A</v>
      </c>
      <c r="O162" s="68" t="e">
        <f>VLOOKUP($C162,'Daily_BU설비데이터 '!$C$20:$T$1000,13,0)</f>
        <v>#N/A</v>
      </c>
      <c r="P162" s="68" t="e">
        <f>VLOOKUP($C162,'Daily_BU설비데이터 '!$C$20:$T$1000,14,0)</f>
        <v>#N/A</v>
      </c>
      <c r="Q162" s="99" t="e">
        <f t="shared" si="36"/>
        <v>#N/A</v>
      </c>
      <c r="R162" s="100" t="e">
        <f t="shared" si="37"/>
        <v>#N/A</v>
      </c>
      <c r="S162" s="83" t="e">
        <f>VLOOKUP($C162,'Daily_BU설비데이터 '!$C$20:$T$1000,17,0)</f>
        <v>#N/A</v>
      </c>
      <c r="T162" s="83" t="e">
        <f>VLOOKUP($C162,'Daily_BU설비데이터 '!$C$20:$T$1000,18,0)</f>
        <v>#N/A</v>
      </c>
      <c r="U162" s="101" t="e">
        <f t="shared" si="38"/>
        <v>#N/A</v>
      </c>
      <c r="V162" s="45"/>
      <c r="W162" s="45"/>
      <c r="X162" s="45"/>
      <c r="Y162" s="45"/>
      <c r="Z162" s="45"/>
      <c r="AA162" s="45"/>
      <c r="AY162" s="66"/>
      <c r="AZ162" s="66"/>
      <c r="BA162" s="66"/>
      <c r="BB162" s="22"/>
    </row>
    <row r="163" spans="2:54" x14ac:dyDescent="0.45">
      <c r="B163" s="45" t="s">
        <v>135</v>
      </c>
      <c r="C163" s="90"/>
      <c r="D163" s="56"/>
      <c r="E163" s="84"/>
      <c r="F163" s="58" t="e">
        <f>VLOOKUP($C163,'Daily_BU설비데이터 '!$C$20:$T$1000,4,0)</f>
        <v>#N/A</v>
      </c>
      <c r="G163" s="58" t="e">
        <f>VLOOKUP($C163,'Daily_BU설비데이터 '!$C$20:$T$1000,5,0)</f>
        <v>#N/A</v>
      </c>
      <c r="H163" s="58" t="e">
        <f>VLOOKUP($C163,'Daily_BU설비데이터 '!$C$20:$T$1000,6,0)</f>
        <v>#N/A</v>
      </c>
      <c r="I163" s="58" t="e">
        <f>VLOOKUP($C163,'Daily_BU설비데이터 '!$C$20:$T$1000,7,0)</f>
        <v>#N/A</v>
      </c>
      <c r="J163" s="58" t="e">
        <f>VLOOKUP($C163,'Daily_BU설비데이터 '!$C$20:$T$1000,8,0)</f>
        <v>#N/A</v>
      </c>
      <c r="K163" s="58" t="e">
        <f>VLOOKUP($C163,'Daily_BU설비데이터 '!$C$20:$T$1000,9,0)</f>
        <v>#N/A</v>
      </c>
      <c r="L163" s="59" t="e">
        <f t="shared" si="35"/>
        <v>#N/A</v>
      </c>
      <c r="M163" s="68" t="e">
        <f>VLOOKUP($C163,'Daily_BU설비데이터 '!$C$20:$T$1000,11,0)</f>
        <v>#N/A</v>
      </c>
      <c r="N163" s="68" t="e">
        <f>VLOOKUP($C163,'Daily_BU설비데이터 '!$C$20:$T$1000,12,0)</f>
        <v>#N/A</v>
      </c>
      <c r="O163" s="68" t="e">
        <f>VLOOKUP($C163,'Daily_BU설비데이터 '!$C$20:$T$1000,13,0)</f>
        <v>#N/A</v>
      </c>
      <c r="P163" s="68" t="e">
        <f>VLOOKUP($C163,'Daily_BU설비데이터 '!$C$20:$T$1000,14,0)</f>
        <v>#N/A</v>
      </c>
      <c r="Q163" s="99" t="e">
        <f t="shared" si="36"/>
        <v>#N/A</v>
      </c>
      <c r="R163" s="100" t="e">
        <f t="shared" si="37"/>
        <v>#N/A</v>
      </c>
      <c r="S163" s="83" t="e">
        <f>VLOOKUP($C163,'Daily_BU설비데이터 '!$C$20:$T$1000,17,0)</f>
        <v>#N/A</v>
      </c>
      <c r="T163" s="83" t="e">
        <f>VLOOKUP($C163,'Daily_BU설비데이터 '!$C$20:$T$1000,18,0)</f>
        <v>#N/A</v>
      </c>
      <c r="U163" s="101" t="e">
        <f t="shared" si="38"/>
        <v>#N/A</v>
      </c>
      <c r="V163" s="45"/>
      <c r="W163" s="45"/>
      <c r="X163" s="45"/>
      <c r="Y163" s="45"/>
      <c r="Z163" s="45"/>
      <c r="AA163" s="45"/>
      <c r="AY163" s="66"/>
      <c r="AZ163" s="66"/>
      <c r="BA163" s="66"/>
      <c r="BB163" s="22"/>
    </row>
    <row r="164" spans="2:54" x14ac:dyDescent="0.45">
      <c r="B164" s="45" t="s">
        <v>136</v>
      </c>
      <c r="C164" s="90"/>
      <c r="D164" s="56"/>
      <c r="E164" s="57"/>
      <c r="F164" s="58" t="e">
        <f>VLOOKUP($C164,'Daily_BU설비데이터 '!$C$20:$T$1000,4,0)</f>
        <v>#N/A</v>
      </c>
      <c r="G164" s="58" t="e">
        <f>VLOOKUP($C164,'Daily_BU설비데이터 '!$C$20:$T$1000,5,0)</f>
        <v>#N/A</v>
      </c>
      <c r="H164" s="58" t="e">
        <f>VLOOKUP($C164,'Daily_BU설비데이터 '!$C$20:$T$1000,6,0)</f>
        <v>#N/A</v>
      </c>
      <c r="I164" s="58" t="e">
        <f>VLOOKUP($C164,'Daily_BU설비데이터 '!$C$20:$T$1000,7,0)</f>
        <v>#N/A</v>
      </c>
      <c r="J164" s="58" t="e">
        <f>VLOOKUP($C164,'Daily_BU설비데이터 '!$C$20:$T$1000,8,0)</f>
        <v>#N/A</v>
      </c>
      <c r="K164" s="58" t="e">
        <f>VLOOKUP($C164,'Daily_BU설비데이터 '!$C$20:$T$1000,9,0)</f>
        <v>#N/A</v>
      </c>
      <c r="L164" s="59" t="e">
        <f t="shared" si="35"/>
        <v>#N/A</v>
      </c>
      <c r="M164" s="68" t="e">
        <f>VLOOKUP($C164,'Daily_BU설비데이터 '!$C$20:$T$1000,11,0)</f>
        <v>#N/A</v>
      </c>
      <c r="N164" s="68" t="e">
        <f>VLOOKUP($C164,'Daily_BU설비데이터 '!$C$20:$T$1000,12,0)</f>
        <v>#N/A</v>
      </c>
      <c r="O164" s="68" t="e">
        <f>VLOOKUP($C164,'Daily_BU설비데이터 '!$C$20:$T$1000,13,0)</f>
        <v>#N/A</v>
      </c>
      <c r="P164" s="68" t="e">
        <f>VLOOKUP($C164,'Daily_BU설비데이터 '!$C$20:$T$1000,14,0)</f>
        <v>#N/A</v>
      </c>
      <c r="Q164" s="99" t="e">
        <f t="shared" si="36"/>
        <v>#N/A</v>
      </c>
      <c r="R164" s="100" t="e">
        <f t="shared" si="37"/>
        <v>#N/A</v>
      </c>
      <c r="S164" s="83" t="e">
        <f>VLOOKUP($C164,'Daily_BU설비데이터 '!$C$20:$T$1000,17,0)</f>
        <v>#N/A</v>
      </c>
      <c r="T164" s="83" t="e">
        <f>VLOOKUP($C164,'Daily_BU설비데이터 '!$C$20:$T$1000,18,0)</f>
        <v>#N/A</v>
      </c>
      <c r="U164" s="101" t="e">
        <f t="shared" si="38"/>
        <v>#N/A</v>
      </c>
      <c r="V164" s="45"/>
      <c r="W164" s="45"/>
      <c r="X164" s="45"/>
      <c r="Y164" s="45"/>
      <c r="Z164" s="45"/>
      <c r="AA164" s="45"/>
      <c r="AY164" s="66"/>
      <c r="AZ164" s="66"/>
      <c r="BA164" s="66"/>
      <c r="BB164" s="22"/>
    </row>
    <row r="165" spans="2:54" x14ac:dyDescent="0.45">
      <c r="B165" s="45" t="s">
        <v>137</v>
      </c>
      <c r="C165" s="90"/>
      <c r="D165" s="56"/>
      <c r="E165" s="80"/>
      <c r="F165" s="58" t="e">
        <f>VLOOKUP($C165,'Daily_BU설비데이터 '!$C$20:$T$1000,4,0)</f>
        <v>#N/A</v>
      </c>
      <c r="G165" s="58" t="e">
        <f>VLOOKUP($C165,'Daily_BU설비데이터 '!$C$20:$T$1000,5,0)</f>
        <v>#N/A</v>
      </c>
      <c r="H165" s="58" t="e">
        <f>VLOOKUP($C165,'Daily_BU설비데이터 '!$C$20:$T$1000,6,0)</f>
        <v>#N/A</v>
      </c>
      <c r="I165" s="58" t="e">
        <f>VLOOKUP($C165,'Daily_BU설비데이터 '!$C$20:$T$1000,7,0)</f>
        <v>#N/A</v>
      </c>
      <c r="J165" s="58" t="e">
        <f>VLOOKUP($C165,'Daily_BU설비데이터 '!$C$20:$T$1000,8,0)</f>
        <v>#N/A</v>
      </c>
      <c r="K165" s="58" t="e">
        <f>VLOOKUP($C165,'Daily_BU설비데이터 '!$C$20:$T$1000,9,0)</f>
        <v>#N/A</v>
      </c>
      <c r="L165" s="59" t="e">
        <f t="shared" si="35"/>
        <v>#N/A</v>
      </c>
      <c r="M165" s="68" t="e">
        <f>VLOOKUP($C165,'Daily_BU설비데이터 '!$C$20:$T$1000,11,0)</f>
        <v>#N/A</v>
      </c>
      <c r="N165" s="68" t="e">
        <f>VLOOKUP($C165,'Daily_BU설비데이터 '!$C$20:$T$1000,12,0)</f>
        <v>#N/A</v>
      </c>
      <c r="O165" s="68" t="e">
        <f>VLOOKUP($C165,'Daily_BU설비데이터 '!$C$20:$T$1000,13,0)</f>
        <v>#N/A</v>
      </c>
      <c r="P165" s="68" t="e">
        <f>VLOOKUP($C165,'Daily_BU설비데이터 '!$C$20:$T$1000,14,0)</f>
        <v>#N/A</v>
      </c>
      <c r="Q165" s="99" t="e">
        <f t="shared" si="36"/>
        <v>#N/A</v>
      </c>
      <c r="R165" s="100" t="e">
        <f t="shared" si="37"/>
        <v>#N/A</v>
      </c>
      <c r="S165" s="83" t="e">
        <f>VLOOKUP($C165,'Daily_BU설비데이터 '!$C$20:$T$1000,17,0)</f>
        <v>#N/A</v>
      </c>
      <c r="T165" s="83" t="e">
        <f>VLOOKUP($C165,'Daily_BU설비데이터 '!$C$20:$T$1000,18,0)</f>
        <v>#N/A</v>
      </c>
      <c r="U165" s="101" t="e">
        <f t="shared" si="38"/>
        <v>#N/A</v>
      </c>
      <c r="V165" s="45"/>
      <c r="W165" s="45"/>
      <c r="X165" s="45"/>
      <c r="Y165" s="45"/>
      <c r="Z165" s="45"/>
      <c r="AA165" s="45"/>
      <c r="AY165" s="66"/>
      <c r="AZ165" s="66"/>
      <c r="BA165" s="66"/>
      <c r="BB165" s="22"/>
    </row>
    <row r="166" spans="2:54" x14ac:dyDescent="0.45">
      <c r="B166" s="45" t="s">
        <v>138</v>
      </c>
      <c r="C166" s="90"/>
      <c r="D166" s="56"/>
      <c r="E166" s="84"/>
      <c r="F166" s="58" t="e">
        <f>VLOOKUP($C166,'Daily_BU설비데이터 '!$C$20:$T$1000,4,0)</f>
        <v>#N/A</v>
      </c>
      <c r="G166" s="58" t="e">
        <f>VLOOKUP($C166,'Daily_BU설비데이터 '!$C$20:$T$1000,5,0)</f>
        <v>#N/A</v>
      </c>
      <c r="H166" s="58" t="e">
        <f>VLOOKUP($C166,'Daily_BU설비데이터 '!$C$20:$T$1000,6,0)</f>
        <v>#N/A</v>
      </c>
      <c r="I166" s="58" t="e">
        <f>VLOOKUP($C166,'Daily_BU설비데이터 '!$C$20:$T$1000,7,0)</f>
        <v>#N/A</v>
      </c>
      <c r="J166" s="58" t="e">
        <f>VLOOKUP($C166,'Daily_BU설비데이터 '!$C$20:$T$1000,8,0)</f>
        <v>#N/A</v>
      </c>
      <c r="K166" s="58" t="e">
        <f>VLOOKUP($C166,'Daily_BU설비데이터 '!$C$20:$T$1000,9,0)</f>
        <v>#N/A</v>
      </c>
      <c r="L166" s="59" t="e">
        <f t="shared" si="35"/>
        <v>#N/A</v>
      </c>
      <c r="M166" s="68" t="e">
        <f>VLOOKUP($C166,'Daily_BU설비데이터 '!$C$20:$T$1000,11,0)</f>
        <v>#N/A</v>
      </c>
      <c r="N166" s="68" t="e">
        <f>VLOOKUP($C166,'Daily_BU설비데이터 '!$C$20:$T$1000,12,0)</f>
        <v>#N/A</v>
      </c>
      <c r="O166" s="68" t="e">
        <f>VLOOKUP($C166,'Daily_BU설비데이터 '!$C$20:$T$1000,13,0)</f>
        <v>#N/A</v>
      </c>
      <c r="P166" s="68" t="e">
        <f>VLOOKUP($C166,'Daily_BU설비데이터 '!$C$20:$T$1000,14,0)</f>
        <v>#N/A</v>
      </c>
      <c r="Q166" s="99" t="e">
        <f t="shared" si="36"/>
        <v>#N/A</v>
      </c>
      <c r="R166" s="100" t="e">
        <f t="shared" si="37"/>
        <v>#N/A</v>
      </c>
      <c r="S166" s="83" t="e">
        <f>VLOOKUP($C166,'Daily_BU설비데이터 '!$C$20:$T$1000,17,0)</f>
        <v>#N/A</v>
      </c>
      <c r="T166" s="83" t="e">
        <f>VLOOKUP($C166,'Daily_BU설비데이터 '!$C$20:$T$1000,18,0)</f>
        <v>#N/A</v>
      </c>
      <c r="U166" s="101" t="e">
        <f t="shared" si="38"/>
        <v>#N/A</v>
      </c>
      <c r="V166" s="45"/>
      <c r="W166" s="45"/>
      <c r="X166" s="45"/>
      <c r="Y166" s="45"/>
      <c r="Z166" s="45"/>
      <c r="AA166" s="45"/>
      <c r="AY166" s="66"/>
      <c r="AZ166" s="66"/>
      <c r="BA166" s="66"/>
      <c r="BB166" s="22"/>
    </row>
    <row r="167" spans="2:54" x14ac:dyDescent="0.45">
      <c r="B167" s="45" t="s">
        <v>139</v>
      </c>
      <c r="C167" s="90"/>
      <c r="D167" s="56"/>
      <c r="E167" s="57"/>
      <c r="F167" s="58" t="e">
        <f>VLOOKUP($C167,'Daily_BU설비데이터 '!$C$20:$T$1000,4,0)</f>
        <v>#N/A</v>
      </c>
      <c r="G167" s="58" t="e">
        <f>VLOOKUP($C167,'Daily_BU설비데이터 '!$C$20:$T$1000,5,0)</f>
        <v>#N/A</v>
      </c>
      <c r="H167" s="58" t="e">
        <f>VLOOKUP($C167,'Daily_BU설비데이터 '!$C$20:$T$1000,6,0)</f>
        <v>#N/A</v>
      </c>
      <c r="I167" s="58" t="e">
        <f>VLOOKUP($C167,'Daily_BU설비데이터 '!$C$20:$T$1000,7,0)</f>
        <v>#N/A</v>
      </c>
      <c r="J167" s="58" t="e">
        <f>VLOOKUP($C167,'Daily_BU설비데이터 '!$C$20:$T$1000,8,0)</f>
        <v>#N/A</v>
      </c>
      <c r="K167" s="58" t="e">
        <f>VLOOKUP($C167,'Daily_BU설비데이터 '!$C$20:$T$1000,9,0)</f>
        <v>#N/A</v>
      </c>
      <c r="L167" s="59" t="e">
        <f t="shared" si="35"/>
        <v>#N/A</v>
      </c>
      <c r="M167" s="68" t="e">
        <f>VLOOKUP($C167,'Daily_BU설비데이터 '!$C$20:$T$1000,11,0)</f>
        <v>#N/A</v>
      </c>
      <c r="N167" s="68" t="e">
        <f>VLOOKUP($C167,'Daily_BU설비데이터 '!$C$20:$T$1000,12,0)</f>
        <v>#N/A</v>
      </c>
      <c r="O167" s="68" t="e">
        <f>VLOOKUP($C167,'Daily_BU설비데이터 '!$C$20:$T$1000,13,0)</f>
        <v>#N/A</v>
      </c>
      <c r="P167" s="68" t="e">
        <f>VLOOKUP($C167,'Daily_BU설비데이터 '!$C$20:$T$1000,14,0)</f>
        <v>#N/A</v>
      </c>
      <c r="Q167" s="99" t="e">
        <f t="shared" si="36"/>
        <v>#N/A</v>
      </c>
      <c r="R167" s="100" t="e">
        <f t="shared" si="37"/>
        <v>#N/A</v>
      </c>
      <c r="S167" s="83" t="e">
        <f>VLOOKUP($C167,'Daily_BU설비데이터 '!$C$20:$T$1000,17,0)</f>
        <v>#N/A</v>
      </c>
      <c r="T167" s="83" t="e">
        <f>VLOOKUP($C167,'Daily_BU설비데이터 '!$C$20:$T$1000,18,0)</f>
        <v>#N/A</v>
      </c>
      <c r="U167" s="101" t="e">
        <f t="shared" si="38"/>
        <v>#N/A</v>
      </c>
      <c r="V167" s="45"/>
      <c r="W167" s="45"/>
      <c r="X167" s="45"/>
      <c r="Y167" s="45"/>
      <c r="Z167" s="45"/>
      <c r="AA167" s="45"/>
      <c r="AY167" s="66"/>
      <c r="AZ167" s="66"/>
      <c r="BA167" s="66"/>
      <c r="BB167" s="22"/>
    </row>
    <row r="168" spans="2:54" x14ac:dyDescent="0.45">
      <c r="B168" s="45" t="s">
        <v>140</v>
      </c>
      <c r="C168" s="90"/>
      <c r="D168" s="56"/>
      <c r="E168" s="80"/>
      <c r="F168" s="58" t="e">
        <f>VLOOKUP($C168,'Daily_BU설비데이터 '!$C$20:$T$1000,4,0)</f>
        <v>#N/A</v>
      </c>
      <c r="G168" s="58" t="e">
        <f>VLOOKUP($C168,'Daily_BU설비데이터 '!$C$20:$T$1000,5,0)</f>
        <v>#N/A</v>
      </c>
      <c r="H168" s="58" t="e">
        <f>VLOOKUP($C168,'Daily_BU설비데이터 '!$C$20:$T$1000,6,0)</f>
        <v>#N/A</v>
      </c>
      <c r="I168" s="58" t="e">
        <f>VLOOKUP($C168,'Daily_BU설비데이터 '!$C$20:$T$1000,7,0)</f>
        <v>#N/A</v>
      </c>
      <c r="J168" s="58" t="e">
        <f>VLOOKUP($C168,'Daily_BU설비데이터 '!$C$20:$T$1000,8,0)</f>
        <v>#N/A</v>
      </c>
      <c r="K168" s="58" t="e">
        <f>VLOOKUP($C168,'Daily_BU설비데이터 '!$C$20:$T$1000,9,0)</f>
        <v>#N/A</v>
      </c>
      <c r="L168" s="59" t="e">
        <f t="shared" si="35"/>
        <v>#N/A</v>
      </c>
      <c r="M168" s="68" t="e">
        <f>VLOOKUP($C168,'Daily_BU설비데이터 '!$C$20:$T$1000,11,0)</f>
        <v>#N/A</v>
      </c>
      <c r="N168" s="68" t="e">
        <f>VLOOKUP($C168,'Daily_BU설비데이터 '!$C$20:$T$1000,12,0)</f>
        <v>#N/A</v>
      </c>
      <c r="O168" s="68" t="e">
        <f>VLOOKUP($C168,'Daily_BU설비데이터 '!$C$20:$T$1000,13,0)</f>
        <v>#N/A</v>
      </c>
      <c r="P168" s="68" t="e">
        <f>VLOOKUP($C168,'Daily_BU설비데이터 '!$C$20:$T$1000,14,0)</f>
        <v>#N/A</v>
      </c>
      <c r="Q168" s="99" t="e">
        <f t="shared" si="36"/>
        <v>#N/A</v>
      </c>
      <c r="R168" s="100" t="e">
        <f t="shared" si="37"/>
        <v>#N/A</v>
      </c>
      <c r="S168" s="83" t="e">
        <f>VLOOKUP($C168,'Daily_BU설비데이터 '!$C$20:$T$1000,17,0)</f>
        <v>#N/A</v>
      </c>
      <c r="T168" s="83" t="e">
        <f>VLOOKUP($C168,'Daily_BU설비데이터 '!$C$20:$T$1000,18,0)</f>
        <v>#N/A</v>
      </c>
      <c r="U168" s="101" t="e">
        <f t="shared" si="38"/>
        <v>#N/A</v>
      </c>
      <c r="V168" s="45"/>
      <c r="W168" s="45"/>
      <c r="X168" s="45"/>
      <c r="Y168" s="45"/>
      <c r="Z168" s="45"/>
      <c r="AA168" s="45"/>
      <c r="AY168" s="66"/>
      <c r="AZ168" s="66"/>
      <c r="BA168" s="66"/>
      <c r="BB168" s="22"/>
    </row>
    <row r="169" spans="2:54" x14ac:dyDescent="0.45">
      <c r="B169" s="45" t="s">
        <v>141</v>
      </c>
      <c r="C169" s="90"/>
      <c r="D169" s="56"/>
      <c r="E169" s="84"/>
      <c r="F169" s="58" t="e">
        <f>VLOOKUP($C169,'Daily_BU설비데이터 '!$C$20:$T$1000,4,0)</f>
        <v>#N/A</v>
      </c>
      <c r="G169" s="58" t="e">
        <f>VLOOKUP($C169,'Daily_BU설비데이터 '!$C$20:$T$1000,5,0)</f>
        <v>#N/A</v>
      </c>
      <c r="H169" s="58" t="e">
        <f>VLOOKUP($C169,'Daily_BU설비데이터 '!$C$20:$T$1000,6,0)</f>
        <v>#N/A</v>
      </c>
      <c r="I169" s="58" t="e">
        <f>VLOOKUP($C169,'Daily_BU설비데이터 '!$C$20:$T$1000,7,0)</f>
        <v>#N/A</v>
      </c>
      <c r="J169" s="58" t="e">
        <f>VLOOKUP($C169,'Daily_BU설비데이터 '!$C$20:$T$1000,8,0)</f>
        <v>#N/A</v>
      </c>
      <c r="K169" s="58" t="e">
        <f>VLOOKUP($C169,'Daily_BU설비데이터 '!$C$20:$T$1000,9,0)</f>
        <v>#N/A</v>
      </c>
      <c r="L169" s="59" t="e">
        <f t="shared" si="35"/>
        <v>#N/A</v>
      </c>
      <c r="M169" s="68" t="e">
        <f>VLOOKUP($C169,'Daily_BU설비데이터 '!$C$20:$T$1000,11,0)</f>
        <v>#N/A</v>
      </c>
      <c r="N169" s="68" t="e">
        <f>VLOOKUP($C169,'Daily_BU설비데이터 '!$C$20:$T$1000,12,0)</f>
        <v>#N/A</v>
      </c>
      <c r="O169" s="68" t="e">
        <f>VLOOKUP($C169,'Daily_BU설비데이터 '!$C$20:$T$1000,13,0)</f>
        <v>#N/A</v>
      </c>
      <c r="P169" s="68" t="e">
        <f>VLOOKUP($C169,'Daily_BU설비데이터 '!$C$20:$T$1000,14,0)</f>
        <v>#N/A</v>
      </c>
      <c r="Q169" s="99" t="e">
        <f t="shared" si="36"/>
        <v>#N/A</v>
      </c>
      <c r="R169" s="100" t="e">
        <f t="shared" si="37"/>
        <v>#N/A</v>
      </c>
      <c r="S169" s="83" t="e">
        <f>VLOOKUP($C169,'Daily_BU설비데이터 '!$C$20:$T$1000,17,0)</f>
        <v>#N/A</v>
      </c>
      <c r="T169" s="83" t="e">
        <f>VLOOKUP($C169,'Daily_BU설비데이터 '!$C$20:$T$1000,18,0)</f>
        <v>#N/A</v>
      </c>
      <c r="U169" s="101" t="e">
        <f t="shared" si="38"/>
        <v>#N/A</v>
      </c>
      <c r="V169" s="45"/>
      <c r="W169" s="45"/>
      <c r="X169" s="45"/>
      <c r="Y169" s="45"/>
      <c r="Z169" s="45"/>
      <c r="AA169" s="45"/>
      <c r="AY169" s="66"/>
      <c r="AZ169" s="66"/>
      <c r="BA169" s="66"/>
      <c r="BB169" s="22"/>
    </row>
    <row r="170" spans="2:54" x14ac:dyDescent="0.45">
      <c r="B170" s="45" t="s">
        <v>142</v>
      </c>
      <c r="C170" s="90"/>
      <c r="D170" s="56"/>
      <c r="E170" s="57"/>
      <c r="F170" s="58" t="e">
        <f>VLOOKUP($C170,'Daily_BU설비데이터 '!$C$20:$T$1000,4,0)</f>
        <v>#N/A</v>
      </c>
      <c r="G170" s="58" t="e">
        <f>VLOOKUP($C170,'Daily_BU설비데이터 '!$C$20:$T$1000,5,0)</f>
        <v>#N/A</v>
      </c>
      <c r="H170" s="58" t="e">
        <f>VLOOKUP($C170,'Daily_BU설비데이터 '!$C$20:$T$1000,6,0)</f>
        <v>#N/A</v>
      </c>
      <c r="I170" s="58" t="e">
        <f>VLOOKUP($C170,'Daily_BU설비데이터 '!$C$20:$T$1000,7,0)</f>
        <v>#N/A</v>
      </c>
      <c r="J170" s="58" t="e">
        <f>VLOOKUP($C170,'Daily_BU설비데이터 '!$C$20:$T$1000,8,0)</f>
        <v>#N/A</v>
      </c>
      <c r="K170" s="58" t="e">
        <f>VLOOKUP($C170,'Daily_BU설비데이터 '!$C$20:$T$1000,9,0)</f>
        <v>#N/A</v>
      </c>
      <c r="L170" s="59" t="e">
        <f t="shared" si="35"/>
        <v>#N/A</v>
      </c>
      <c r="M170" s="68" t="e">
        <f>VLOOKUP($C170,'Daily_BU설비데이터 '!$C$20:$T$1000,11,0)</f>
        <v>#N/A</v>
      </c>
      <c r="N170" s="68" t="e">
        <f>VLOOKUP($C170,'Daily_BU설비데이터 '!$C$20:$T$1000,12,0)</f>
        <v>#N/A</v>
      </c>
      <c r="O170" s="68" t="e">
        <f>VLOOKUP($C170,'Daily_BU설비데이터 '!$C$20:$T$1000,13,0)</f>
        <v>#N/A</v>
      </c>
      <c r="P170" s="68" t="e">
        <f>VLOOKUP($C170,'Daily_BU설비데이터 '!$C$20:$T$1000,14,0)</f>
        <v>#N/A</v>
      </c>
      <c r="Q170" s="99" t="e">
        <f t="shared" si="36"/>
        <v>#N/A</v>
      </c>
      <c r="R170" s="100" t="e">
        <f t="shared" si="37"/>
        <v>#N/A</v>
      </c>
      <c r="S170" s="83" t="e">
        <f>VLOOKUP($C170,'Daily_BU설비데이터 '!$C$20:$T$1000,17,0)</f>
        <v>#N/A</v>
      </c>
      <c r="T170" s="83" t="e">
        <f>VLOOKUP($C170,'Daily_BU설비데이터 '!$C$20:$T$1000,18,0)</f>
        <v>#N/A</v>
      </c>
      <c r="U170" s="101" t="e">
        <f t="shared" si="38"/>
        <v>#N/A</v>
      </c>
      <c r="V170" s="45"/>
      <c r="W170" s="45"/>
      <c r="X170" s="45"/>
      <c r="Y170" s="45"/>
      <c r="Z170" s="45"/>
      <c r="AA170" s="45"/>
      <c r="AY170" s="66"/>
      <c r="AZ170" s="66"/>
      <c r="BA170" s="66"/>
      <c r="BB170" s="22"/>
    </row>
    <row r="171" spans="2:54" x14ac:dyDescent="0.45">
      <c r="B171" s="45" t="s">
        <v>143</v>
      </c>
      <c r="C171" s="90"/>
      <c r="D171" s="56"/>
      <c r="E171" s="80"/>
      <c r="F171" s="58" t="e">
        <f>VLOOKUP($C171,'Daily_BU설비데이터 '!$C$20:$T$1000,4,0)</f>
        <v>#N/A</v>
      </c>
      <c r="G171" s="58" t="e">
        <f>VLOOKUP($C171,'Daily_BU설비데이터 '!$C$20:$T$1000,5,0)</f>
        <v>#N/A</v>
      </c>
      <c r="H171" s="58" t="e">
        <f>VLOOKUP($C171,'Daily_BU설비데이터 '!$C$20:$T$1000,6,0)</f>
        <v>#N/A</v>
      </c>
      <c r="I171" s="58" t="e">
        <f>VLOOKUP($C171,'Daily_BU설비데이터 '!$C$20:$T$1000,7,0)</f>
        <v>#N/A</v>
      </c>
      <c r="J171" s="58" t="e">
        <f>VLOOKUP($C171,'Daily_BU설비데이터 '!$C$20:$T$1000,8,0)</f>
        <v>#N/A</v>
      </c>
      <c r="K171" s="58" t="e">
        <f>VLOOKUP($C171,'Daily_BU설비데이터 '!$C$20:$T$1000,9,0)</f>
        <v>#N/A</v>
      </c>
      <c r="L171" s="59" t="e">
        <f t="shared" si="35"/>
        <v>#N/A</v>
      </c>
      <c r="M171" s="68" t="e">
        <f>VLOOKUP($C171,'Daily_BU설비데이터 '!$C$20:$T$1000,11,0)</f>
        <v>#N/A</v>
      </c>
      <c r="N171" s="68" t="e">
        <f>VLOOKUP($C171,'Daily_BU설비데이터 '!$C$20:$T$1000,12,0)</f>
        <v>#N/A</v>
      </c>
      <c r="O171" s="68" t="e">
        <f>VLOOKUP($C171,'Daily_BU설비데이터 '!$C$20:$T$1000,13,0)</f>
        <v>#N/A</v>
      </c>
      <c r="P171" s="68" t="e">
        <f>VLOOKUP($C171,'Daily_BU설비데이터 '!$C$20:$T$1000,14,0)</f>
        <v>#N/A</v>
      </c>
      <c r="Q171" s="99" t="e">
        <f t="shared" si="36"/>
        <v>#N/A</v>
      </c>
      <c r="R171" s="100" t="e">
        <f t="shared" si="37"/>
        <v>#N/A</v>
      </c>
      <c r="S171" s="83" t="e">
        <f>VLOOKUP($C171,'Daily_BU설비데이터 '!$C$20:$T$1000,17,0)</f>
        <v>#N/A</v>
      </c>
      <c r="T171" s="83" t="e">
        <f>VLOOKUP($C171,'Daily_BU설비데이터 '!$C$20:$T$1000,18,0)</f>
        <v>#N/A</v>
      </c>
      <c r="U171" s="101" t="e">
        <f t="shared" si="38"/>
        <v>#N/A</v>
      </c>
      <c r="V171" s="45"/>
      <c r="W171" s="45"/>
      <c r="X171" s="45"/>
      <c r="Y171" s="45"/>
      <c r="Z171" s="45"/>
      <c r="AA171" s="45"/>
      <c r="AY171" s="66"/>
      <c r="AZ171" s="66"/>
      <c r="BA171" s="66"/>
      <c r="BB171" s="22"/>
    </row>
    <row r="172" spans="2:54" x14ac:dyDescent="0.45">
      <c r="B172" s="45" t="s">
        <v>144</v>
      </c>
      <c r="C172" s="90"/>
      <c r="D172" s="56"/>
      <c r="E172" s="84"/>
      <c r="F172" s="58" t="e">
        <f>VLOOKUP($C172,'Daily_BU설비데이터 '!$C$20:$T$1000,4,0)</f>
        <v>#N/A</v>
      </c>
      <c r="G172" s="58" t="e">
        <f>VLOOKUP($C172,'Daily_BU설비데이터 '!$C$20:$T$1000,5,0)</f>
        <v>#N/A</v>
      </c>
      <c r="H172" s="58" t="e">
        <f>VLOOKUP($C172,'Daily_BU설비데이터 '!$C$20:$T$1000,6,0)</f>
        <v>#N/A</v>
      </c>
      <c r="I172" s="58" t="e">
        <f>VLOOKUP($C172,'Daily_BU설비데이터 '!$C$20:$T$1000,7,0)</f>
        <v>#N/A</v>
      </c>
      <c r="J172" s="58" t="e">
        <f>VLOOKUP($C172,'Daily_BU설비데이터 '!$C$20:$T$1000,8,0)</f>
        <v>#N/A</v>
      </c>
      <c r="K172" s="58" t="e">
        <f>VLOOKUP($C172,'Daily_BU설비데이터 '!$C$20:$T$1000,9,0)</f>
        <v>#N/A</v>
      </c>
      <c r="L172" s="59" t="e">
        <f t="shared" si="35"/>
        <v>#N/A</v>
      </c>
      <c r="M172" s="68" t="e">
        <f>VLOOKUP($C172,'Daily_BU설비데이터 '!$C$20:$T$1000,11,0)</f>
        <v>#N/A</v>
      </c>
      <c r="N172" s="68" t="e">
        <f>VLOOKUP($C172,'Daily_BU설비데이터 '!$C$20:$T$1000,12,0)</f>
        <v>#N/A</v>
      </c>
      <c r="O172" s="68" t="e">
        <f>VLOOKUP($C172,'Daily_BU설비데이터 '!$C$20:$T$1000,13,0)</f>
        <v>#N/A</v>
      </c>
      <c r="P172" s="68" t="e">
        <f>VLOOKUP($C172,'Daily_BU설비데이터 '!$C$20:$T$1000,14,0)</f>
        <v>#N/A</v>
      </c>
      <c r="Q172" s="99" t="e">
        <f t="shared" si="36"/>
        <v>#N/A</v>
      </c>
      <c r="R172" s="100" t="e">
        <f t="shared" si="37"/>
        <v>#N/A</v>
      </c>
      <c r="S172" s="83" t="e">
        <f>VLOOKUP($C172,'Daily_BU설비데이터 '!$C$20:$T$1000,17,0)</f>
        <v>#N/A</v>
      </c>
      <c r="T172" s="83" t="e">
        <f>VLOOKUP($C172,'Daily_BU설비데이터 '!$C$20:$T$1000,18,0)</f>
        <v>#N/A</v>
      </c>
      <c r="U172" s="101" t="e">
        <f t="shared" si="38"/>
        <v>#N/A</v>
      </c>
      <c r="V172" s="45"/>
      <c r="W172" s="45"/>
      <c r="X172" s="45"/>
      <c r="Y172" s="45"/>
      <c r="Z172" s="45"/>
      <c r="AA172" s="45"/>
      <c r="AY172" s="66"/>
      <c r="AZ172" s="66"/>
      <c r="BA172" s="66"/>
      <c r="BB172" s="22"/>
    </row>
    <row r="173" spans="2:54" x14ac:dyDescent="0.45">
      <c r="B173" s="45" t="s">
        <v>145</v>
      </c>
      <c r="C173" s="90"/>
      <c r="D173" s="56"/>
      <c r="E173" s="57"/>
      <c r="F173" s="58" t="e">
        <f>VLOOKUP($C173,'Daily_BU설비데이터 '!$C$20:$T$1000,4,0)</f>
        <v>#N/A</v>
      </c>
      <c r="G173" s="58" t="e">
        <f>VLOOKUP($C173,'Daily_BU설비데이터 '!$C$20:$T$1000,5,0)</f>
        <v>#N/A</v>
      </c>
      <c r="H173" s="58" t="e">
        <f>VLOOKUP($C173,'Daily_BU설비데이터 '!$C$20:$T$1000,6,0)</f>
        <v>#N/A</v>
      </c>
      <c r="I173" s="58" t="e">
        <f>VLOOKUP($C173,'Daily_BU설비데이터 '!$C$20:$T$1000,7,0)</f>
        <v>#N/A</v>
      </c>
      <c r="J173" s="58" t="e">
        <f>VLOOKUP($C173,'Daily_BU설비데이터 '!$C$20:$T$1000,8,0)</f>
        <v>#N/A</v>
      </c>
      <c r="K173" s="58" t="e">
        <f>VLOOKUP($C173,'Daily_BU설비데이터 '!$C$20:$T$1000,9,0)</f>
        <v>#N/A</v>
      </c>
      <c r="L173" s="59" t="e">
        <f t="shared" si="35"/>
        <v>#N/A</v>
      </c>
      <c r="M173" s="68" t="e">
        <f>VLOOKUP($C173,'Daily_BU설비데이터 '!$C$20:$T$1000,11,0)</f>
        <v>#N/A</v>
      </c>
      <c r="N173" s="68" t="e">
        <f>VLOOKUP($C173,'Daily_BU설비데이터 '!$C$20:$T$1000,12,0)</f>
        <v>#N/A</v>
      </c>
      <c r="O173" s="68" t="e">
        <f>VLOOKUP($C173,'Daily_BU설비데이터 '!$C$20:$T$1000,13,0)</f>
        <v>#N/A</v>
      </c>
      <c r="P173" s="68" t="e">
        <f>VLOOKUP($C173,'Daily_BU설비데이터 '!$C$20:$T$1000,14,0)</f>
        <v>#N/A</v>
      </c>
      <c r="Q173" s="99" t="e">
        <f t="shared" si="36"/>
        <v>#N/A</v>
      </c>
      <c r="R173" s="100" t="e">
        <f t="shared" si="37"/>
        <v>#N/A</v>
      </c>
      <c r="S173" s="83" t="e">
        <f>VLOOKUP($C173,'Daily_BU설비데이터 '!$C$20:$T$1000,17,0)</f>
        <v>#N/A</v>
      </c>
      <c r="T173" s="83" t="e">
        <f>VLOOKUP($C173,'Daily_BU설비데이터 '!$C$20:$T$1000,18,0)</f>
        <v>#N/A</v>
      </c>
      <c r="U173" s="101" t="e">
        <f t="shared" si="38"/>
        <v>#N/A</v>
      </c>
      <c r="V173" s="45"/>
      <c r="W173" s="45"/>
      <c r="X173" s="45"/>
      <c r="Y173" s="45"/>
      <c r="Z173" s="45"/>
      <c r="AA173" s="45"/>
      <c r="AY173" s="66"/>
      <c r="AZ173" s="66"/>
      <c r="BA173" s="66"/>
      <c r="BB173" s="22"/>
    </row>
    <row r="174" spans="2:54" x14ac:dyDescent="0.45">
      <c r="B174" s="45" t="s">
        <v>146</v>
      </c>
      <c r="C174" s="90"/>
      <c r="D174" s="56"/>
      <c r="E174" s="80"/>
      <c r="F174" s="58" t="e">
        <f>VLOOKUP($C174,'Daily_BU설비데이터 '!$C$20:$T$1000,4,0)</f>
        <v>#N/A</v>
      </c>
      <c r="G174" s="58" t="e">
        <f>VLOOKUP($C174,'Daily_BU설비데이터 '!$C$20:$T$1000,5,0)</f>
        <v>#N/A</v>
      </c>
      <c r="H174" s="58" t="e">
        <f>VLOOKUP($C174,'Daily_BU설비데이터 '!$C$20:$T$1000,6,0)</f>
        <v>#N/A</v>
      </c>
      <c r="I174" s="58" t="e">
        <f>VLOOKUP($C174,'Daily_BU설비데이터 '!$C$20:$T$1000,7,0)</f>
        <v>#N/A</v>
      </c>
      <c r="J174" s="58" t="e">
        <f>VLOOKUP($C174,'Daily_BU설비데이터 '!$C$20:$T$1000,8,0)</f>
        <v>#N/A</v>
      </c>
      <c r="K174" s="58" t="e">
        <f>VLOOKUP($C174,'Daily_BU설비데이터 '!$C$20:$T$1000,9,0)</f>
        <v>#N/A</v>
      </c>
      <c r="L174" s="59" t="e">
        <f t="shared" si="35"/>
        <v>#N/A</v>
      </c>
      <c r="M174" s="68" t="e">
        <f>VLOOKUP($C174,'Daily_BU설비데이터 '!$C$20:$T$1000,11,0)</f>
        <v>#N/A</v>
      </c>
      <c r="N174" s="68" t="e">
        <f>VLOOKUP($C174,'Daily_BU설비데이터 '!$C$20:$T$1000,12,0)</f>
        <v>#N/A</v>
      </c>
      <c r="O174" s="68" t="e">
        <f>VLOOKUP($C174,'Daily_BU설비데이터 '!$C$20:$T$1000,13,0)</f>
        <v>#N/A</v>
      </c>
      <c r="P174" s="68" t="e">
        <f>VLOOKUP($C174,'Daily_BU설비데이터 '!$C$20:$T$1000,14,0)</f>
        <v>#N/A</v>
      </c>
      <c r="Q174" s="99" t="e">
        <f t="shared" si="36"/>
        <v>#N/A</v>
      </c>
      <c r="R174" s="100" t="e">
        <f t="shared" si="37"/>
        <v>#N/A</v>
      </c>
      <c r="S174" s="83" t="e">
        <f>VLOOKUP($C174,'Daily_BU설비데이터 '!$C$20:$T$1000,17,0)</f>
        <v>#N/A</v>
      </c>
      <c r="T174" s="83" t="e">
        <f>VLOOKUP($C174,'Daily_BU설비데이터 '!$C$20:$T$1000,18,0)</f>
        <v>#N/A</v>
      </c>
      <c r="U174" s="101" t="e">
        <f t="shared" si="38"/>
        <v>#N/A</v>
      </c>
      <c r="V174" s="45"/>
      <c r="W174" s="45"/>
      <c r="X174" s="45"/>
      <c r="Y174" s="45"/>
      <c r="Z174" s="45"/>
      <c r="AA174" s="45"/>
      <c r="AY174" s="66"/>
      <c r="AZ174" s="66"/>
      <c r="BA174" s="66"/>
      <c r="BB174" s="22"/>
    </row>
    <row r="175" spans="2:54" x14ac:dyDescent="0.45">
      <c r="B175" s="45" t="s">
        <v>147</v>
      </c>
      <c r="C175" s="90"/>
      <c r="D175" s="56"/>
      <c r="E175" s="84"/>
      <c r="F175" s="58" t="e">
        <f>VLOOKUP($C175,'Daily_BU설비데이터 '!$C$20:$T$1000,4,0)</f>
        <v>#N/A</v>
      </c>
      <c r="G175" s="58" t="e">
        <f>VLOOKUP($C175,'Daily_BU설비데이터 '!$C$20:$T$1000,5,0)</f>
        <v>#N/A</v>
      </c>
      <c r="H175" s="58" t="e">
        <f>VLOOKUP($C175,'Daily_BU설비데이터 '!$C$20:$T$1000,6,0)</f>
        <v>#N/A</v>
      </c>
      <c r="I175" s="58" t="e">
        <f>VLOOKUP($C175,'Daily_BU설비데이터 '!$C$20:$T$1000,7,0)</f>
        <v>#N/A</v>
      </c>
      <c r="J175" s="58" t="e">
        <f>VLOOKUP($C175,'Daily_BU설비데이터 '!$C$20:$T$1000,8,0)</f>
        <v>#N/A</v>
      </c>
      <c r="K175" s="58" t="e">
        <f>VLOOKUP($C175,'Daily_BU설비데이터 '!$C$20:$T$1000,9,0)</f>
        <v>#N/A</v>
      </c>
      <c r="L175" s="59" t="e">
        <f t="shared" si="35"/>
        <v>#N/A</v>
      </c>
      <c r="M175" s="68" t="e">
        <f>VLOOKUP($C175,'Daily_BU설비데이터 '!$C$20:$T$1000,11,0)</f>
        <v>#N/A</v>
      </c>
      <c r="N175" s="68" t="e">
        <f>VLOOKUP($C175,'Daily_BU설비데이터 '!$C$20:$T$1000,12,0)</f>
        <v>#N/A</v>
      </c>
      <c r="O175" s="68" t="e">
        <f>VLOOKUP($C175,'Daily_BU설비데이터 '!$C$20:$T$1000,13,0)</f>
        <v>#N/A</v>
      </c>
      <c r="P175" s="68" t="e">
        <f>VLOOKUP($C175,'Daily_BU설비데이터 '!$C$20:$T$1000,14,0)</f>
        <v>#N/A</v>
      </c>
      <c r="Q175" s="99" t="e">
        <f t="shared" si="36"/>
        <v>#N/A</v>
      </c>
      <c r="R175" s="100" t="e">
        <f t="shared" si="37"/>
        <v>#N/A</v>
      </c>
      <c r="S175" s="83" t="e">
        <f>VLOOKUP($C175,'Daily_BU설비데이터 '!$C$20:$T$1000,17,0)</f>
        <v>#N/A</v>
      </c>
      <c r="T175" s="83" t="e">
        <f>VLOOKUP($C175,'Daily_BU설비데이터 '!$C$20:$T$1000,18,0)</f>
        <v>#N/A</v>
      </c>
      <c r="U175" s="101" t="e">
        <f t="shared" si="38"/>
        <v>#N/A</v>
      </c>
      <c r="V175" s="45"/>
      <c r="W175" s="45"/>
      <c r="X175" s="45"/>
      <c r="Y175" s="45"/>
      <c r="Z175" s="45"/>
      <c r="AA175" s="45"/>
      <c r="AY175" s="66"/>
      <c r="AZ175" s="66"/>
      <c r="BA175" s="66"/>
      <c r="BB175" s="22"/>
    </row>
    <row r="176" spans="2:54" x14ac:dyDescent="0.45">
      <c r="B176" s="45" t="s">
        <v>148</v>
      </c>
      <c r="C176" s="90"/>
      <c r="D176" s="56"/>
      <c r="E176" s="57"/>
      <c r="F176" s="58" t="e">
        <f>VLOOKUP($C176,'Daily_BU설비데이터 '!$C$20:$T$1000,4,0)</f>
        <v>#N/A</v>
      </c>
      <c r="G176" s="58" t="e">
        <f>VLOOKUP($C176,'Daily_BU설비데이터 '!$C$20:$T$1000,5,0)</f>
        <v>#N/A</v>
      </c>
      <c r="H176" s="58" t="e">
        <f>VLOOKUP($C176,'Daily_BU설비데이터 '!$C$20:$T$1000,6,0)</f>
        <v>#N/A</v>
      </c>
      <c r="I176" s="58" t="e">
        <f>VLOOKUP($C176,'Daily_BU설비데이터 '!$C$20:$T$1000,7,0)</f>
        <v>#N/A</v>
      </c>
      <c r="J176" s="58" t="e">
        <f>VLOOKUP($C176,'Daily_BU설비데이터 '!$C$20:$T$1000,8,0)</f>
        <v>#N/A</v>
      </c>
      <c r="K176" s="58" t="e">
        <f>VLOOKUP($C176,'Daily_BU설비데이터 '!$C$20:$T$1000,9,0)</f>
        <v>#N/A</v>
      </c>
      <c r="L176" s="59" t="e">
        <f t="shared" si="35"/>
        <v>#N/A</v>
      </c>
      <c r="M176" s="68" t="e">
        <f>VLOOKUP($C176,'Daily_BU설비데이터 '!$C$20:$T$1000,11,0)</f>
        <v>#N/A</v>
      </c>
      <c r="N176" s="68" t="e">
        <f>VLOOKUP($C176,'Daily_BU설비데이터 '!$C$20:$T$1000,12,0)</f>
        <v>#N/A</v>
      </c>
      <c r="O176" s="68" t="e">
        <f>VLOOKUP($C176,'Daily_BU설비데이터 '!$C$20:$T$1000,13,0)</f>
        <v>#N/A</v>
      </c>
      <c r="P176" s="68" t="e">
        <f>VLOOKUP($C176,'Daily_BU설비데이터 '!$C$20:$T$1000,14,0)</f>
        <v>#N/A</v>
      </c>
      <c r="Q176" s="99" t="e">
        <f t="shared" si="36"/>
        <v>#N/A</v>
      </c>
      <c r="R176" s="100" t="e">
        <f t="shared" si="37"/>
        <v>#N/A</v>
      </c>
      <c r="S176" s="83" t="e">
        <f>VLOOKUP($C176,'Daily_BU설비데이터 '!$C$20:$T$1000,17,0)</f>
        <v>#N/A</v>
      </c>
      <c r="T176" s="83" t="e">
        <f>VLOOKUP($C176,'Daily_BU설비데이터 '!$C$20:$T$1000,18,0)</f>
        <v>#N/A</v>
      </c>
      <c r="U176" s="101" t="e">
        <f t="shared" si="38"/>
        <v>#N/A</v>
      </c>
      <c r="V176" s="45"/>
      <c r="W176" s="45"/>
      <c r="X176" s="45"/>
      <c r="Y176" s="45"/>
      <c r="Z176" s="45"/>
      <c r="AA176" s="45"/>
      <c r="AY176" s="66"/>
      <c r="AZ176" s="66"/>
      <c r="BA176" s="66"/>
      <c r="BB176" s="22"/>
    </row>
    <row r="177" spans="2:54" x14ac:dyDescent="0.45">
      <c r="B177" s="45" t="s">
        <v>561</v>
      </c>
      <c r="C177" s="90"/>
      <c r="D177" s="56"/>
      <c r="E177" s="80"/>
      <c r="F177" s="58" t="e">
        <f>VLOOKUP($C177,'Daily_BU설비데이터 '!$C$20:$T$1000,4,0)</f>
        <v>#N/A</v>
      </c>
      <c r="G177" s="58" t="e">
        <f>VLOOKUP($C177,'Daily_BU설비데이터 '!$C$20:$T$1000,5,0)</f>
        <v>#N/A</v>
      </c>
      <c r="H177" s="58" t="e">
        <f>VLOOKUP($C177,'Daily_BU설비데이터 '!$C$20:$T$1000,6,0)</f>
        <v>#N/A</v>
      </c>
      <c r="I177" s="58" t="e">
        <f>VLOOKUP($C177,'Daily_BU설비데이터 '!$C$20:$T$1000,7,0)</f>
        <v>#N/A</v>
      </c>
      <c r="J177" s="58" t="e">
        <f>VLOOKUP($C177,'Daily_BU설비데이터 '!$C$20:$T$1000,8,0)</f>
        <v>#N/A</v>
      </c>
      <c r="K177" s="58" t="e">
        <f>VLOOKUP($C177,'Daily_BU설비데이터 '!$C$20:$T$1000,9,0)</f>
        <v>#N/A</v>
      </c>
      <c r="L177" s="59" t="e">
        <f t="shared" si="35"/>
        <v>#N/A</v>
      </c>
      <c r="M177" s="68" t="e">
        <f>VLOOKUP($C177,'Daily_BU설비데이터 '!$C$20:$T$1000,11,0)</f>
        <v>#N/A</v>
      </c>
      <c r="N177" s="68" t="e">
        <f>VLOOKUP($C177,'Daily_BU설비데이터 '!$C$20:$T$1000,12,0)</f>
        <v>#N/A</v>
      </c>
      <c r="O177" s="68" t="e">
        <f>VLOOKUP($C177,'Daily_BU설비데이터 '!$C$20:$T$1000,13,0)</f>
        <v>#N/A</v>
      </c>
      <c r="P177" s="68" t="e">
        <f>VLOOKUP($C177,'Daily_BU설비데이터 '!$C$20:$T$1000,14,0)</f>
        <v>#N/A</v>
      </c>
      <c r="Q177" s="99" t="e">
        <f t="shared" si="36"/>
        <v>#N/A</v>
      </c>
      <c r="R177" s="100" t="e">
        <f t="shared" si="37"/>
        <v>#N/A</v>
      </c>
      <c r="S177" s="83" t="e">
        <f>VLOOKUP($C177,'Daily_BU설비데이터 '!$C$20:$T$1000,17,0)</f>
        <v>#N/A</v>
      </c>
      <c r="T177" s="83" t="e">
        <f>VLOOKUP($C177,'Daily_BU설비데이터 '!$C$20:$T$1000,18,0)</f>
        <v>#N/A</v>
      </c>
      <c r="U177" s="101" t="e">
        <f t="shared" si="38"/>
        <v>#N/A</v>
      </c>
      <c r="V177" s="45"/>
      <c r="W177" s="45"/>
      <c r="X177" s="45"/>
      <c r="Y177" s="45"/>
      <c r="Z177" s="45"/>
      <c r="AA177" s="45"/>
      <c r="AY177" s="66"/>
      <c r="AZ177" s="66"/>
      <c r="BA177" s="66"/>
      <c r="BB177" s="22"/>
    </row>
    <row r="178" spans="2:54" x14ac:dyDescent="0.45">
      <c r="B178" s="45" t="s">
        <v>562</v>
      </c>
      <c r="C178" s="90"/>
      <c r="D178" s="56"/>
      <c r="E178" s="84"/>
      <c r="F178" s="58" t="e">
        <f>VLOOKUP($C178,'Daily_BU설비데이터 '!$C$20:$T$1000,4,0)</f>
        <v>#N/A</v>
      </c>
      <c r="G178" s="58" t="e">
        <f>VLOOKUP($C178,'Daily_BU설비데이터 '!$C$20:$T$1000,5,0)</f>
        <v>#N/A</v>
      </c>
      <c r="H178" s="58" t="e">
        <f>VLOOKUP($C178,'Daily_BU설비데이터 '!$C$20:$T$1000,6,0)</f>
        <v>#N/A</v>
      </c>
      <c r="I178" s="58" t="e">
        <f>VLOOKUP($C178,'Daily_BU설비데이터 '!$C$20:$T$1000,7,0)</f>
        <v>#N/A</v>
      </c>
      <c r="J178" s="58" t="e">
        <f>VLOOKUP($C178,'Daily_BU설비데이터 '!$C$20:$T$1000,8,0)</f>
        <v>#N/A</v>
      </c>
      <c r="K178" s="58" t="e">
        <f>VLOOKUP($C178,'Daily_BU설비데이터 '!$C$20:$T$1000,9,0)</f>
        <v>#N/A</v>
      </c>
      <c r="L178" s="59" t="e">
        <f t="shared" si="35"/>
        <v>#N/A</v>
      </c>
      <c r="M178" s="68" t="e">
        <f>VLOOKUP($C178,'Daily_BU설비데이터 '!$C$20:$T$1000,11,0)</f>
        <v>#N/A</v>
      </c>
      <c r="N178" s="68" t="e">
        <f>VLOOKUP($C178,'Daily_BU설비데이터 '!$C$20:$T$1000,12,0)</f>
        <v>#N/A</v>
      </c>
      <c r="O178" s="68" t="e">
        <f>VLOOKUP($C178,'Daily_BU설비데이터 '!$C$20:$T$1000,13,0)</f>
        <v>#N/A</v>
      </c>
      <c r="P178" s="68" t="e">
        <f>VLOOKUP($C178,'Daily_BU설비데이터 '!$C$20:$T$1000,14,0)</f>
        <v>#N/A</v>
      </c>
      <c r="Q178" s="99" t="e">
        <f t="shared" si="36"/>
        <v>#N/A</v>
      </c>
      <c r="R178" s="100" t="e">
        <f t="shared" si="37"/>
        <v>#N/A</v>
      </c>
      <c r="S178" s="83" t="e">
        <f>VLOOKUP($C178,'Daily_BU설비데이터 '!$C$20:$T$1000,17,0)</f>
        <v>#N/A</v>
      </c>
      <c r="T178" s="83" t="e">
        <f>VLOOKUP($C178,'Daily_BU설비데이터 '!$C$20:$T$1000,18,0)</f>
        <v>#N/A</v>
      </c>
      <c r="U178" s="101" t="e">
        <f t="shared" si="38"/>
        <v>#N/A</v>
      </c>
      <c r="V178" s="45"/>
      <c r="W178" s="45"/>
      <c r="X178" s="45"/>
      <c r="Y178" s="45"/>
      <c r="Z178" s="45"/>
      <c r="AA178" s="45"/>
      <c r="AY178" s="66"/>
      <c r="AZ178" s="66"/>
      <c r="BA178" s="66"/>
      <c r="BB178" s="22"/>
    </row>
    <row r="179" spans="2:54" x14ac:dyDescent="0.45">
      <c r="B179" s="45" t="s">
        <v>563</v>
      </c>
      <c r="C179" s="90"/>
      <c r="D179" s="56"/>
      <c r="E179" s="57"/>
      <c r="F179" s="58" t="e">
        <f>VLOOKUP($C179,'Daily_BU설비데이터 '!$C$20:$T$1000,4,0)</f>
        <v>#N/A</v>
      </c>
      <c r="G179" s="58" t="e">
        <f>VLOOKUP($C179,'Daily_BU설비데이터 '!$C$20:$T$1000,5,0)</f>
        <v>#N/A</v>
      </c>
      <c r="H179" s="58" t="e">
        <f>VLOOKUP($C179,'Daily_BU설비데이터 '!$C$20:$T$1000,6,0)</f>
        <v>#N/A</v>
      </c>
      <c r="I179" s="58" t="e">
        <f>VLOOKUP($C179,'Daily_BU설비데이터 '!$C$20:$T$1000,7,0)</f>
        <v>#N/A</v>
      </c>
      <c r="J179" s="58" t="e">
        <f>VLOOKUP($C179,'Daily_BU설비데이터 '!$C$20:$T$1000,8,0)</f>
        <v>#N/A</v>
      </c>
      <c r="K179" s="58" t="e">
        <f>VLOOKUP($C179,'Daily_BU설비데이터 '!$C$20:$T$1000,9,0)</f>
        <v>#N/A</v>
      </c>
      <c r="L179" s="59" t="e">
        <f t="shared" si="35"/>
        <v>#N/A</v>
      </c>
      <c r="M179" s="68" t="e">
        <f>VLOOKUP($C179,'Daily_BU설비데이터 '!$C$20:$T$1000,11,0)</f>
        <v>#N/A</v>
      </c>
      <c r="N179" s="68" t="e">
        <f>VLOOKUP($C179,'Daily_BU설비데이터 '!$C$20:$T$1000,12,0)</f>
        <v>#N/A</v>
      </c>
      <c r="O179" s="68" t="e">
        <f>VLOOKUP($C179,'Daily_BU설비데이터 '!$C$20:$T$1000,13,0)</f>
        <v>#N/A</v>
      </c>
      <c r="P179" s="68" t="e">
        <f>VLOOKUP($C179,'Daily_BU설비데이터 '!$C$20:$T$1000,14,0)</f>
        <v>#N/A</v>
      </c>
      <c r="Q179" s="99" t="e">
        <f t="shared" si="36"/>
        <v>#N/A</v>
      </c>
      <c r="R179" s="100" t="e">
        <f t="shared" si="37"/>
        <v>#N/A</v>
      </c>
      <c r="S179" s="83" t="e">
        <f>VLOOKUP($C179,'Daily_BU설비데이터 '!$C$20:$T$1000,17,0)</f>
        <v>#N/A</v>
      </c>
      <c r="T179" s="83" t="e">
        <f>VLOOKUP($C179,'Daily_BU설비데이터 '!$C$20:$T$1000,18,0)</f>
        <v>#N/A</v>
      </c>
      <c r="U179" s="101" t="e">
        <f t="shared" si="38"/>
        <v>#N/A</v>
      </c>
      <c r="V179" s="45"/>
      <c r="W179" s="45"/>
      <c r="X179" s="45"/>
      <c r="Y179" s="45"/>
      <c r="Z179" s="45"/>
      <c r="AA179" s="45"/>
      <c r="AY179" s="66"/>
      <c r="AZ179" s="66"/>
      <c r="BA179" s="66"/>
      <c r="BB179" s="22"/>
    </row>
    <row r="180" spans="2:54" x14ac:dyDescent="0.45">
      <c r="B180" s="45" t="s">
        <v>564</v>
      </c>
      <c r="C180" s="90"/>
      <c r="D180" s="56"/>
      <c r="E180" s="80"/>
      <c r="F180" s="58" t="e">
        <f>VLOOKUP($C180,'Daily_BU설비데이터 '!$C$20:$T$1000,4,0)</f>
        <v>#N/A</v>
      </c>
      <c r="G180" s="58" t="e">
        <f>VLOOKUP($C180,'Daily_BU설비데이터 '!$C$20:$T$1000,5,0)</f>
        <v>#N/A</v>
      </c>
      <c r="H180" s="58" t="e">
        <f>VLOOKUP($C180,'Daily_BU설비데이터 '!$C$20:$T$1000,6,0)</f>
        <v>#N/A</v>
      </c>
      <c r="I180" s="58" t="e">
        <f>VLOOKUP($C180,'Daily_BU설비데이터 '!$C$20:$T$1000,7,0)</f>
        <v>#N/A</v>
      </c>
      <c r="J180" s="58" t="e">
        <f>VLOOKUP($C180,'Daily_BU설비데이터 '!$C$20:$T$1000,8,0)</f>
        <v>#N/A</v>
      </c>
      <c r="K180" s="58" t="e">
        <f>VLOOKUP($C180,'Daily_BU설비데이터 '!$C$20:$T$1000,9,0)</f>
        <v>#N/A</v>
      </c>
      <c r="L180" s="59" t="e">
        <f t="shared" si="35"/>
        <v>#N/A</v>
      </c>
      <c r="M180" s="68" t="e">
        <f>VLOOKUP($C180,'Daily_BU설비데이터 '!$C$20:$T$1000,11,0)</f>
        <v>#N/A</v>
      </c>
      <c r="N180" s="68" t="e">
        <f>VLOOKUP($C180,'Daily_BU설비데이터 '!$C$20:$T$1000,12,0)</f>
        <v>#N/A</v>
      </c>
      <c r="O180" s="68" t="e">
        <f>VLOOKUP($C180,'Daily_BU설비데이터 '!$C$20:$T$1000,13,0)</f>
        <v>#N/A</v>
      </c>
      <c r="P180" s="68" t="e">
        <f>VLOOKUP($C180,'Daily_BU설비데이터 '!$C$20:$T$1000,14,0)</f>
        <v>#N/A</v>
      </c>
      <c r="Q180" s="99" t="e">
        <f t="shared" si="36"/>
        <v>#N/A</v>
      </c>
      <c r="R180" s="100" t="e">
        <f t="shared" si="37"/>
        <v>#N/A</v>
      </c>
      <c r="S180" s="83" t="e">
        <f>VLOOKUP($C180,'Daily_BU설비데이터 '!$C$20:$T$1000,17,0)</f>
        <v>#N/A</v>
      </c>
      <c r="T180" s="83" t="e">
        <f>VLOOKUP($C180,'Daily_BU설비데이터 '!$C$20:$T$1000,18,0)</f>
        <v>#N/A</v>
      </c>
      <c r="U180" s="101" t="e">
        <f t="shared" si="38"/>
        <v>#N/A</v>
      </c>
      <c r="V180" s="45"/>
      <c r="W180" s="45"/>
      <c r="X180" s="45"/>
      <c r="Y180" s="45"/>
      <c r="Z180" s="45"/>
      <c r="AA180" s="45"/>
      <c r="AY180" s="66"/>
      <c r="AZ180" s="66"/>
      <c r="BA180" s="66"/>
      <c r="BB180" s="22"/>
    </row>
    <row r="181" spans="2:54" x14ac:dyDescent="0.45">
      <c r="B181" s="45" t="s">
        <v>565</v>
      </c>
      <c r="C181" s="90"/>
      <c r="D181" s="56"/>
      <c r="E181" s="84"/>
      <c r="F181" s="58" t="e">
        <f>VLOOKUP($C181,'Daily_BU설비데이터 '!$C$20:$T$1000,4,0)</f>
        <v>#N/A</v>
      </c>
      <c r="G181" s="58" t="e">
        <f>VLOOKUP($C181,'Daily_BU설비데이터 '!$C$20:$T$1000,5,0)</f>
        <v>#N/A</v>
      </c>
      <c r="H181" s="58" t="e">
        <f>VLOOKUP($C181,'Daily_BU설비데이터 '!$C$20:$T$1000,6,0)</f>
        <v>#N/A</v>
      </c>
      <c r="I181" s="58" t="e">
        <f>VLOOKUP($C181,'Daily_BU설비데이터 '!$C$20:$T$1000,7,0)</f>
        <v>#N/A</v>
      </c>
      <c r="J181" s="58" t="e">
        <f>VLOOKUP($C181,'Daily_BU설비데이터 '!$C$20:$T$1000,8,0)</f>
        <v>#N/A</v>
      </c>
      <c r="K181" s="58" t="e">
        <f>VLOOKUP($C181,'Daily_BU설비데이터 '!$C$20:$T$1000,9,0)</f>
        <v>#N/A</v>
      </c>
      <c r="L181" s="59" t="e">
        <f t="shared" si="35"/>
        <v>#N/A</v>
      </c>
      <c r="M181" s="68" t="e">
        <f>VLOOKUP($C181,'Daily_BU설비데이터 '!$C$20:$T$1000,11,0)</f>
        <v>#N/A</v>
      </c>
      <c r="N181" s="68" t="e">
        <f>VLOOKUP($C181,'Daily_BU설비데이터 '!$C$20:$T$1000,12,0)</f>
        <v>#N/A</v>
      </c>
      <c r="O181" s="68" t="e">
        <f>VLOOKUP($C181,'Daily_BU설비데이터 '!$C$20:$T$1000,13,0)</f>
        <v>#N/A</v>
      </c>
      <c r="P181" s="68" t="e">
        <f>VLOOKUP($C181,'Daily_BU설비데이터 '!$C$20:$T$1000,14,0)</f>
        <v>#N/A</v>
      </c>
      <c r="Q181" s="99" t="e">
        <f t="shared" si="36"/>
        <v>#N/A</v>
      </c>
      <c r="R181" s="100" t="e">
        <f t="shared" si="37"/>
        <v>#N/A</v>
      </c>
      <c r="S181" s="83" t="e">
        <f>VLOOKUP($C181,'Daily_BU설비데이터 '!$C$20:$T$1000,17,0)</f>
        <v>#N/A</v>
      </c>
      <c r="T181" s="83" t="e">
        <f>VLOOKUP($C181,'Daily_BU설비데이터 '!$C$20:$T$1000,18,0)</f>
        <v>#N/A</v>
      </c>
      <c r="U181" s="101" t="e">
        <f t="shared" si="38"/>
        <v>#N/A</v>
      </c>
      <c r="V181" s="45"/>
      <c r="W181" s="45"/>
      <c r="X181" s="45"/>
      <c r="Y181" s="45"/>
      <c r="Z181" s="45"/>
      <c r="AA181" s="45"/>
      <c r="AY181" s="66"/>
      <c r="AZ181" s="66"/>
      <c r="BA181" s="66"/>
      <c r="BB181" s="22"/>
    </row>
    <row r="182" spans="2:54" x14ac:dyDescent="0.45">
      <c r="B182" s="45" t="s">
        <v>566</v>
      </c>
      <c r="C182" s="90"/>
      <c r="D182" s="56"/>
      <c r="E182" s="57"/>
      <c r="F182" s="58" t="e">
        <f>VLOOKUP($C182,'Daily_BU설비데이터 '!$C$20:$T$1000,4,0)</f>
        <v>#N/A</v>
      </c>
      <c r="G182" s="58" t="e">
        <f>VLOOKUP($C182,'Daily_BU설비데이터 '!$C$20:$T$1000,5,0)</f>
        <v>#N/A</v>
      </c>
      <c r="H182" s="58" t="e">
        <f>VLOOKUP($C182,'Daily_BU설비데이터 '!$C$20:$T$1000,6,0)</f>
        <v>#N/A</v>
      </c>
      <c r="I182" s="58" t="e">
        <f>VLOOKUP($C182,'Daily_BU설비데이터 '!$C$20:$T$1000,7,0)</f>
        <v>#N/A</v>
      </c>
      <c r="J182" s="58" t="e">
        <f>VLOOKUP($C182,'Daily_BU설비데이터 '!$C$20:$T$1000,8,0)</f>
        <v>#N/A</v>
      </c>
      <c r="K182" s="58" t="e">
        <f>VLOOKUP($C182,'Daily_BU설비데이터 '!$C$20:$T$1000,9,0)</f>
        <v>#N/A</v>
      </c>
      <c r="L182" s="59" t="e">
        <f t="shared" si="35"/>
        <v>#N/A</v>
      </c>
      <c r="M182" s="68" t="e">
        <f>VLOOKUP($C182,'Daily_BU설비데이터 '!$C$20:$T$1000,11,0)</f>
        <v>#N/A</v>
      </c>
      <c r="N182" s="68" t="e">
        <f>VLOOKUP($C182,'Daily_BU설비데이터 '!$C$20:$T$1000,12,0)</f>
        <v>#N/A</v>
      </c>
      <c r="O182" s="68" t="e">
        <f>VLOOKUP($C182,'Daily_BU설비데이터 '!$C$20:$T$1000,13,0)</f>
        <v>#N/A</v>
      </c>
      <c r="P182" s="68" t="e">
        <f>VLOOKUP($C182,'Daily_BU설비데이터 '!$C$20:$T$1000,14,0)</f>
        <v>#N/A</v>
      </c>
      <c r="Q182" s="99" t="e">
        <f t="shared" si="36"/>
        <v>#N/A</v>
      </c>
      <c r="R182" s="100" t="e">
        <f t="shared" si="37"/>
        <v>#N/A</v>
      </c>
      <c r="S182" s="83" t="e">
        <f>VLOOKUP($C182,'Daily_BU설비데이터 '!$C$20:$T$1000,17,0)</f>
        <v>#N/A</v>
      </c>
      <c r="T182" s="83" t="e">
        <f>VLOOKUP($C182,'Daily_BU설비데이터 '!$C$20:$T$1000,18,0)</f>
        <v>#N/A</v>
      </c>
      <c r="U182" s="101" t="e">
        <f t="shared" si="38"/>
        <v>#N/A</v>
      </c>
      <c r="V182" s="45"/>
      <c r="W182" s="45"/>
      <c r="X182" s="45"/>
      <c r="Y182" s="45"/>
      <c r="Z182" s="45"/>
      <c r="AA182" s="45"/>
      <c r="AY182" s="66"/>
      <c r="AZ182" s="66"/>
      <c r="BA182" s="66"/>
      <c r="BB182" s="22"/>
    </row>
    <row r="183" spans="2:54" x14ac:dyDescent="0.45">
      <c r="B183" s="45" t="s">
        <v>567</v>
      </c>
      <c r="C183" s="90"/>
      <c r="D183" s="56"/>
      <c r="E183" s="80"/>
      <c r="F183" s="58" t="e">
        <f>VLOOKUP($C183,'Daily_BU설비데이터 '!$C$20:$T$1000,4,0)</f>
        <v>#N/A</v>
      </c>
      <c r="G183" s="58" t="e">
        <f>VLOOKUP($C183,'Daily_BU설비데이터 '!$C$20:$T$1000,5,0)</f>
        <v>#N/A</v>
      </c>
      <c r="H183" s="58" t="e">
        <f>VLOOKUP($C183,'Daily_BU설비데이터 '!$C$20:$T$1000,6,0)</f>
        <v>#N/A</v>
      </c>
      <c r="I183" s="58" t="e">
        <f>VLOOKUP($C183,'Daily_BU설비데이터 '!$C$20:$T$1000,7,0)</f>
        <v>#N/A</v>
      </c>
      <c r="J183" s="58" t="e">
        <f>VLOOKUP($C183,'Daily_BU설비데이터 '!$C$20:$T$1000,8,0)</f>
        <v>#N/A</v>
      </c>
      <c r="K183" s="58" t="e">
        <f>VLOOKUP($C183,'Daily_BU설비데이터 '!$C$20:$T$1000,9,0)</f>
        <v>#N/A</v>
      </c>
      <c r="L183" s="59" t="e">
        <f t="shared" si="35"/>
        <v>#N/A</v>
      </c>
      <c r="M183" s="68" t="e">
        <f>VLOOKUP($C183,'Daily_BU설비데이터 '!$C$20:$T$1000,11,0)</f>
        <v>#N/A</v>
      </c>
      <c r="N183" s="68" t="e">
        <f>VLOOKUP($C183,'Daily_BU설비데이터 '!$C$20:$T$1000,12,0)</f>
        <v>#N/A</v>
      </c>
      <c r="O183" s="68" t="e">
        <f>VLOOKUP($C183,'Daily_BU설비데이터 '!$C$20:$T$1000,13,0)</f>
        <v>#N/A</v>
      </c>
      <c r="P183" s="68" t="e">
        <f>VLOOKUP($C183,'Daily_BU설비데이터 '!$C$20:$T$1000,14,0)</f>
        <v>#N/A</v>
      </c>
      <c r="Q183" s="99" t="e">
        <f t="shared" si="36"/>
        <v>#N/A</v>
      </c>
      <c r="R183" s="100" t="e">
        <f t="shared" si="37"/>
        <v>#N/A</v>
      </c>
      <c r="S183" s="83" t="e">
        <f>VLOOKUP($C183,'Daily_BU설비데이터 '!$C$20:$T$1000,17,0)</f>
        <v>#N/A</v>
      </c>
      <c r="T183" s="83" t="e">
        <f>VLOOKUP($C183,'Daily_BU설비데이터 '!$C$20:$T$1000,18,0)</f>
        <v>#N/A</v>
      </c>
      <c r="U183" s="101" t="e">
        <f t="shared" si="38"/>
        <v>#N/A</v>
      </c>
      <c r="V183" s="45"/>
      <c r="W183" s="45"/>
      <c r="X183" s="45"/>
      <c r="Y183" s="45"/>
      <c r="Z183" s="45"/>
      <c r="AA183" s="45"/>
      <c r="AY183" s="66"/>
      <c r="AZ183" s="66"/>
      <c r="BA183" s="66"/>
      <c r="BB183" s="22"/>
    </row>
    <row r="184" spans="2:54" x14ac:dyDescent="0.45">
      <c r="B184" s="45" t="s">
        <v>568</v>
      </c>
      <c r="C184" s="90"/>
      <c r="D184" s="56"/>
      <c r="E184" s="84"/>
      <c r="F184" s="58" t="e">
        <f>VLOOKUP($C184,'Daily_BU설비데이터 '!$C$20:$T$1000,4,0)</f>
        <v>#N/A</v>
      </c>
      <c r="G184" s="58" t="e">
        <f>VLOOKUP($C184,'Daily_BU설비데이터 '!$C$20:$T$1000,5,0)</f>
        <v>#N/A</v>
      </c>
      <c r="H184" s="58" t="e">
        <f>VLOOKUP($C184,'Daily_BU설비데이터 '!$C$20:$T$1000,6,0)</f>
        <v>#N/A</v>
      </c>
      <c r="I184" s="58" t="e">
        <f>VLOOKUP($C184,'Daily_BU설비데이터 '!$C$20:$T$1000,7,0)</f>
        <v>#N/A</v>
      </c>
      <c r="J184" s="58" t="e">
        <f>VLOOKUP($C184,'Daily_BU설비데이터 '!$C$20:$T$1000,8,0)</f>
        <v>#N/A</v>
      </c>
      <c r="K184" s="58" t="e">
        <f>VLOOKUP($C184,'Daily_BU설비데이터 '!$C$20:$T$1000,9,0)</f>
        <v>#N/A</v>
      </c>
      <c r="L184" s="59" t="e">
        <f t="shared" si="35"/>
        <v>#N/A</v>
      </c>
      <c r="M184" s="68" t="e">
        <f>VLOOKUP($C184,'Daily_BU설비데이터 '!$C$20:$T$1000,11,0)</f>
        <v>#N/A</v>
      </c>
      <c r="N184" s="68" t="e">
        <f>VLOOKUP($C184,'Daily_BU설비데이터 '!$C$20:$T$1000,12,0)</f>
        <v>#N/A</v>
      </c>
      <c r="O184" s="68" t="e">
        <f>VLOOKUP($C184,'Daily_BU설비데이터 '!$C$20:$T$1000,13,0)</f>
        <v>#N/A</v>
      </c>
      <c r="P184" s="68" t="e">
        <f>VLOOKUP($C184,'Daily_BU설비데이터 '!$C$20:$T$1000,14,0)</f>
        <v>#N/A</v>
      </c>
      <c r="Q184" s="99" t="e">
        <f t="shared" si="36"/>
        <v>#N/A</v>
      </c>
      <c r="R184" s="100" t="e">
        <f t="shared" si="37"/>
        <v>#N/A</v>
      </c>
      <c r="S184" s="83" t="e">
        <f>VLOOKUP($C184,'Daily_BU설비데이터 '!$C$20:$T$1000,17,0)</f>
        <v>#N/A</v>
      </c>
      <c r="T184" s="83" t="e">
        <f>VLOOKUP($C184,'Daily_BU설비데이터 '!$C$20:$T$1000,18,0)</f>
        <v>#N/A</v>
      </c>
      <c r="U184" s="101" t="e">
        <f t="shared" si="38"/>
        <v>#N/A</v>
      </c>
      <c r="V184" s="45"/>
      <c r="W184" s="45"/>
      <c r="X184" s="45"/>
      <c r="Y184" s="45"/>
      <c r="Z184" s="45"/>
      <c r="AA184" s="45"/>
      <c r="AY184" s="66"/>
      <c r="AZ184" s="66"/>
      <c r="BA184" s="66"/>
      <c r="BB184" s="22"/>
    </row>
    <row r="185" spans="2:54" x14ac:dyDescent="0.45">
      <c r="B185" s="45" t="s">
        <v>569</v>
      </c>
      <c r="C185" s="90"/>
      <c r="D185" s="56"/>
      <c r="E185" s="57"/>
      <c r="F185" s="58" t="e">
        <f>VLOOKUP($C185,'Daily_BU설비데이터 '!$C$20:$T$1000,4,0)</f>
        <v>#N/A</v>
      </c>
      <c r="G185" s="58" t="e">
        <f>VLOOKUP($C185,'Daily_BU설비데이터 '!$C$20:$T$1000,5,0)</f>
        <v>#N/A</v>
      </c>
      <c r="H185" s="58" t="e">
        <f>VLOOKUP($C185,'Daily_BU설비데이터 '!$C$20:$T$1000,6,0)</f>
        <v>#N/A</v>
      </c>
      <c r="I185" s="58" t="e">
        <f>VLOOKUP($C185,'Daily_BU설비데이터 '!$C$20:$T$1000,7,0)</f>
        <v>#N/A</v>
      </c>
      <c r="J185" s="58" t="e">
        <f>VLOOKUP($C185,'Daily_BU설비데이터 '!$C$20:$T$1000,8,0)</f>
        <v>#N/A</v>
      </c>
      <c r="K185" s="58" t="e">
        <f>VLOOKUP($C185,'Daily_BU설비데이터 '!$C$20:$T$1000,9,0)</f>
        <v>#N/A</v>
      </c>
      <c r="L185" s="59" t="e">
        <f t="shared" si="35"/>
        <v>#N/A</v>
      </c>
      <c r="M185" s="68" t="e">
        <f>VLOOKUP($C185,'Daily_BU설비데이터 '!$C$20:$T$1000,11,0)</f>
        <v>#N/A</v>
      </c>
      <c r="N185" s="68" t="e">
        <f>VLOOKUP($C185,'Daily_BU설비데이터 '!$C$20:$T$1000,12,0)</f>
        <v>#N/A</v>
      </c>
      <c r="O185" s="68" t="e">
        <f>VLOOKUP($C185,'Daily_BU설비데이터 '!$C$20:$T$1000,13,0)</f>
        <v>#N/A</v>
      </c>
      <c r="P185" s="68" t="e">
        <f>VLOOKUP($C185,'Daily_BU설비데이터 '!$C$20:$T$1000,14,0)</f>
        <v>#N/A</v>
      </c>
      <c r="Q185" s="99" t="e">
        <f t="shared" si="36"/>
        <v>#N/A</v>
      </c>
      <c r="R185" s="100" t="e">
        <f t="shared" si="37"/>
        <v>#N/A</v>
      </c>
      <c r="S185" s="83" t="e">
        <f>VLOOKUP($C185,'Daily_BU설비데이터 '!$C$20:$T$1000,17,0)</f>
        <v>#N/A</v>
      </c>
      <c r="T185" s="83" t="e">
        <f>VLOOKUP($C185,'Daily_BU설비데이터 '!$C$20:$T$1000,18,0)</f>
        <v>#N/A</v>
      </c>
      <c r="U185" s="101" t="e">
        <f t="shared" si="38"/>
        <v>#N/A</v>
      </c>
      <c r="V185" s="45"/>
      <c r="W185" s="45"/>
      <c r="X185" s="45"/>
      <c r="Y185" s="45"/>
      <c r="Z185" s="45"/>
      <c r="AA185" s="45"/>
      <c r="AY185" s="66"/>
      <c r="AZ185" s="66"/>
      <c r="BA185" s="66"/>
      <c r="BB185" s="22"/>
    </row>
    <row r="186" spans="2:54" x14ac:dyDescent="0.45">
      <c r="B186" s="45" t="s">
        <v>570</v>
      </c>
      <c r="C186" s="90"/>
      <c r="D186" s="56"/>
      <c r="E186" s="80"/>
      <c r="F186" s="58" t="e">
        <f>VLOOKUP($C186,'Daily_BU설비데이터 '!$C$20:$T$1000,4,0)</f>
        <v>#N/A</v>
      </c>
      <c r="G186" s="58" t="e">
        <f>VLOOKUP($C186,'Daily_BU설비데이터 '!$C$20:$T$1000,5,0)</f>
        <v>#N/A</v>
      </c>
      <c r="H186" s="58" t="e">
        <f>VLOOKUP($C186,'Daily_BU설비데이터 '!$C$20:$T$1000,6,0)</f>
        <v>#N/A</v>
      </c>
      <c r="I186" s="58" t="e">
        <f>VLOOKUP($C186,'Daily_BU설비데이터 '!$C$20:$T$1000,7,0)</f>
        <v>#N/A</v>
      </c>
      <c r="J186" s="58" t="e">
        <f>VLOOKUP($C186,'Daily_BU설비데이터 '!$C$20:$T$1000,8,0)</f>
        <v>#N/A</v>
      </c>
      <c r="K186" s="58" t="e">
        <f>VLOOKUP($C186,'Daily_BU설비데이터 '!$C$20:$T$1000,9,0)</f>
        <v>#N/A</v>
      </c>
      <c r="L186" s="59" t="e">
        <f t="shared" si="35"/>
        <v>#N/A</v>
      </c>
      <c r="M186" s="68" t="e">
        <f>VLOOKUP($C186,'Daily_BU설비데이터 '!$C$20:$T$1000,11,0)</f>
        <v>#N/A</v>
      </c>
      <c r="N186" s="68" t="e">
        <f>VLOOKUP($C186,'Daily_BU설비데이터 '!$C$20:$T$1000,12,0)</f>
        <v>#N/A</v>
      </c>
      <c r="O186" s="68" t="e">
        <f>VLOOKUP($C186,'Daily_BU설비데이터 '!$C$20:$T$1000,13,0)</f>
        <v>#N/A</v>
      </c>
      <c r="P186" s="68" t="e">
        <f>VLOOKUP($C186,'Daily_BU설비데이터 '!$C$20:$T$1000,14,0)</f>
        <v>#N/A</v>
      </c>
      <c r="Q186" s="99" t="e">
        <f t="shared" si="36"/>
        <v>#N/A</v>
      </c>
      <c r="R186" s="100" t="e">
        <f t="shared" si="37"/>
        <v>#N/A</v>
      </c>
      <c r="S186" s="83" t="e">
        <f>VLOOKUP($C186,'Daily_BU설비데이터 '!$C$20:$T$1000,17,0)</f>
        <v>#N/A</v>
      </c>
      <c r="T186" s="83" t="e">
        <f>VLOOKUP($C186,'Daily_BU설비데이터 '!$C$20:$T$1000,18,0)</f>
        <v>#N/A</v>
      </c>
      <c r="U186" s="101" t="e">
        <f t="shared" si="38"/>
        <v>#N/A</v>
      </c>
      <c r="V186" s="45"/>
      <c r="W186" s="45"/>
      <c r="X186" s="45"/>
      <c r="Y186" s="45"/>
      <c r="Z186" s="45"/>
      <c r="AA186" s="45"/>
      <c r="AY186" s="66"/>
      <c r="AZ186" s="66"/>
      <c r="BA186" s="66"/>
      <c r="BB186" s="22"/>
    </row>
    <row r="187" spans="2:54" x14ac:dyDescent="0.45">
      <c r="B187" s="45" t="s">
        <v>571</v>
      </c>
      <c r="C187" s="90"/>
      <c r="D187" s="56"/>
      <c r="E187" s="84"/>
      <c r="F187" s="58" t="e">
        <f>VLOOKUP($C187,'Daily_BU설비데이터 '!$C$20:$T$1000,4,0)</f>
        <v>#N/A</v>
      </c>
      <c r="G187" s="58" t="e">
        <f>VLOOKUP($C187,'Daily_BU설비데이터 '!$C$20:$T$1000,5,0)</f>
        <v>#N/A</v>
      </c>
      <c r="H187" s="58" t="e">
        <f>VLOOKUP($C187,'Daily_BU설비데이터 '!$C$20:$T$1000,6,0)</f>
        <v>#N/A</v>
      </c>
      <c r="I187" s="58" t="e">
        <f>VLOOKUP($C187,'Daily_BU설비데이터 '!$C$20:$T$1000,7,0)</f>
        <v>#N/A</v>
      </c>
      <c r="J187" s="58" t="e">
        <f>VLOOKUP($C187,'Daily_BU설비데이터 '!$C$20:$T$1000,8,0)</f>
        <v>#N/A</v>
      </c>
      <c r="K187" s="58" t="e">
        <f>VLOOKUP($C187,'Daily_BU설비데이터 '!$C$20:$T$1000,9,0)</f>
        <v>#N/A</v>
      </c>
      <c r="L187" s="59" t="e">
        <f t="shared" si="35"/>
        <v>#N/A</v>
      </c>
      <c r="M187" s="68" t="e">
        <f>VLOOKUP($C187,'Daily_BU설비데이터 '!$C$20:$T$1000,11,0)</f>
        <v>#N/A</v>
      </c>
      <c r="N187" s="68" t="e">
        <f>VLOOKUP($C187,'Daily_BU설비데이터 '!$C$20:$T$1000,12,0)</f>
        <v>#N/A</v>
      </c>
      <c r="O187" s="68" t="e">
        <f>VLOOKUP($C187,'Daily_BU설비데이터 '!$C$20:$T$1000,13,0)</f>
        <v>#N/A</v>
      </c>
      <c r="P187" s="68" t="e">
        <f>VLOOKUP($C187,'Daily_BU설비데이터 '!$C$20:$T$1000,14,0)</f>
        <v>#N/A</v>
      </c>
      <c r="Q187" s="99" t="e">
        <f t="shared" si="36"/>
        <v>#N/A</v>
      </c>
      <c r="R187" s="100" t="e">
        <f t="shared" si="37"/>
        <v>#N/A</v>
      </c>
      <c r="S187" s="83" t="e">
        <f>VLOOKUP($C187,'Daily_BU설비데이터 '!$C$20:$T$1000,17,0)</f>
        <v>#N/A</v>
      </c>
      <c r="T187" s="83" t="e">
        <f>VLOOKUP($C187,'Daily_BU설비데이터 '!$C$20:$T$1000,18,0)</f>
        <v>#N/A</v>
      </c>
      <c r="U187" s="101" t="e">
        <f t="shared" si="38"/>
        <v>#N/A</v>
      </c>
      <c r="V187" s="45"/>
      <c r="W187" s="45"/>
      <c r="X187" s="45"/>
      <c r="Y187" s="45"/>
      <c r="Z187" s="45"/>
      <c r="AA187" s="45"/>
      <c r="AY187" s="66"/>
      <c r="AZ187" s="66"/>
      <c r="BA187" s="66"/>
      <c r="BB187" s="22"/>
    </row>
    <row r="188" spans="2:54" x14ac:dyDescent="0.45">
      <c r="B188" s="45" t="s">
        <v>572</v>
      </c>
      <c r="C188" s="90"/>
      <c r="D188" s="56"/>
      <c r="E188" s="57"/>
      <c r="F188" s="58" t="e">
        <f>VLOOKUP($C188,'Daily_BU설비데이터 '!$C$20:$T$1000,4,0)</f>
        <v>#N/A</v>
      </c>
      <c r="G188" s="58" t="e">
        <f>VLOOKUP($C188,'Daily_BU설비데이터 '!$C$20:$T$1000,5,0)</f>
        <v>#N/A</v>
      </c>
      <c r="H188" s="58" t="e">
        <f>VLOOKUP($C188,'Daily_BU설비데이터 '!$C$20:$T$1000,6,0)</f>
        <v>#N/A</v>
      </c>
      <c r="I188" s="58" t="e">
        <f>VLOOKUP($C188,'Daily_BU설비데이터 '!$C$20:$T$1000,7,0)</f>
        <v>#N/A</v>
      </c>
      <c r="J188" s="58" t="e">
        <f>VLOOKUP($C188,'Daily_BU설비데이터 '!$C$20:$T$1000,8,0)</f>
        <v>#N/A</v>
      </c>
      <c r="K188" s="58" t="e">
        <f>VLOOKUP($C188,'Daily_BU설비데이터 '!$C$20:$T$1000,9,0)</f>
        <v>#N/A</v>
      </c>
      <c r="L188" s="59" t="e">
        <f t="shared" si="35"/>
        <v>#N/A</v>
      </c>
      <c r="M188" s="68" t="e">
        <f>VLOOKUP($C188,'Daily_BU설비데이터 '!$C$20:$T$1000,11,0)</f>
        <v>#N/A</v>
      </c>
      <c r="N188" s="68" t="e">
        <f>VLOOKUP($C188,'Daily_BU설비데이터 '!$C$20:$T$1000,12,0)</f>
        <v>#N/A</v>
      </c>
      <c r="O188" s="68" t="e">
        <f>VLOOKUP($C188,'Daily_BU설비데이터 '!$C$20:$T$1000,13,0)</f>
        <v>#N/A</v>
      </c>
      <c r="P188" s="68" t="e">
        <f>VLOOKUP($C188,'Daily_BU설비데이터 '!$C$20:$T$1000,14,0)</f>
        <v>#N/A</v>
      </c>
      <c r="Q188" s="99" t="e">
        <f t="shared" si="36"/>
        <v>#N/A</v>
      </c>
      <c r="R188" s="100" t="e">
        <f t="shared" si="37"/>
        <v>#N/A</v>
      </c>
      <c r="S188" s="83" t="e">
        <f>VLOOKUP($C188,'Daily_BU설비데이터 '!$C$20:$T$1000,17,0)</f>
        <v>#N/A</v>
      </c>
      <c r="T188" s="83" t="e">
        <f>VLOOKUP($C188,'Daily_BU설비데이터 '!$C$20:$T$1000,18,0)</f>
        <v>#N/A</v>
      </c>
      <c r="U188" s="101" t="e">
        <f t="shared" si="38"/>
        <v>#N/A</v>
      </c>
      <c r="V188" s="45"/>
      <c r="W188" s="45"/>
      <c r="X188" s="45"/>
      <c r="Y188" s="45"/>
      <c r="Z188" s="45"/>
      <c r="AA188" s="45"/>
      <c r="AY188" s="66"/>
      <c r="AZ188" s="66"/>
      <c r="BA188" s="66"/>
      <c r="BB188" s="22"/>
    </row>
    <row r="189" spans="2:54" x14ac:dyDescent="0.45">
      <c r="B189" s="45" t="s">
        <v>573</v>
      </c>
      <c r="C189" s="90"/>
      <c r="D189" s="56"/>
      <c r="E189" s="80"/>
      <c r="F189" s="58" t="e">
        <f>VLOOKUP($C189,'Daily_BU설비데이터 '!$C$20:$T$1000,4,0)</f>
        <v>#N/A</v>
      </c>
      <c r="G189" s="58" t="e">
        <f>VLOOKUP($C189,'Daily_BU설비데이터 '!$C$20:$T$1000,5,0)</f>
        <v>#N/A</v>
      </c>
      <c r="H189" s="58" t="e">
        <f>VLOOKUP($C189,'Daily_BU설비데이터 '!$C$20:$T$1000,6,0)</f>
        <v>#N/A</v>
      </c>
      <c r="I189" s="58" t="e">
        <f>VLOOKUP($C189,'Daily_BU설비데이터 '!$C$20:$T$1000,7,0)</f>
        <v>#N/A</v>
      </c>
      <c r="J189" s="58" t="e">
        <f>VLOOKUP($C189,'Daily_BU설비데이터 '!$C$20:$T$1000,8,0)</f>
        <v>#N/A</v>
      </c>
      <c r="K189" s="58" t="e">
        <f>VLOOKUP($C189,'Daily_BU설비데이터 '!$C$20:$T$1000,9,0)</f>
        <v>#N/A</v>
      </c>
      <c r="L189" s="59" t="e">
        <f t="shared" si="35"/>
        <v>#N/A</v>
      </c>
      <c r="M189" s="68" t="e">
        <f>VLOOKUP($C189,'Daily_BU설비데이터 '!$C$20:$T$1000,11,0)</f>
        <v>#N/A</v>
      </c>
      <c r="N189" s="68" t="e">
        <f>VLOOKUP($C189,'Daily_BU설비데이터 '!$C$20:$T$1000,12,0)</f>
        <v>#N/A</v>
      </c>
      <c r="O189" s="68" t="e">
        <f>VLOOKUP($C189,'Daily_BU설비데이터 '!$C$20:$T$1000,13,0)</f>
        <v>#N/A</v>
      </c>
      <c r="P189" s="68" t="e">
        <f>VLOOKUP($C189,'Daily_BU설비데이터 '!$C$20:$T$1000,14,0)</f>
        <v>#N/A</v>
      </c>
      <c r="Q189" s="99" t="e">
        <f t="shared" si="36"/>
        <v>#N/A</v>
      </c>
      <c r="R189" s="100" t="e">
        <f t="shared" si="37"/>
        <v>#N/A</v>
      </c>
      <c r="S189" s="83" t="e">
        <f>VLOOKUP($C189,'Daily_BU설비데이터 '!$C$20:$T$1000,17,0)</f>
        <v>#N/A</v>
      </c>
      <c r="T189" s="83" t="e">
        <f>VLOOKUP($C189,'Daily_BU설비데이터 '!$C$20:$T$1000,18,0)</f>
        <v>#N/A</v>
      </c>
      <c r="U189" s="101" t="e">
        <f t="shared" si="38"/>
        <v>#N/A</v>
      </c>
      <c r="V189" s="45"/>
      <c r="W189" s="45"/>
      <c r="X189" s="45"/>
      <c r="Y189" s="45"/>
      <c r="Z189" s="45"/>
      <c r="AA189" s="45"/>
      <c r="AY189" s="66"/>
      <c r="AZ189" s="66"/>
      <c r="BA189" s="66"/>
      <c r="BB189" s="22"/>
    </row>
    <row r="190" spans="2:54" x14ac:dyDescent="0.45">
      <c r="B190" s="45" t="s">
        <v>574</v>
      </c>
      <c r="C190" s="90"/>
      <c r="D190" s="56"/>
      <c r="E190" s="84"/>
      <c r="F190" s="58" t="e">
        <f>VLOOKUP($C190,'Daily_BU설비데이터 '!$C$20:$T$1000,4,0)</f>
        <v>#N/A</v>
      </c>
      <c r="G190" s="58" t="e">
        <f>VLOOKUP($C190,'Daily_BU설비데이터 '!$C$20:$T$1000,5,0)</f>
        <v>#N/A</v>
      </c>
      <c r="H190" s="58" t="e">
        <f>VLOOKUP($C190,'Daily_BU설비데이터 '!$C$20:$T$1000,6,0)</f>
        <v>#N/A</v>
      </c>
      <c r="I190" s="58" t="e">
        <f>VLOOKUP($C190,'Daily_BU설비데이터 '!$C$20:$T$1000,7,0)</f>
        <v>#N/A</v>
      </c>
      <c r="J190" s="58" t="e">
        <f>VLOOKUP($C190,'Daily_BU설비데이터 '!$C$20:$T$1000,8,0)</f>
        <v>#N/A</v>
      </c>
      <c r="K190" s="58" t="e">
        <f>VLOOKUP($C190,'Daily_BU설비데이터 '!$C$20:$T$1000,9,0)</f>
        <v>#N/A</v>
      </c>
      <c r="L190" s="59" t="e">
        <f t="shared" si="35"/>
        <v>#N/A</v>
      </c>
      <c r="M190" s="68" t="e">
        <f>VLOOKUP($C190,'Daily_BU설비데이터 '!$C$20:$T$1000,11,0)</f>
        <v>#N/A</v>
      </c>
      <c r="N190" s="68" t="e">
        <f>VLOOKUP($C190,'Daily_BU설비데이터 '!$C$20:$T$1000,12,0)</f>
        <v>#N/A</v>
      </c>
      <c r="O190" s="68" t="e">
        <f>VLOOKUP($C190,'Daily_BU설비데이터 '!$C$20:$T$1000,13,0)</f>
        <v>#N/A</v>
      </c>
      <c r="P190" s="68" t="e">
        <f>VLOOKUP($C190,'Daily_BU설비데이터 '!$C$20:$T$1000,14,0)</f>
        <v>#N/A</v>
      </c>
      <c r="Q190" s="99" t="e">
        <f t="shared" si="36"/>
        <v>#N/A</v>
      </c>
      <c r="R190" s="100" t="e">
        <f t="shared" si="37"/>
        <v>#N/A</v>
      </c>
      <c r="S190" s="83" t="e">
        <f>VLOOKUP($C190,'Daily_BU설비데이터 '!$C$20:$T$1000,17,0)</f>
        <v>#N/A</v>
      </c>
      <c r="T190" s="83" t="e">
        <f>VLOOKUP($C190,'Daily_BU설비데이터 '!$C$20:$T$1000,18,0)</f>
        <v>#N/A</v>
      </c>
      <c r="U190" s="101" t="e">
        <f t="shared" si="38"/>
        <v>#N/A</v>
      </c>
      <c r="V190" s="45"/>
      <c r="W190" s="45"/>
      <c r="X190" s="45"/>
      <c r="Y190" s="45"/>
      <c r="Z190" s="45"/>
      <c r="AA190" s="45"/>
      <c r="AY190" s="66"/>
      <c r="AZ190" s="66"/>
      <c r="BA190" s="66"/>
      <c r="BB190" s="22"/>
    </row>
    <row r="191" spans="2:54" x14ac:dyDescent="0.45">
      <c r="B191" s="45" t="s">
        <v>575</v>
      </c>
      <c r="C191" s="90"/>
      <c r="D191" s="56"/>
      <c r="E191" s="57"/>
      <c r="F191" s="58" t="e">
        <f>VLOOKUP($C191,'Daily_BU설비데이터 '!$C$20:$T$1000,4,0)</f>
        <v>#N/A</v>
      </c>
      <c r="G191" s="58" t="e">
        <f>VLOOKUP($C191,'Daily_BU설비데이터 '!$C$20:$T$1000,5,0)</f>
        <v>#N/A</v>
      </c>
      <c r="H191" s="58" t="e">
        <f>VLOOKUP($C191,'Daily_BU설비데이터 '!$C$20:$T$1000,6,0)</f>
        <v>#N/A</v>
      </c>
      <c r="I191" s="58" t="e">
        <f>VLOOKUP($C191,'Daily_BU설비데이터 '!$C$20:$T$1000,7,0)</f>
        <v>#N/A</v>
      </c>
      <c r="J191" s="58" t="e">
        <f>VLOOKUP($C191,'Daily_BU설비데이터 '!$C$20:$T$1000,8,0)</f>
        <v>#N/A</v>
      </c>
      <c r="K191" s="58" t="e">
        <f>VLOOKUP($C191,'Daily_BU설비데이터 '!$C$20:$T$1000,9,0)</f>
        <v>#N/A</v>
      </c>
      <c r="L191" s="59" t="e">
        <f t="shared" si="35"/>
        <v>#N/A</v>
      </c>
      <c r="M191" s="68" t="e">
        <f>VLOOKUP($C191,'Daily_BU설비데이터 '!$C$20:$T$1000,11,0)</f>
        <v>#N/A</v>
      </c>
      <c r="N191" s="68" t="e">
        <f>VLOOKUP($C191,'Daily_BU설비데이터 '!$C$20:$T$1000,12,0)</f>
        <v>#N/A</v>
      </c>
      <c r="O191" s="68" t="e">
        <f>VLOOKUP($C191,'Daily_BU설비데이터 '!$C$20:$T$1000,13,0)</f>
        <v>#N/A</v>
      </c>
      <c r="P191" s="68" t="e">
        <f>VLOOKUP($C191,'Daily_BU설비데이터 '!$C$20:$T$1000,14,0)</f>
        <v>#N/A</v>
      </c>
      <c r="Q191" s="99" t="e">
        <f t="shared" si="36"/>
        <v>#N/A</v>
      </c>
      <c r="R191" s="100" t="e">
        <f t="shared" si="37"/>
        <v>#N/A</v>
      </c>
      <c r="S191" s="83" t="e">
        <f>VLOOKUP($C191,'Daily_BU설비데이터 '!$C$20:$T$1000,17,0)</f>
        <v>#N/A</v>
      </c>
      <c r="T191" s="83" t="e">
        <f>VLOOKUP($C191,'Daily_BU설비데이터 '!$C$20:$T$1000,18,0)</f>
        <v>#N/A</v>
      </c>
      <c r="U191" s="101" t="e">
        <f t="shared" si="38"/>
        <v>#N/A</v>
      </c>
      <c r="V191" s="45"/>
      <c r="W191" s="45"/>
      <c r="X191" s="45"/>
      <c r="Y191" s="45"/>
      <c r="Z191" s="45"/>
      <c r="AA191" s="45"/>
      <c r="AY191" s="66"/>
      <c r="AZ191" s="66"/>
      <c r="BA191" s="66"/>
      <c r="BB191" s="22"/>
    </row>
    <row r="192" spans="2:54" x14ac:dyDescent="0.45">
      <c r="B192" s="45" t="s">
        <v>576</v>
      </c>
      <c r="C192" s="90"/>
      <c r="D192" s="56"/>
      <c r="E192" s="80"/>
      <c r="F192" s="58" t="e">
        <f>VLOOKUP($C192,'Daily_BU설비데이터 '!$C$20:$T$1000,4,0)</f>
        <v>#N/A</v>
      </c>
      <c r="G192" s="58" t="e">
        <f>VLOOKUP($C192,'Daily_BU설비데이터 '!$C$20:$T$1000,5,0)</f>
        <v>#N/A</v>
      </c>
      <c r="H192" s="58" t="e">
        <f>VLOOKUP($C192,'Daily_BU설비데이터 '!$C$20:$T$1000,6,0)</f>
        <v>#N/A</v>
      </c>
      <c r="I192" s="58" t="e">
        <f>VLOOKUP($C192,'Daily_BU설비데이터 '!$C$20:$T$1000,7,0)</f>
        <v>#N/A</v>
      </c>
      <c r="J192" s="58" t="e">
        <f>VLOOKUP($C192,'Daily_BU설비데이터 '!$C$20:$T$1000,8,0)</f>
        <v>#N/A</v>
      </c>
      <c r="K192" s="58" t="e">
        <f>VLOOKUP($C192,'Daily_BU설비데이터 '!$C$20:$T$1000,9,0)</f>
        <v>#N/A</v>
      </c>
      <c r="L192" s="59" t="e">
        <f t="shared" si="35"/>
        <v>#N/A</v>
      </c>
      <c r="M192" s="68" t="e">
        <f>VLOOKUP($C192,'Daily_BU설비데이터 '!$C$20:$T$1000,11,0)</f>
        <v>#N/A</v>
      </c>
      <c r="N192" s="68" t="e">
        <f>VLOOKUP($C192,'Daily_BU설비데이터 '!$C$20:$T$1000,12,0)</f>
        <v>#N/A</v>
      </c>
      <c r="O192" s="68" t="e">
        <f>VLOOKUP($C192,'Daily_BU설비데이터 '!$C$20:$T$1000,13,0)</f>
        <v>#N/A</v>
      </c>
      <c r="P192" s="68" t="e">
        <f>VLOOKUP($C192,'Daily_BU설비데이터 '!$C$20:$T$1000,14,0)</f>
        <v>#N/A</v>
      </c>
      <c r="Q192" s="99" t="e">
        <f t="shared" si="36"/>
        <v>#N/A</v>
      </c>
      <c r="R192" s="100" t="e">
        <f t="shared" si="37"/>
        <v>#N/A</v>
      </c>
      <c r="S192" s="83" t="e">
        <f>VLOOKUP($C192,'Daily_BU설비데이터 '!$C$20:$T$1000,17,0)</f>
        <v>#N/A</v>
      </c>
      <c r="T192" s="83" t="e">
        <f>VLOOKUP($C192,'Daily_BU설비데이터 '!$C$20:$T$1000,18,0)</f>
        <v>#N/A</v>
      </c>
      <c r="U192" s="101" t="e">
        <f t="shared" si="38"/>
        <v>#N/A</v>
      </c>
      <c r="V192" s="45"/>
      <c r="W192" s="45"/>
      <c r="X192" s="45"/>
      <c r="Y192" s="45"/>
      <c r="Z192" s="45"/>
      <c r="AA192" s="45"/>
      <c r="AY192" s="66"/>
      <c r="AZ192" s="66"/>
      <c r="BA192" s="66"/>
      <c r="BB192" s="22"/>
    </row>
    <row r="193" spans="2:54" x14ac:dyDescent="0.45">
      <c r="B193" s="45" t="s">
        <v>577</v>
      </c>
      <c r="C193" s="90"/>
      <c r="D193" s="56"/>
      <c r="E193" s="84"/>
      <c r="F193" s="58" t="e">
        <f>VLOOKUP($C193,'Daily_BU설비데이터 '!$C$20:$T$1000,4,0)</f>
        <v>#N/A</v>
      </c>
      <c r="G193" s="58" t="e">
        <f>VLOOKUP($C193,'Daily_BU설비데이터 '!$C$20:$T$1000,5,0)</f>
        <v>#N/A</v>
      </c>
      <c r="H193" s="58" t="e">
        <f>VLOOKUP($C193,'Daily_BU설비데이터 '!$C$20:$T$1000,6,0)</f>
        <v>#N/A</v>
      </c>
      <c r="I193" s="58" t="e">
        <f>VLOOKUP($C193,'Daily_BU설비데이터 '!$C$20:$T$1000,7,0)</f>
        <v>#N/A</v>
      </c>
      <c r="J193" s="58" t="e">
        <f>VLOOKUP($C193,'Daily_BU설비데이터 '!$C$20:$T$1000,8,0)</f>
        <v>#N/A</v>
      </c>
      <c r="K193" s="58" t="e">
        <f>VLOOKUP($C193,'Daily_BU설비데이터 '!$C$20:$T$1000,9,0)</f>
        <v>#N/A</v>
      </c>
      <c r="L193" s="59" t="e">
        <f t="shared" si="35"/>
        <v>#N/A</v>
      </c>
      <c r="M193" s="68" t="e">
        <f>VLOOKUP($C193,'Daily_BU설비데이터 '!$C$20:$T$1000,11,0)</f>
        <v>#N/A</v>
      </c>
      <c r="N193" s="68" t="e">
        <f>VLOOKUP($C193,'Daily_BU설비데이터 '!$C$20:$T$1000,12,0)</f>
        <v>#N/A</v>
      </c>
      <c r="O193" s="68" t="e">
        <f>VLOOKUP($C193,'Daily_BU설비데이터 '!$C$20:$T$1000,13,0)</f>
        <v>#N/A</v>
      </c>
      <c r="P193" s="68" t="e">
        <f>VLOOKUP($C193,'Daily_BU설비데이터 '!$C$20:$T$1000,14,0)</f>
        <v>#N/A</v>
      </c>
      <c r="Q193" s="99" t="e">
        <f t="shared" si="36"/>
        <v>#N/A</v>
      </c>
      <c r="R193" s="100" t="e">
        <f t="shared" si="37"/>
        <v>#N/A</v>
      </c>
      <c r="S193" s="83" t="e">
        <f>VLOOKUP($C193,'Daily_BU설비데이터 '!$C$20:$T$1000,17,0)</f>
        <v>#N/A</v>
      </c>
      <c r="T193" s="83" t="e">
        <f>VLOOKUP($C193,'Daily_BU설비데이터 '!$C$20:$T$1000,18,0)</f>
        <v>#N/A</v>
      </c>
      <c r="U193" s="101" t="e">
        <f t="shared" si="38"/>
        <v>#N/A</v>
      </c>
      <c r="V193" s="45"/>
      <c r="W193" s="45"/>
      <c r="X193" s="45"/>
      <c r="Y193" s="45"/>
      <c r="Z193" s="45"/>
      <c r="AA193" s="45"/>
      <c r="AY193" s="66"/>
      <c r="AZ193" s="66"/>
      <c r="BA193" s="66"/>
      <c r="BB193" s="22"/>
    </row>
    <row r="194" spans="2:54" x14ac:dyDescent="0.45">
      <c r="B194" s="45" t="s">
        <v>578</v>
      </c>
      <c r="C194" s="90"/>
      <c r="D194" s="56"/>
      <c r="E194" s="57"/>
      <c r="F194" s="58" t="e">
        <f>VLOOKUP($C194,'Daily_BU설비데이터 '!$C$20:$T$1000,4,0)</f>
        <v>#N/A</v>
      </c>
      <c r="G194" s="58" t="e">
        <f>VLOOKUP($C194,'Daily_BU설비데이터 '!$C$20:$T$1000,5,0)</f>
        <v>#N/A</v>
      </c>
      <c r="H194" s="58" t="e">
        <f>VLOOKUP($C194,'Daily_BU설비데이터 '!$C$20:$T$1000,6,0)</f>
        <v>#N/A</v>
      </c>
      <c r="I194" s="58" t="e">
        <f>VLOOKUP($C194,'Daily_BU설비데이터 '!$C$20:$T$1000,7,0)</f>
        <v>#N/A</v>
      </c>
      <c r="J194" s="58" t="e">
        <f>VLOOKUP($C194,'Daily_BU설비데이터 '!$C$20:$T$1000,8,0)</f>
        <v>#N/A</v>
      </c>
      <c r="K194" s="58" t="e">
        <f>VLOOKUP($C194,'Daily_BU설비데이터 '!$C$20:$T$1000,9,0)</f>
        <v>#N/A</v>
      </c>
      <c r="L194" s="59" t="e">
        <f t="shared" si="35"/>
        <v>#N/A</v>
      </c>
      <c r="M194" s="68" t="e">
        <f>VLOOKUP($C194,'Daily_BU설비데이터 '!$C$20:$T$1000,11,0)</f>
        <v>#N/A</v>
      </c>
      <c r="N194" s="68" t="e">
        <f>VLOOKUP($C194,'Daily_BU설비데이터 '!$C$20:$T$1000,12,0)</f>
        <v>#N/A</v>
      </c>
      <c r="O194" s="68" t="e">
        <f>VLOOKUP($C194,'Daily_BU설비데이터 '!$C$20:$T$1000,13,0)</f>
        <v>#N/A</v>
      </c>
      <c r="P194" s="68" t="e">
        <f>VLOOKUP($C194,'Daily_BU설비데이터 '!$C$20:$T$1000,14,0)</f>
        <v>#N/A</v>
      </c>
      <c r="Q194" s="99" t="e">
        <f t="shared" si="36"/>
        <v>#N/A</v>
      </c>
      <c r="R194" s="100" t="e">
        <f t="shared" si="37"/>
        <v>#N/A</v>
      </c>
      <c r="S194" s="83" t="e">
        <f>VLOOKUP($C194,'Daily_BU설비데이터 '!$C$20:$T$1000,17,0)</f>
        <v>#N/A</v>
      </c>
      <c r="T194" s="83" t="e">
        <f>VLOOKUP($C194,'Daily_BU설비데이터 '!$C$20:$T$1000,18,0)</f>
        <v>#N/A</v>
      </c>
      <c r="U194" s="101" t="e">
        <f t="shared" si="38"/>
        <v>#N/A</v>
      </c>
      <c r="V194" s="45"/>
      <c r="W194" s="45"/>
      <c r="X194" s="45"/>
      <c r="Y194" s="45"/>
      <c r="Z194" s="45"/>
      <c r="AA194" s="45"/>
      <c r="AY194" s="66"/>
      <c r="AZ194" s="66"/>
      <c r="BA194" s="66"/>
      <c r="BB194" s="22"/>
    </row>
    <row r="195" spans="2:54" x14ac:dyDescent="0.45">
      <c r="B195" s="45" t="s">
        <v>579</v>
      </c>
      <c r="C195" s="90"/>
      <c r="D195" s="56"/>
      <c r="E195" s="80"/>
      <c r="F195" s="58" t="e">
        <f>VLOOKUP($C195,'Daily_BU설비데이터 '!$C$20:$T$1000,4,0)</f>
        <v>#N/A</v>
      </c>
      <c r="G195" s="58" t="e">
        <f>VLOOKUP($C195,'Daily_BU설비데이터 '!$C$20:$T$1000,5,0)</f>
        <v>#N/A</v>
      </c>
      <c r="H195" s="58" t="e">
        <f>VLOOKUP($C195,'Daily_BU설비데이터 '!$C$20:$T$1000,6,0)</f>
        <v>#N/A</v>
      </c>
      <c r="I195" s="58" t="e">
        <f>VLOOKUP($C195,'Daily_BU설비데이터 '!$C$20:$T$1000,7,0)</f>
        <v>#N/A</v>
      </c>
      <c r="J195" s="58" t="e">
        <f>VLOOKUP($C195,'Daily_BU설비데이터 '!$C$20:$T$1000,8,0)</f>
        <v>#N/A</v>
      </c>
      <c r="K195" s="58" t="e">
        <f>VLOOKUP($C195,'Daily_BU설비데이터 '!$C$20:$T$1000,9,0)</f>
        <v>#N/A</v>
      </c>
      <c r="L195" s="59" t="e">
        <f t="shared" si="35"/>
        <v>#N/A</v>
      </c>
      <c r="M195" s="68" t="e">
        <f>VLOOKUP($C195,'Daily_BU설비데이터 '!$C$20:$T$1000,11,0)</f>
        <v>#N/A</v>
      </c>
      <c r="N195" s="68" t="e">
        <f>VLOOKUP($C195,'Daily_BU설비데이터 '!$C$20:$T$1000,12,0)</f>
        <v>#N/A</v>
      </c>
      <c r="O195" s="68" t="e">
        <f>VLOOKUP($C195,'Daily_BU설비데이터 '!$C$20:$T$1000,13,0)</f>
        <v>#N/A</v>
      </c>
      <c r="P195" s="68" t="e">
        <f>VLOOKUP($C195,'Daily_BU설비데이터 '!$C$20:$T$1000,14,0)</f>
        <v>#N/A</v>
      </c>
      <c r="Q195" s="99" t="e">
        <f t="shared" si="36"/>
        <v>#N/A</v>
      </c>
      <c r="R195" s="100" t="e">
        <f t="shared" si="37"/>
        <v>#N/A</v>
      </c>
      <c r="S195" s="83" t="e">
        <f>VLOOKUP($C195,'Daily_BU설비데이터 '!$C$20:$T$1000,17,0)</f>
        <v>#N/A</v>
      </c>
      <c r="T195" s="83" t="e">
        <f>VLOOKUP($C195,'Daily_BU설비데이터 '!$C$20:$T$1000,18,0)</f>
        <v>#N/A</v>
      </c>
      <c r="U195" s="101" t="e">
        <f t="shared" si="38"/>
        <v>#N/A</v>
      </c>
      <c r="V195" s="45"/>
      <c r="W195" s="45"/>
      <c r="X195" s="45"/>
      <c r="Y195" s="45"/>
      <c r="Z195" s="45"/>
      <c r="AA195" s="45"/>
      <c r="AY195" s="66"/>
      <c r="AZ195" s="66"/>
      <c r="BA195" s="66"/>
      <c r="BB195" s="22"/>
    </row>
    <row r="196" spans="2:54" x14ac:dyDescent="0.45">
      <c r="B196" s="45" t="s">
        <v>580</v>
      </c>
      <c r="C196" s="90"/>
      <c r="D196" s="56"/>
      <c r="E196" s="84"/>
      <c r="F196" s="58" t="e">
        <f>VLOOKUP($C196,'Daily_BU설비데이터 '!$C$20:$T$1000,4,0)</f>
        <v>#N/A</v>
      </c>
      <c r="G196" s="58" t="e">
        <f>VLOOKUP($C196,'Daily_BU설비데이터 '!$C$20:$T$1000,5,0)</f>
        <v>#N/A</v>
      </c>
      <c r="H196" s="58" t="e">
        <f>VLOOKUP($C196,'Daily_BU설비데이터 '!$C$20:$T$1000,6,0)</f>
        <v>#N/A</v>
      </c>
      <c r="I196" s="58" t="e">
        <f>VLOOKUP($C196,'Daily_BU설비데이터 '!$C$20:$T$1000,7,0)</f>
        <v>#N/A</v>
      </c>
      <c r="J196" s="58" t="e">
        <f>VLOOKUP($C196,'Daily_BU설비데이터 '!$C$20:$T$1000,8,0)</f>
        <v>#N/A</v>
      </c>
      <c r="K196" s="58" t="e">
        <f>VLOOKUP($C196,'Daily_BU설비데이터 '!$C$20:$T$1000,9,0)</f>
        <v>#N/A</v>
      </c>
      <c r="L196" s="59" t="e">
        <f t="shared" si="35"/>
        <v>#N/A</v>
      </c>
      <c r="M196" s="68" t="e">
        <f>VLOOKUP($C196,'Daily_BU설비데이터 '!$C$20:$T$1000,11,0)</f>
        <v>#N/A</v>
      </c>
      <c r="N196" s="68" t="e">
        <f>VLOOKUP($C196,'Daily_BU설비데이터 '!$C$20:$T$1000,12,0)</f>
        <v>#N/A</v>
      </c>
      <c r="O196" s="68" t="e">
        <f>VLOOKUP($C196,'Daily_BU설비데이터 '!$C$20:$T$1000,13,0)</f>
        <v>#N/A</v>
      </c>
      <c r="P196" s="68" t="e">
        <f>VLOOKUP($C196,'Daily_BU설비데이터 '!$C$20:$T$1000,14,0)</f>
        <v>#N/A</v>
      </c>
      <c r="Q196" s="99" t="e">
        <f t="shared" si="36"/>
        <v>#N/A</v>
      </c>
      <c r="R196" s="100" t="e">
        <f t="shared" si="37"/>
        <v>#N/A</v>
      </c>
      <c r="S196" s="83" t="e">
        <f>VLOOKUP($C196,'Daily_BU설비데이터 '!$C$20:$T$1000,17,0)</f>
        <v>#N/A</v>
      </c>
      <c r="T196" s="83" t="e">
        <f>VLOOKUP($C196,'Daily_BU설비데이터 '!$C$20:$T$1000,18,0)</f>
        <v>#N/A</v>
      </c>
      <c r="U196" s="101" t="e">
        <f t="shared" si="38"/>
        <v>#N/A</v>
      </c>
      <c r="V196" s="45"/>
      <c r="W196" s="45"/>
      <c r="X196" s="45"/>
      <c r="Y196" s="45"/>
      <c r="Z196" s="45"/>
      <c r="AA196" s="45"/>
      <c r="AY196" s="66"/>
      <c r="AZ196" s="66"/>
      <c r="BA196" s="66"/>
      <c r="BB196" s="22"/>
    </row>
    <row r="197" spans="2:54" x14ac:dyDescent="0.45">
      <c r="B197" s="45" t="s">
        <v>581</v>
      </c>
      <c r="C197" s="90"/>
      <c r="D197" s="56"/>
      <c r="E197" s="57"/>
      <c r="F197" s="58" t="e">
        <f>VLOOKUP($C197,'Daily_BU설비데이터 '!$C$20:$T$1000,4,0)</f>
        <v>#N/A</v>
      </c>
      <c r="G197" s="58" t="e">
        <f>VLOOKUP($C197,'Daily_BU설비데이터 '!$C$20:$T$1000,5,0)</f>
        <v>#N/A</v>
      </c>
      <c r="H197" s="58" t="e">
        <f>VLOOKUP($C197,'Daily_BU설비데이터 '!$C$20:$T$1000,6,0)</f>
        <v>#N/A</v>
      </c>
      <c r="I197" s="58" t="e">
        <f>VLOOKUP($C197,'Daily_BU설비데이터 '!$C$20:$T$1000,7,0)</f>
        <v>#N/A</v>
      </c>
      <c r="J197" s="58" t="e">
        <f>VLOOKUP($C197,'Daily_BU설비데이터 '!$C$20:$T$1000,8,0)</f>
        <v>#N/A</v>
      </c>
      <c r="K197" s="58" t="e">
        <f>VLOOKUP($C197,'Daily_BU설비데이터 '!$C$20:$T$1000,9,0)</f>
        <v>#N/A</v>
      </c>
      <c r="L197" s="59" t="e">
        <f t="shared" si="35"/>
        <v>#N/A</v>
      </c>
      <c r="M197" s="68" t="e">
        <f>VLOOKUP($C197,'Daily_BU설비데이터 '!$C$20:$T$1000,11,0)</f>
        <v>#N/A</v>
      </c>
      <c r="N197" s="68" t="e">
        <f>VLOOKUP($C197,'Daily_BU설비데이터 '!$C$20:$T$1000,12,0)</f>
        <v>#N/A</v>
      </c>
      <c r="O197" s="68" t="e">
        <f>VLOOKUP($C197,'Daily_BU설비데이터 '!$C$20:$T$1000,13,0)</f>
        <v>#N/A</v>
      </c>
      <c r="P197" s="68" t="e">
        <f>VLOOKUP($C197,'Daily_BU설비데이터 '!$C$20:$T$1000,14,0)</f>
        <v>#N/A</v>
      </c>
      <c r="Q197" s="99" t="e">
        <f t="shared" si="36"/>
        <v>#N/A</v>
      </c>
      <c r="R197" s="100" t="e">
        <f t="shared" si="37"/>
        <v>#N/A</v>
      </c>
      <c r="S197" s="83" t="e">
        <f>VLOOKUP($C197,'Daily_BU설비데이터 '!$C$20:$T$1000,17,0)</f>
        <v>#N/A</v>
      </c>
      <c r="T197" s="83" t="e">
        <f>VLOOKUP($C197,'Daily_BU설비데이터 '!$C$20:$T$1000,18,0)</f>
        <v>#N/A</v>
      </c>
      <c r="U197" s="101" t="e">
        <f t="shared" si="38"/>
        <v>#N/A</v>
      </c>
      <c r="V197" s="45"/>
      <c r="W197" s="45"/>
      <c r="X197" s="45"/>
      <c r="Y197" s="45"/>
      <c r="Z197" s="45"/>
      <c r="AA197" s="45"/>
      <c r="AY197" s="66"/>
      <c r="AZ197" s="66"/>
      <c r="BA197" s="66"/>
      <c r="BB197" s="22"/>
    </row>
    <row r="198" spans="2:54" x14ac:dyDescent="0.45">
      <c r="B198" s="45" t="s">
        <v>582</v>
      </c>
      <c r="C198" s="90"/>
      <c r="D198" s="56"/>
      <c r="E198" s="80"/>
      <c r="F198" s="58" t="e">
        <f>VLOOKUP($C198,'Daily_BU설비데이터 '!$C$20:$T$1000,4,0)</f>
        <v>#N/A</v>
      </c>
      <c r="G198" s="58" t="e">
        <f>VLOOKUP($C198,'Daily_BU설비데이터 '!$C$20:$T$1000,5,0)</f>
        <v>#N/A</v>
      </c>
      <c r="H198" s="58" t="e">
        <f>VLOOKUP($C198,'Daily_BU설비데이터 '!$C$20:$T$1000,6,0)</f>
        <v>#N/A</v>
      </c>
      <c r="I198" s="58" t="e">
        <f>VLOOKUP($C198,'Daily_BU설비데이터 '!$C$20:$T$1000,7,0)</f>
        <v>#N/A</v>
      </c>
      <c r="J198" s="58" t="e">
        <f>VLOOKUP($C198,'Daily_BU설비데이터 '!$C$20:$T$1000,8,0)</f>
        <v>#N/A</v>
      </c>
      <c r="K198" s="58" t="e">
        <f>VLOOKUP($C198,'Daily_BU설비데이터 '!$C$20:$T$1000,9,0)</f>
        <v>#N/A</v>
      </c>
      <c r="L198" s="59" t="e">
        <f t="shared" si="35"/>
        <v>#N/A</v>
      </c>
      <c r="M198" s="68" t="e">
        <f>VLOOKUP($C198,'Daily_BU설비데이터 '!$C$20:$T$1000,11,0)</f>
        <v>#N/A</v>
      </c>
      <c r="N198" s="68" t="e">
        <f>VLOOKUP($C198,'Daily_BU설비데이터 '!$C$20:$T$1000,12,0)</f>
        <v>#N/A</v>
      </c>
      <c r="O198" s="68" t="e">
        <f>VLOOKUP($C198,'Daily_BU설비데이터 '!$C$20:$T$1000,13,0)</f>
        <v>#N/A</v>
      </c>
      <c r="P198" s="68" t="e">
        <f>VLOOKUP($C198,'Daily_BU설비데이터 '!$C$20:$T$1000,14,0)</f>
        <v>#N/A</v>
      </c>
      <c r="Q198" s="99" t="e">
        <f t="shared" si="36"/>
        <v>#N/A</v>
      </c>
      <c r="R198" s="100" t="e">
        <f t="shared" si="37"/>
        <v>#N/A</v>
      </c>
      <c r="S198" s="83" t="e">
        <f>VLOOKUP($C198,'Daily_BU설비데이터 '!$C$20:$T$1000,17,0)</f>
        <v>#N/A</v>
      </c>
      <c r="T198" s="83" t="e">
        <f>VLOOKUP($C198,'Daily_BU설비데이터 '!$C$20:$T$1000,18,0)</f>
        <v>#N/A</v>
      </c>
      <c r="U198" s="101" t="e">
        <f t="shared" si="38"/>
        <v>#N/A</v>
      </c>
      <c r="V198" s="45"/>
      <c r="W198" s="45"/>
      <c r="X198" s="45"/>
      <c r="Y198" s="45"/>
      <c r="Z198" s="45"/>
      <c r="AA198" s="45"/>
      <c r="AY198" s="66"/>
      <c r="AZ198" s="66"/>
      <c r="BA198" s="66"/>
      <c r="BB198" s="22"/>
    </row>
    <row r="199" spans="2:54" x14ac:dyDescent="0.45">
      <c r="B199" s="45" t="s">
        <v>583</v>
      </c>
      <c r="C199" s="90"/>
      <c r="D199" s="56"/>
      <c r="E199" s="84"/>
      <c r="F199" s="58" t="e">
        <f>VLOOKUP($C199,'Daily_BU설비데이터 '!$C$20:$T$1000,4,0)</f>
        <v>#N/A</v>
      </c>
      <c r="G199" s="58" t="e">
        <f>VLOOKUP($C199,'Daily_BU설비데이터 '!$C$20:$T$1000,5,0)</f>
        <v>#N/A</v>
      </c>
      <c r="H199" s="58" t="e">
        <f>VLOOKUP($C199,'Daily_BU설비데이터 '!$C$20:$T$1000,6,0)</f>
        <v>#N/A</v>
      </c>
      <c r="I199" s="58" t="e">
        <f>VLOOKUP($C199,'Daily_BU설비데이터 '!$C$20:$T$1000,7,0)</f>
        <v>#N/A</v>
      </c>
      <c r="J199" s="58" t="e">
        <f>VLOOKUP($C199,'Daily_BU설비데이터 '!$C$20:$T$1000,8,0)</f>
        <v>#N/A</v>
      </c>
      <c r="K199" s="58" t="e">
        <f>VLOOKUP($C199,'Daily_BU설비데이터 '!$C$20:$T$1000,9,0)</f>
        <v>#N/A</v>
      </c>
      <c r="L199" s="59" t="e">
        <f t="shared" si="35"/>
        <v>#N/A</v>
      </c>
      <c r="M199" s="68" t="e">
        <f>VLOOKUP($C199,'Daily_BU설비데이터 '!$C$20:$T$1000,11,0)</f>
        <v>#N/A</v>
      </c>
      <c r="N199" s="68" t="e">
        <f>VLOOKUP($C199,'Daily_BU설비데이터 '!$C$20:$T$1000,12,0)</f>
        <v>#N/A</v>
      </c>
      <c r="O199" s="68" t="e">
        <f>VLOOKUP($C199,'Daily_BU설비데이터 '!$C$20:$T$1000,13,0)</f>
        <v>#N/A</v>
      </c>
      <c r="P199" s="68" t="e">
        <f>VLOOKUP($C199,'Daily_BU설비데이터 '!$C$20:$T$1000,14,0)</f>
        <v>#N/A</v>
      </c>
      <c r="Q199" s="99" t="e">
        <f t="shared" si="36"/>
        <v>#N/A</v>
      </c>
      <c r="R199" s="100" t="e">
        <f t="shared" si="37"/>
        <v>#N/A</v>
      </c>
      <c r="S199" s="83" t="e">
        <f>VLOOKUP($C199,'Daily_BU설비데이터 '!$C$20:$T$1000,17,0)</f>
        <v>#N/A</v>
      </c>
      <c r="T199" s="83" t="e">
        <f>VLOOKUP($C199,'Daily_BU설비데이터 '!$C$20:$T$1000,18,0)</f>
        <v>#N/A</v>
      </c>
      <c r="U199" s="101" t="e">
        <f t="shared" si="38"/>
        <v>#N/A</v>
      </c>
      <c r="V199" s="45"/>
      <c r="W199" s="45"/>
      <c r="X199" s="45"/>
      <c r="Y199" s="45"/>
      <c r="Z199" s="45"/>
      <c r="AA199" s="45"/>
      <c r="AY199" s="66"/>
      <c r="AZ199" s="66"/>
      <c r="BA199" s="66"/>
      <c r="BB199" s="22"/>
    </row>
    <row r="200" spans="2:54" x14ac:dyDescent="0.45">
      <c r="B200" s="45" t="s">
        <v>584</v>
      </c>
      <c r="C200" s="90"/>
      <c r="D200" s="56"/>
      <c r="E200" s="57"/>
      <c r="F200" s="58" t="e">
        <f>VLOOKUP($C200,'Daily_BU설비데이터 '!$C$20:$T$1000,4,0)</f>
        <v>#N/A</v>
      </c>
      <c r="G200" s="58" t="e">
        <f>VLOOKUP($C200,'Daily_BU설비데이터 '!$C$20:$T$1000,5,0)</f>
        <v>#N/A</v>
      </c>
      <c r="H200" s="58" t="e">
        <f>VLOOKUP($C200,'Daily_BU설비데이터 '!$C$20:$T$1000,6,0)</f>
        <v>#N/A</v>
      </c>
      <c r="I200" s="58" t="e">
        <f>VLOOKUP($C200,'Daily_BU설비데이터 '!$C$20:$T$1000,7,0)</f>
        <v>#N/A</v>
      </c>
      <c r="J200" s="58" t="e">
        <f>VLOOKUP($C200,'Daily_BU설비데이터 '!$C$20:$T$1000,8,0)</f>
        <v>#N/A</v>
      </c>
      <c r="K200" s="58" t="e">
        <f>VLOOKUP($C200,'Daily_BU설비데이터 '!$C$20:$T$1000,9,0)</f>
        <v>#N/A</v>
      </c>
      <c r="L200" s="59" t="e">
        <f t="shared" si="35"/>
        <v>#N/A</v>
      </c>
      <c r="M200" s="68" t="e">
        <f>VLOOKUP($C200,'Daily_BU설비데이터 '!$C$20:$T$1000,11,0)</f>
        <v>#N/A</v>
      </c>
      <c r="N200" s="68" t="e">
        <f>VLOOKUP($C200,'Daily_BU설비데이터 '!$C$20:$T$1000,12,0)</f>
        <v>#N/A</v>
      </c>
      <c r="O200" s="68" t="e">
        <f>VLOOKUP($C200,'Daily_BU설비데이터 '!$C$20:$T$1000,13,0)</f>
        <v>#N/A</v>
      </c>
      <c r="P200" s="68" t="e">
        <f>VLOOKUP($C200,'Daily_BU설비데이터 '!$C$20:$T$1000,14,0)</f>
        <v>#N/A</v>
      </c>
      <c r="Q200" s="99" t="e">
        <f t="shared" si="36"/>
        <v>#N/A</v>
      </c>
      <c r="R200" s="100" t="e">
        <f t="shared" si="37"/>
        <v>#N/A</v>
      </c>
      <c r="S200" s="83" t="e">
        <f>VLOOKUP($C200,'Daily_BU설비데이터 '!$C$20:$T$1000,17,0)</f>
        <v>#N/A</v>
      </c>
      <c r="T200" s="83" t="e">
        <f>VLOOKUP($C200,'Daily_BU설비데이터 '!$C$20:$T$1000,18,0)</f>
        <v>#N/A</v>
      </c>
      <c r="U200" s="101" t="e">
        <f t="shared" si="38"/>
        <v>#N/A</v>
      </c>
      <c r="V200" s="45"/>
      <c r="W200" s="45"/>
      <c r="X200" s="45"/>
      <c r="Y200" s="45"/>
      <c r="Z200" s="45"/>
      <c r="AA200" s="45"/>
      <c r="AY200" s="66"/>
      <c r="AZ200" s="66"/>
      <c r="BA200" s="66"/>
      <c r="BB200" s="22"/>
    </row>
    <row r="201" spans="2:54" x14ac:dyDescent="0.45">
      <c r="B201" s="45" t="s">
        <v>585</v>
      </c>
      <c r="C201" s="90"/>
      <c r="D201" s="56"/>
      <c r="E201" s="80"/>
      <c r="F201" s="58" t="e">
        <f>VLOOKUP($C201,'Daily_BU설비데이터 '!$C$20:$T$1000,4,0)</f>
        <v>#N/A</v>
      </c>
      <c r="G201" s="58" t="e">
        <f>VLOOKUP($C201,'Daily_BU설비데이터 '!$C$20:$T$1000,5,0)</f>
        <v>#N/A</v>
      </c>
      <c r="H201" s="58" t="e">
        <f>VLOOKUP($C201,'Daily_BU설비데이터 '!$C$20:$T$1000,6,0)</f>
        <v>#N/A</v>
      </c>
      <c r="I201" s="58" t="e">
        <f>VLOOKUP($C201,'Daily_BU설비데이터 '!$C$20:$T$1000,7,0)</f>
        <v>#N/A</v>
      </c>
      <c r="J201" s="58" t="e">
        <f>VLOOKUP($C201,'Daily_BU설비데이터 '!$C$20:$T$1000,8,0)</f>
        <v>#N/A</v>
      </c>
      <c r="K201" s="58" t="e">
        <f>VLOOKUP($C201,'Daily_BU설비데이터 '!$C$20:$T$1000,9,0)</f>
        <v>#N/A</v>
      </c>
      <c r="L201" s="59" t="e">
        <f t="shared" si="35"/>
        <v>#N/A</v>
      </c>
      <c r="M201" s="68" t="e">
        <f>VLOOKUP($C201,'Daily_BU설비데이터 '!$C$20:$T$1000,11,0)</f>
        <v>#N/A</v>
      </c>
      <c r="N201" s="68" t="e">
        <f>VLOOKUP($C201,'Daily_BU설비데이터 '!$C$20:$T$1000,12,0)</f>
        <v>#N/A</v>
      </c>
      <c r="O201" s="68" t="e">
        <f>VLOOKUP($C201,'Daily_BU설비데이터 '!$C$20:$T$1000,13,0)</f>
        <v>#N/A</v>
      </c>
      <c r="P201" s="68" t="e">
        <f>VLOOKUP($C201,'Daily_BU설비데이터 '!$C$20:$T$1000,14,0)</f>
        <v>#N/A</v>
      </c>
      <c r="Q201" s="99" t="e">
        <f t="shared" si="36"/>
        <v>#N/A</v>
      </c>
      <c r="R201" s="100" t="e">
        <f t="shared" si="37"/>
        <v>#N/A</v>
      </c>
      <c r="S201" s="83" t="e">
        <f>VLOOKUP($C201,'Daily_BU설비데이터 '!$C$20:$T$1000,17,0)</f>
        <v>#N/A</v>
      </c>
      <c r="T201" s="83" t="e">
        <f>VLOOKUP($C201,'Daily_BU설비데이터 '!$C$20:$T$1000,18,0)</f>
        <v>#N/A</v>
      </c>
      <c r="U201" s="101" t="e">
        <f t="shared" si="38"/>
        <v>#N/A</v>
      </c>
      <c r="V201" s="45"/>
      <c r="W201" s="45"/>
      <c r="X201" s="45"/>
      <c r="Y201" s="45"/>
      <c r="Z201" s="45"/>
      <c r="AA201" s="45"/>
      <c r="AY201" s="66"/>
      <c r="AZ201" s="66"/>
      <c r="BA201" s="66"/>
      <c r="BB201" s="22"/>
    </row>
    <row r="202" spans="2:54" x14ac:dyDescent="0.45">
      <c r="B202" s="45" t="s">
        <v>586</v>
      </c>
      <c r="C202" s="90"/>
      <c r="D202" s="56"/>
      <c r="E202" s="84"/>
      <c r="F202" s="58" t="e">
        <f>VLOOKUP($C202,'Daily_BU설비데이터 '!$C$20:$T$1000,4,0)</f>
        <v>#N/A</v>
      </c>
      <c r="G202" s="58" t="e">
        <f>VLOOKUP($C202,'Daily_BU설비데이터 '!$C$20:$T$1000,5,0)</f>
        <v>#N/A</v>
      </c>
      <c r="H202" s="58" t="e">
        <f>VLOOKUP($C202,'Daily_BU설비데이터 '!$C$20:$T$1000,6,0)</f>
        <v>#N/A</v>
      </c>
      <c r="I202" s="58" t="e">
        <f>VLOOKUP($C202,'Daily_BU설비데이터 '!$C$20:$T$1000,7,0)</f>
        <v>#N/A</v>
      </c>
      <c r="J202" s="58" t="e">
        <f>VLOOKUP($C202,'Daily_BU설비데이터 '!$C$20:$T$1000,8,0)</f>
        <v>#N/A</v>
      </c>
      <c r="K202" s="58" t="e">
        <f>VLOOKUP($C202,'Daily_BU설비데이터 '!$C$20:$T$1000,9,0)</f>
        <v>#N/A</v>
      </c>
      <c r="L202" s="59" t="e">
        <f t="shared" si="35"/>
        <v>#N/A</v>
      </c>
      <c r="M202" s="68" t="e">
        <f>VLOOKUP($C202,'Daily_BU설비데이터 '!$C$20:$T$1000,11,0)</f>
        <v>#N/A</v>
      </c>
      <c r="N202" s="68" t="e">
        <f>VLOOKUP($C202,'Daily_BU설비데이터 '!$C$20:$T$1000,12,0)</f>
        <v>#N/A</v>
      </c>
      <c r="O202" s="68" t="e">
        <f>VLOOKUP($C202,'Daily_BU설비데이터 '!$C$20:$T$1000,13,0)</f>
        <v>#N/A</v>
      </c>
      <c r="P202" s="68" t="e">
        <f>VLOOKUP($C202,'Daily_BU설비데이터 '!$C$20:$T$1000,14,0)</f>
        <v>#N/A</v>
      </c>
      <c r="Q202" s="99" t="e">
        <f t="shared" si="36"/>
        <v>#N/A</v>
      </c>
      <c r="R202" s="100" t="e">
        <f t="shared" si="37"/>
        <v>#N/A</v>
      </c>
      <c r="S202" s="83" t="e">
        <f>VLOOKUP($C202,'Daily_BU설비데이터 '!$C$20:$T$1000,17,0)</f>
        <v>#N/A</v>
      </c>
      <c r="T202" s="83" t="e">
        <f>VLOOKUP($C202,'Daily_BU설비데이터 '!$C$20:$T$1000,18,0)</f>
        <v>#N/A</v>
      </c>
      <c r="U202" s="101" t="e">
        <f t="shared" si="38"/>
        <v>#N/A</v>
      </c>
      <c r="V202" s="45"/>
      <c r="W202" s="45"/>
      <c r="X202" s="45"/>
      <c r="Y202" s="45"/>
      <c r="Z202" s="45"/>
      <c r="AA202" s="45"/>
      <c r="AY202" s="66"/>
      <c r="AZ202" s="66"/>
      <c r="BA202" s="66"/>
      <c r="BB202" s="22"/>
    </row>
    <row r="203" spans="2:54" x14ac:dyDescent="0.45">
      <c r="B203" s="45" t="s">
        <v>587</v>
      </c>
      <c r="C203" s="90"/>
      <c r="D203" s="56"/>
      <c r="E203" s="57"/>
      <c r="F203" s="58" t="e">
        <f>VLOOKUP($C203,'Daily_BU설비데이터 '!$C$20:$T$1000,4,0)</f>
        <v>#N/A</v>
      </c>
      <c r="G203" s="58" t="e">
        <f>VLOOKUP($C203,'Daily_BU설비데이터 '!$C$20:$T$1000,5,0)</f>
        <v>#N/A</v>
      </c>
      <c r="H203" s="58" t="e">
        <f>VLOOKUP($C203,'Daily_BU설비데이터 '!$C$20:$T$1000,6,0)</f>
        <v>#N/A</v>
      </c>
      <c r="I203" s="58" t="e">
        <f>VLOOKUP($C203,'Daily_BU설비데이터 '!$C$20:$T$1000,7,0)</f>
        <v>#N/A</v>
      </c>
      <c r="J203" s="58" t="e">
        <f>VLOOKUP($C203,'Daily_BU설비데이터 '!$C$20:$T$1000,8,0)</f>
        <v>#N/A</v>
      </c>
      <c r="K203" s="58" t="e">
        <f>VLOOKUP($C203,'Daily_BU설비데이터 '!$C$20:$T$1000,9,0)</f>
        <v>#N/A</v>
      </c>
      <c r="L203" s="59" t="e">
        <f t="shared" si="35"/>
        <v>#N/A</v>
      </c>
      <c r="M203" s="68" t="e">
        <f>VLOOKUP($C203,'Daily_BU설비데이터 '!$C$20:$T$1000,11,0)</f>
        <v>#N/A</v>
      </c>
      <c r="N203" s="68" t="e">
        <f>VLOOKUP($C203,'Daily_BU설비데이터 '!$C$20:$T$1000,12,0)</f>
        <v>#N/A</v>
      </c>
      <c r="O203" s="68" t="e">
        <f>VLOOKUP($C203,'Daily_BU설비데이터 '!$C$20:$T$1000,13,0)</f>
        <v>#N/A</v>
      </c>
      <c r="P203" s="68" t="e">
        <f>VLOOKUP($C203,'Daily_BU설비데이터 '!$C$20:$T$1000,14,0)</f>
        <v>#N/A</v>
      </c>
      <c r="Q203" s="99" t="e">
        <f t="shared" si="36"/>
        <v>#N/A</v>
      </c>
      <c r="R203" s="100" t="e">
        <f t="shared" si="37"/>
        <v>#N/A</v>
      </c>
      <c r="S203" s="83" t="e">
        <f>VLOOKUP($C203,'Daily_BU설비데이터 '!$C$20:$T$1000,17,0)</f>
        <v>#N/A</v>
      </c>
      <c r="T203" s="83" t="e">
        <f>VLOOKUP($C203,'Daily_BU설비데이터 '!$C$20:$T$1000,18,0)</f>
        <v>#N/A</v>
      </c>
      <c r="U203" s="101" t="e">
        <f t="shared" si="38"/>
        <v>#N/A</v>
      </c>
      <c r="V203" s="45"/>
      <c r="W203" s="45"/>
      <c r="X203" s="45"/>
      <c r="Y203" s="45"/>
      <c r="Z203" s="45"/>
      <c r="AA203" s="45"/>
      <c r="AY203" s="66"/>
      <c r="AZ203" s="66"/>
      <c r="BA203" s="66"/>
      <c r="BB203" s="22"/>
    </row>
    <row r="204" spans="2:54" x14ac:dyDescent="0.45">
      <c r="B204" s="45" t="s">
        <v>588</v>
      </c>
      <c r="C204" s="90"/>
      <c r="D204" s="56"/>
      <c r="E204" s="80"/>
      <c r="F204" s="58" t="e">
        <f>VLOOKUP($C204,'Daily_BU설비데이터 '!$C$20:$T$1000,4,0)</f>
        <v>#N/A</v>
      </c>
      <c r="G204" s="58" t="e">
        <f>VLOOKUP($C204,'Daily_BU설비데이터 '!$C$20:$T$1000,5,0)</f>
        <v>#N/A</v>
      </c>
      <c r="H204" s="58" t="e">
        <f>VLOOKUP($C204,'Daily_BU설비데이터 '!$C$20:$T$1000,6,0)</f>
        <v>#N/A</v>
      </c>
      <c r="I204" s="58" t="e">
        <f>VLOOKUP($C204,'Daily_BU설비데이터 '!$C$20:$T$1000,7,0)</f>
        <v>#N/A</v>
      </c>
      <c r="J204" s="58" t="e">
        <f>VLOOKUP($C204,'Daily_BU설비데이터 '!$C$20:$T$1000,8,0)</f>
        <v>#N/A</v>
      </c>
      <c r="K204" s="58" t="e">
        <f>VLOOKUP($C204,'Daily_BU설비데이터 '!$C$20:$T$1000,9,0)</f>
        <v>#N/A</v>
      </c>
      <c r="L204" s="59" t="e">
        <f t="shared" si="35"/>
        <v>#N/A</v>
      </c>
      <c r="M204" s="68" t="e">
        <f>VLOOKUP($C204,'Daily_BU설비데이터 '!$C$20:$T$1000,11,0)</f>
        <v>#N/A</v>
      </c>
      <c r="N204" s="68" t="e">
        <f>VLOOKUP($C204,'Daily_BU설비데이터 '!$C$20:$T$1000,12,0)</f>
        <v>#N/A</v>
      </c>
      <c r="O204" s="68" t="e">
        <f>VLOOKUP($C204,'Daily_BU설비데이터 '!$C$20:$T$1000,13,0)</f>
        <v>#N/A</v>
      </c>
      <c r="P204" s="68" t="e">
        <f>VLOOKUP($C204,'Daily_BU설비데이터 '!$C$20:$T$1000,14,0)</f>
        <v>#N/A</v>
      </c>
      <c r="Q204" s="99" t="e">
        <f t="shared" si="36"/>
        <v>#N/A</v>
      </c>
      <c r="R204" s="100" t="e">
        <f t="shared" si="37"/>
        <v>#N/A</v>
      </c>
      <c r="S204" s="83" t="e">
        <f>VLOOKUP($C204,'Daily_BU설비데이터 '!$C$20:$T$1000,17,0)</f>
        <v>#N/A</v>
      </c>
      <c r="T204" s="83" t="e">
        <f>VLOOKUP($C204,'Daily_BU설비데이터 '!$C$20:$T$1000,18,0)</f>
        <v>#N/A</v>
      </c>
      <c r="U204" s="101" t="e">
        <f t="shared" si="38"/>
        <v>#N/A</v>
      </c>
      <c r="V204" s="45"/>
      <c r="W204" s="45"/>
      <c r="X204" s="45"/>
      <c r="Y204" s="45"/>
      <c r="Z204" s="45"/>
      <c r="AA204" s="45"/>
      <c r="AY204" s="66"/>
      <c r="AZ204" s="66"/>
      <c r="BA204" s="66"/>
      <c r="BB204" s="22"/>
    </row>
    <row r="205" spans="2:54" x14ac:dyDescent="0.45">
      <c r="B205" s="45" t="s">
        <v>589</v>
      </c>
      <c r="C205" s="90"/>
      <c r="D205" s="56"/>
      <c r="E205" s="84"/>
      <c r="F205" s="58" t="e">
        <f>VLOOKUP($C205,'Daily_BU설비데이터 '!$C$20:$T$1000,4,0)</f>
        <v>#N/A</v>
      </c>
      <c r="G205" s="58" t="e">
        <f>VLOOKUP($C205,'Daily_BU설비데이터 '!$C$20:$T$1000,5,0)</f>
        <v>#N/A</v>
      </c>
      <c r="H205" s="58" t="e">
        <f>VLOOKUP($C205,'Daily_BU설비데이터 '!$C$20:$T$1000,6,0)</f>
        <v>#N/A</v>
      </c>
      <c r="I205" s="58" t="e">
        <f>VLOOKUP($C205,'Daily_BU설비데이터 '!$C$20:$T$1000,7,0)</f>
        <v>#N/A</v>
      </c>
      <c r="J205" s="58" t="e">
        <f>VLOOKUP($C205,'Daily_BU설비데이터 '!$C$20:$T$1000,8,0)</f>
        <v>#N/A</v>
      </c>
      <c r="K205" s="58" t="e">
        <f>VLOOKUP($C205,'Daily_BU설비데이터 '!$C$20:$T$1000,9,0)</f>
        <v>#N/A</v>
      </c>
      <c r="L205" s="59" t="e">
        <f t="shared" si="35"/>
        <v>#N/A</v>
      </c>
      <c r="M205" s="68" t="e">
        <f>VLOOKUP($C205,'Daily_BU설비데이터 '!$C$20:$T$1000,11,0)</f>
        <v>#N/A</v>
      </c>
      <c r="N205" s="68" t="e">
        <f>VLOOKUP($C205,'Daily_BU설비데이터 '!$C$20:$T$1000,12,0)</f>
        <v>#N/A</v>
      </c>
      <c r="O205" s="68" t="e">
        <f>VLOOKUP($C205,'Daily_BU설비데이터 '!$C$20:$T$1000,13,0)</f>
        <v>#N/A</v>
      </c>
      <c r="P205" s="68" t="e">
        <f>VLOOKUP($C205,'Daily_BU설비데이터 '!$C$20:$T$1000,14,0)</f>
        <v>#N/A</v>
      </c>
      <c r="Q205" s="99" t="e">
        <f t="shared" si="36"/>
        <v>#N/A</v>
      </c>
      <c r="R205" s="100" t="e">
        <f t="shared" si="37"/>
        <v>#N/A</v>
      </c>
      <c r="S205" s="83" t="e">
        <f>VLOOKUP($C205,'Daily_BU설비데이터 '!$C$20:$T$1000,17,0)</f>
        <v>#N/A</v>
      </c>
      <c r="T205" s="83" t="e">
        <f>VLOOKUP($C205,'Daily_BU설비데이터 '!$C$20:$T$1000,18,0)</f>
        <v>#N/A</v>
      </c>
      <c r="U205" s="101" t="e">
        <f t="shared" si="38"/>
        <v>#N/A</v>
      </c>
      <c r="V205" s="45"/>
      <c r="W205" s="45"/>
      <c r="X205" s="45"/>
      <c r="Y205" s="45"/>
      <c r="Z205" s="45"/>
      <c r="AA205" s="45"/>
      <c r="AY205" s="66"/>
      <c r="AZ205" s="66"/>
      <c r="BA205" s="66"/>
      <c r="BB205" s="22"/>
    </row>
    <row r="206" spans="2:54" x14ac:dyDescent="0.45">
      <c r="B206" s="45" t="s">
        <v>590</v>
      </c>
      <c r="C206" s="90"/>
      <c r="D206" s="56"/>
      <c r="E206" s="57"/>
      <c r="F206" s="58" t="e">
        <f>VLOOKUP($C206,'Daily_BU설비데이터 '!$C$20:$T$1000,4,0)</f>
        <v>#N/A</v>
      </c>
      <c r="G206" s="58" t="e">
        <f>VLOOKUP($C206,'Daily_BU설비데이터 '!$C$20:$T$1000,5,0)</f>
        <v>#N/A</v>
      </c>
      <c r="H206" s="58" t="e">
        <f>VLOOKUP($C206,'Daily_BU설비데이터 '!$C$20:$T$1000,6,0)</f>
        <v>#N/A</v>
      </c>
      <c r="I206" s="58" t="e">
        <f>VLOOKUP($C206,'Daily_BU설비데이터 '!$C$20:$T$1000,7,0)</f>
        <v>#N/A</v>
      </c>
      <c r="J206" s="58" t="e">
        <f>VLOOKUP($C206,'Daily_BU설비데이터 '!$C$20:$T$1000,8,0)</f>
        <v>#N/A</v>
      </c>
      <c r="K206" s="58" t="e">
        <f>VLOOKUP($C206,'Daily_BU설비데이터 '!$C$20:$T$1000,9,0)</f>
        <v>#N/A</v>
      </c>
      <c r="L206" s="59" t="e">
        <f t="shared" si="35"/>
        <v>#N/A</v>
      </c>
      <c r="M206" s="68" t="e">
        <f>VLOOKUP($C206,'Daily_BU설비데이터 '!$C$20:$T$1000,11,0)</f>
        <v>#N/A</v>
      </c>
      <c r="N206" s="68" t="e">
        <f>VLOOKUP($C206,'Daily_BU설비데이터 '!$C$20:$T$1000,12,0)</f>
        <v>#N/A</v>
      </c>
      <c r="O206" s="68" t="e">
        <f>VLOOKUP($C206,'Daily_BU설비데이터 '!$C$20:$T$1000,13,0)</f>
        <v>#N/A</v>
      </c>
      <c r="P206" s="68" t="e">
        <f>VLOOKUP($C206,'Daily_BU설비데이터 '!$C$20:$T$1000,14,0)</f>
        <v>#N/A</v>
      </c>
      <c r="Q206" s="99" t="e">
        <f t="shared" si="36"/>
        <v>#N/A</v>
      </c>
      <c r="R206" s="100" t="e">
        <f t="shared" si="37"/>
        <v>#N/A</v>
      </c>
      <c r="S206" s="83" t="e">
        <f>VLOOKUP($C206,'Daily_BU설비데이터 '!$C$20:$T$1000,17,0)</f>
        <v>#N/A</v>
      </c>
      <c r="T206" s="83" t="e">
        <f>VLOOKUP($C206,'Daily_BU설비데이터 '!$C$20:$T$1000,18,0)</f>
        <v>#N/A</v>
      </c>
      <c r="U206" s="101" t="e">
        <f t="shared" si="38"/>
        <v>#N/A</v>
      </c>
      <c r="V206" s="45"/>
      <c r="W206" s="45"/>
      <c r="X206" s="45"/>
      <c r="Y206" s="45"/>
      <c r="Z206" s="45"/>
      <c r="AA206" s="45"/>
      <c r="AY206" s="66"/>
      <c r="AZ206" s="66"/>
      <c r="BA206" s="66"/>
      <c r="BB206" s="22"/>
    </row>
    <row r="207" spans="2:54" x14ac:dyDescent="0.45">
      <c r="B207" s="45" t="s">
        <v>591</v>
      </c>
      <c r="C207" s="90"/>
      <c r="D207" s="56"/>
      <c r="E207" s="80"/>
      <c r="F207" s="58" t="e">
        <f>VLOOKUP($C207,'Daily_BU설비데이터 '!$C$20:$T$1000,4,0)</f>
        <v>#N/A</v>
      </c>
      <c r="G207" s="58" t="e">
        <f>VLOOKUP($C207,'Daily_BU설비데이터 '!$C$20:$T$1000,5,0)</f>
        <v>#N/A</v>
      </c>
      <c r="H207" s="58" t="e">
        <f>VLOOKUP($C207,'Daily_BU설비데이터 '!$C$20:$T$1000,6,0)</f>
        <v>#N/A</v>
      </c>
      <c r="I207" s="58" t="e">
        <f>VLOOKUP($C207,'Daily_BU설비데이터 '!$C$20:$T$1000,7,0)</f>
        <v>#N/A</v>
      </c>
      <c r="J207" s="58" t="e">
        <f>VLOOKUP($C207,'Daily_BU설비데이터 '!$C$20:$T$1000,8,0)</f>
        <v>#N/A</v>
      </c>
      <c r="K207" s="58" t="e">
        <f>VLOOKUP($C207,'Daily_BU설비데이터 '!$C$20:$T$1000,9,0)</f>
        <v>#N/A</v>
      </c>
      <c r="L207" s="59" t="e">
        <f t="shared" si="35"/>
        <v>#N/A</v>
      </c>
      <c r="M207" s="68" t="e">
        <f>VLOOKUP($C207,'Daily_BU설비데이터 '!$C$20:$T$1000,11,0)</f>
        <v>#N/A</v>
      </c>
      <c r="N207" s="68" t="e">
        <f>VLOOKUP($C207,'Daily_BU설비데이터 '!$C$20:$T$1000,12,0)</f>
        <v>#N/A</v>
      </c>
      <c r="O207" s="68" t="e">
        <f>VLOOKUP($C207,'Daily_BU설비데이터 '!$C$20:$T$1000,13,0)</f>
        <v>#N/A</v>
      </c>
      <c r="P207" s="68" t="e">
        <f>VLOOKUP($C207,'Daily_BU설비데이터 '!$C$20:$T$1000,14,0)</f>
        <v>#N/A</v>
      </c>
      <c r="Q207" s="99" t="e">
        <f t="shared" si="36"/>
        <v>#N/A</v>
      </c>
      <c r="R207" s="100" t="e">
        <f t="shared" si="37"/>
        <v>#N/A</v>
      </c>
      <c r="S207" s="83" t="e">
        <f>VLOOKUP($C207,'Daily_BU설비데이터 '!$C$20:$T$1000,17,0)</f>
        <v>#N/A</v>
      </c>
      <c r="T207" s="83" t="e">
        <f>VLOOKUP($C207,'Daily_BU설비데이터 '!$C$20:$T$1000,18,0)</f>
        <v>#N/A</v>
      </c>
      <c r="U207" s="101" t="e">
        <f t="shared" si="38"/>
        <v>#N/A</v>
      </c>
      <c r="V207" s="45"/>
      <c r="W207" s="45"/>
      <c r="X207" s="45"/>
      <c r="Y207" s="45"/>
      <c r="Z207" s="45"/>
      <c r="AA207" s="45"/>
      <c r="AY207" s="66"/>
      <c r="AZ207" s="66"/>
      <c r="BA207" s="66"/>
      <c r="BB207" s="22"/>
    </row>
    <row r="208" spans="2:54" x14ac:dyDescent="0.45">
      <c r="B208" s="45" t="s">
        <v>592</v>
      </c>
      <c r="C208" s="90"/>
      <c r="D208" s="56"/>
      <c r="E208" s="84"/>
      <c r="F208" s="58" t="e">
        <f>VLOOKUP($C208,'Daily_BU설비데이터 '!$C$20:$T$1000,4,0)</f>
        <v>#N/A</v>
      </c>
      <c r="G208" s="58" t="e">
        <f>VLOOKUP($C208,'Daily_BU설비데이터 '!$C$20:$T$1000,5,0)</f>
        <v>#N/A</v>
      </c>
      <c r="H208" s="58" t="e">
        <f>VLOOKUP($C208,'Daily_BU설비데이터 '!$C$20:$T$1000,6,0)</f>
        <v>#N/A</v>
      </c>
      <c r="I208" s="58" t="e">
        <f>VLOOKUP($C208,'Daily_BU설비데이터 '!$C$20:$T$1000,7,0)</f>
        <v>#N/A</v>
      </c>
      <c r="J208" s="58" t="e">
        <f>VLOOKUP($C208,'Daily_BU설비데이터 '!$C$20:$T$1000,8,0)</f>
        <v>#N/A</v>
      </c>
      <c r="K208" s="58" t="e">
        <f>VLOOKUP($C208,'Daily_BU설비데이터 '!$C$20:$T$1000,9,0)</f>
        <v>#N/A</v>
      </c>
      <c r="L208" s="59" t="e">
        <f t="shared" si="35"/>
        <v>#N/A</v>
      </c>
      <c r="M208" s="68" t="e">
        <f>VLOOKUP($C208,'Daily_BU설비데이터 '!$C$20:$T$1000,11,0)</f>
        <v>#N/A</v>
      </c>
      <c r="N208" s="68" t="e">
        <f>VLOOKUP($C208,'Daily_BU설비데이터 '!$C$20:$T$1000,12,0)</f>
        <v>#N/A</v>
      </c>
      <c r="O208" s="68" t="e">
        <f>VLOOKUP($C208,'Daily_BU설비데이터 '!$C$20:$T$1000,13,0)</f>
        <v>#N/A</v>
      </c>
      <c r="P208" s="68" t="e">
        <f>VLOOKUP($C208,'Daily_BU설비데이터 '!$C$20:$T$1000,14,0)</f>
        <v>#N/A</v>
      </c>
      <c r="Q208" s="99" t="e">
        <f t="shared" si="36"/>
        <v>#N/A</v>
      </c>
      <c r="R208" s="100" t="e">
        <f t="shared" si="37"/>
        <v>#N/A</v>
      </c>
      <c r="S208" s="83" t="e">
        <f>VLOOKUP($C208,'Daily_BU설비데이터 '!$C$20:$T$1000,17,0)</f>
        <v>#N/A</v>
      </c>
      <c r="T208" s="83" t="e">
        <f>VLOOKUP($C208,'Daily_BU설비데이터 '!$C$20:$T$1000,18,0)</f>
        <v>#N/A</v>
      </c>
      <c r="U208" s="101" t="e">
        <f t="shared" si="38"/>
        <v>#N/A</v>
      </c>
      <c r="V208" s="45"/>
      <c r="W208" s="45"/>
      <c r="X208" s="45"/>
      <c r="Y208" s="45"/>
      <c r="Z208" s="45"/>
      <c r="AA208" s="45"/>
      <c r="AY208" s="66"/>
      <c r="AZ208" s="66"/>
      <c r="BA208" s="66"/>
      <c r="BB208" s="22"/>
    </row>
    <row r="209" spans="2:54" x14ac:dyDescent="0.45">
      <c r="B209" s="45" t="s">
        <v>593</v>
      </c>
      <c r="C209" s="90"/>
      <c r="D209" s="56"/>
      <c r="E209" s="57"/>
      <c r="F209" s="58" t="e">
        <f>VLOOKUP($C209,'Daily_BU설비데이터 '!$C$20:$T$1000,4,0)</f>
        <v>#N/A</v>
      </c>
      <c r="G209" s="58" t="e">
        <f>VLOOKUP($C209,'Daily_BU설비데이터 '!$C$20:$T$1000,5,0)</f>
        <v>#N/A</v>
      </c>
      <c r="H209" s="58" t="e">
        <f>VLOOKUP($C209,'Daily_BU설비데이터 '!$C$20:$T$1000,6,0)</f>
        <v>#N/A</v>
      </c>
      <c r="I209" s="58" t="e">
        <f>VLOOKUP($C209,'Daily_BU설비데이터 '!$C$20:$T$1000,7,0)</f>
        <v>#N/A</v>
      </c>
      <c r="J209" s="58" t="e">
        <f>VLOOKUP($C209,'Daily_BU설비데이터 '!$C$20:$T$1000,8,0)</f>
        <v>#N/A</v>
      </c>
      <c r="K209" s="58" t="e">
        <f>VLOOKUP($C209,'Daily_BU설비데이터 '!$C$20:$T$1000,9,0)</f>
        <v>#N/A</v>
      </c>
      <c r="L209" s="59" t="e">
        <f t="shared" si="35"/>
        <v>#N/A</v>
      </c>
      <c r="M209" s="68" t="e">
        <f>VLOOKUP($C209,'Daily_BU설비데이터 '!$C$20:$T$1000,11,0)</f>
        <v>#N/A</v>
      </c>
      <c r="N209" s="68" t="e">
        <f>VLOOKUP($C209,'Daily_BU설비데이터 '!$C$20:$T$1000,12,0)</f>
        <v>#N/A</v>
      </c>
      <c r="O209" s="68" t="e">
        <f>VLOOKUP($C209,'Daily_BU설비데이터 '!$C$20:$T$1000,13,0)</f>
        <v>#N/A</v>
      </c>
      <c r="P209" s="68" t="e">
        <f>VLOOKUP($C209,'Daily_BU설비데이터 '!$C$20:$T$1000,14,0)</f>
        <v>#N/A</v>
      </c>
      <c r="Q209" s="99" t="e">
        <f t="shared" si="36"/>
        <v>#N/A</v>
      </c>
      <c r="R209" s="100" t="e">
        <f t="shared" si="37"/>
        <v>#N/A</v>
      </c>
      <c r="S209" s="83" t="e">
        <f>VLOOKUP($C209,'Daily_BU설비데이터 '!$C$20:$T$1000,17,0)</f>
        <v>#N/A</v>
      </c>
      <c r="T209" s="83" t="e">
        <f>VLOOKUP($C209,'Daily_BU설비데이터 '!$C$20:$T$1000,18,0)</f>
        <v>#N/A</v>
      </c>
      <c r="U209" s="101" t="e">
        <f t="shared" si="38"/>
        <v>#N/A</v>
      </c>
      <c r="V209" s="45"/>
      <c r="W209" s="45"/>
      <c r="X209" s="45"/>
      <c r="Y209" s="45"/>
      <c r="Z209" s="45"/>
      <c r="AA209" s="45"/>
      <c r="AY209" s="66"/>
      <c r="AZ209" s="66"/>
      <c r="BA209" s="66"/>
      <c r="BB209" s="22"/>
    </row>
    <row r="210" spans="2:54" x14ac:dyDescent="0.45">
      <c r="B210" s="45" t="s">
        <v>594</v>
      </c>
      <c r="C210" s="90"/>
      <c r="D210" s="56"/>
      <c r="E210" s="80"/>
      <c r="F210" s="58" t="e">
        <f>VLOOKUP($C210,'Daily_BU설비데이터 '!$C$20:$T$1000,4,0)</f>
        <v>#N/A</v>
      </c>
      <c r="G210" s="58" t="e">
        <f>VLOOKUP($C210,'Daily_BU설비데이터 '!$C$20:$T$1000,5,0)</f>
        <v>#N/A</v>
      </c>
      <c r="H210" s="58" t="e">
        <f>VLOOKUP($C210,'Daily_BU설비데이터 '!$C$20:$T$1000,6,0)</f>
        <v>#N/A</v>
      </c>
      <c r="I210" s="58" t="e">
        <f>VLOOKUP($C210,'Daily_BU설비데이터 '!$C$20:$T$1000,7,0)</f>
        <v>#N/A</v>
      </c>
      <c r="J210" s="58" t="e">
        <f>VLOOKUP($C210,'Daily_BU설비데이터 '!$C$20:$T$1000,8,0)</f>
        <v>#N/A</v>
      </c>
      <c r="K210" s="58" t="e">
        <f>VLOOKUP($C210,'Daily_BU설비데이터 '!$C$20:$T$1000,9,0)</f>
        <v>#N/A</v>
      </c>
      <c r="L210" s="59" t="e">
        <f t="shared" ref="L210:L273" si="39">1/2*((F210*I210+H210*K210+J210*G210)-(G210*H210+I210*J210+K210*F210))/0.1582*100</f>
        <v>#N/A</v>
      </c>
      <c r="M210" s="68" t="e">
        <f>VLOOKUP($C210,'Daily_BU설비데이터 '!$C$20:$T$1000,11,0)</f>
        <v>#N/A</v>
      </c>
      <c r="N210" s="68" t="e">
        <f>VLOOKUP($C210,'Daily_BU설비데이터 '!$C$20:$T$1000,12,0)</f>
        <v>#N/A</v>
      </c>
      <c r="O210" s="68" t="e">
        <f>VLOOKUP($C210,'Daily_BU설비데이터 '!$C$20:$T$1000,13,0)</f>
        <v>#N/A</v>
      </c>
      <c r="P210" s="68" t="e">
        <f>VLOOKUP($C210,'Daily_BU설비데이터 '!$C$20:$T$1000,14,0)</f>
        <v>#N/A</v>
      </c>
      <c r="Q210" s="99" t="e">
        <f t="shared" ref="Q210:Q273" si="40">O210/P210</f>
        <v>#N/A</v>
      </c>
      <c r="R210" s="100" t="e">
        <f t="shared" ref="R210:R273" si="41">SQRT(POWER(M210-$M$12,2)+POWER(N210-$N$12,2))</f>
        <v>#N/A</v>
      </c>
      <c r="S210" s="83" t="e">
        <f>VLOOKUP($C210,'Daily_BU설비데이터 '!$C$20:$T$1000,17,0)</f>
        <v>#N/A</v>
      </c>
      <c r="T210" s="83" t="e">
        <f>VLOOKUP($C210,'Daily_BU설비데이터 '!$C$20:$T$1000,18,0)</f>
        <v>#N/A</v>
      </c>
      <c r="U210" s="101" t="e">
        <f t="shared" ref="U210:U273" si="42">(-449*((M210-0.332)/(N210-0.1858))^3)+(3525*((M210-0.332)/(N210-0.1858))^2)+(-6823.3*(M210-0.332)/(N210-0.1858))+5520.33</f>
        <v>#N/A</v>
      </c>
      <c r="V210" s="45"/>
      <c r="W210" s="45"/>
      <c r="X210" s="45"/>
      <c r="Y210" s="45"/>
      <c r="Z210" s="45"/>
      <c r="AA210" s="45"/>
      <c r="AY210" s="66"/>
      <c r="AZ210" s="66"/>
      <c r="BA210" s="66"/>
      <c r="BB210" s="22"/>
    </row>
    <row r="211" spans="2:54" x14ac:dyDescent="0.45">
      <c r="B211" s="45" t="s">
        <v>595</v>
      </c>
      <c r="C211" s="90"/>
      <c r="D211" s="56"/>
      <c r="E211" s="84"/>
      <c r="F211" s="58" t="e">
        <f>VLOOKUP($C211,'Daily_BU설비데이터 '!$C$20:$T$1000,4,0)</f>
        <v>#N/A</v>
      </c>
      <c r="G211" s="58" t="e">
        <f>VLOOKUP($C211,'Daily_BU설비데이터 '!$C$20:$T$1000,5,0)</f>
        <v>#N/A</v>
      </c>
      <c r="H211" s="58" t="e">
        <f>VLOOKUP($C211,'Daily_BU설비데이터 '!$C$20:$T$1000,6,0)</f>
        <v>#N/A</v>
      </c>
      <c r="I211" s="58" t="e">
        <f>VLOOKUP($C211,'Daily_BU설비데이터 '!$C$20:$T$1000,7,0)</f>
        <v>#N/A</v>
      </c>
      <c r="J211" s="58" t="e">
        <f>VLOOKUP($C211,'Daily_BU설비데이터 '!$C$20:$T$1000,8,0)</f>
        <v>#N/A</v>
      </c>
      <c r="K211" s="58" t="e">
        <f>VLOOKUP($C211,'Daily_BU설비데이터 '!$C$20:$T$1000,9,0)</f>
        <v>#N/A</v>
      </c>
      <c r="L211" s="59" t="e">
        <f t="shared" si="39"/>
        <v>#N/A</v>
      </c>
      <c r="M211" s="68" t="e">
        <f>VLOOKUP($C211,'Daily_BU설비데이터 '!$C$20:$T$1000,11,0)</f>
        <v>#N/A</v>
      </c>
      <c r="N211" s="68" t="e">
        <f>VLOOKUP($C211,'Daily_BU설비데이터 '!$C$20:$T$1000,12,0)</f>
        <v>#N/A</v>
      </c>
      <c r="O211" s="68" t="e">
        <f>VLOOKUP($C211,'Daily_BU설비데이터 '!$C$20:$T$1000,13,0)</f>
        <v>#N/A</v>
      </c>
      <c r="P211" s="68" t="e">
        <f>VLOOKUP($C211,'Daily_BU설비데이터 '!$C$20:$T$1000,14,0)</f>
        <v>#N/A</v>
      </c>
      <c r="Q211" s="99" t="e">
        <f t="shared" si="40"/>
        <v>#N/A</v>
      </c>
      <c r="R211" s="100" t="e">
        <f t="shared" si="41"/>
        <v>#N/A</v>
      </c>
      <c r="S211" s="83" t="e">
        <f>VLOOKUP($C211,'Daily_BU설비데이터 '!$C$20:$T$1000,17,0)</f>
        <v>#N/A</v>
      </c>
      <c r="T211" s="83" t="e">
        <f>VLOOKUP($C211,'Daily_BU설비데이터 '!$C$20:$T$1000,18,0)</f>
        <v>#N/A</v>
      </c>
      <c r="U211" s="101" t="e">
        <f t="shared" si="42"/>
        <v>#N/A</v>
      </c>
      <c r="V211" s="45"/>
      <c r="W211" s="45"/>
      <c r="X211" s="45"/>
      <c r="Y211" s="45"/>
      <c r="Z211" s="45"/>
      <c r="AA211" s="45"/>
      <c r="AY211" s="66"/>
      <c r="AZ211" s="66"/>
      <c r="BA211" s="66"/>
      <c r="BB211" s="22"/>
    </row>
    <row r="212" spans="2:54" x14ac:dyDescent="0.45">
      <c r="B212" s="45" t="s">
        <v>596</v>
      </c>
      <c r="C212" s="90"/>
      <c r="D212" s="56"/>
      <c r="E212" s="57"/>
      <c r="F212" s="58" t="e">
        <f>VLOOKUP($C212,'Daily_BU설비데이터 '!$C$20:$T$1000,4,0)</f>
        <v>#N/A</v>
      </c>
      <c r="G212" s="58" t="e">
        <f>VLOOKUP($C212,'Daily_BU설비데이터 '!$C$20:$T$1000,5,0)</f>
        <v>#N/A</v>
      </c>
      <c r="H212" s="58" t="e">
        <f>VLOOKUP($C212,'Daily_BU설비데이터 '!$C$20:$T$1000,6,0)</f>
        <v>#N/A</v>
      </c>
      <c r="I212" s="58" t="e">
        <f>VLOOKUP($C212,'Daily_BU설비데이터 '!$C$20:$T$1000,7,0)</f>
        <v>#N/A</v>
      </c>
      <c r="J212" s="58" t="e">
        <f>VLOOKUP($C212,'Daily_BU설비데이터 '!$C$20:$T$1000,8,0)</f>
        <v>#N/A</v>
      </c>
      <c r="K212" s="58" t="e">
        <f>VLOOKUP($C212,'Daily_BU설비데이터 '!$C$20:$T$1000,9,0)</f>
        <v>#N/A</v>
      </c>
      <c r="L212" s="59" t="e">
        <f t="shared" si="39"/>
        <v>#N/A</v>
      </c>
      <c r="M212" s="68" t="e">
        <f>VLOOKUP($C212,'Daily_BU설비데이터 '!$C$20:$T$1000,11,0)</f>
        <v>#N/A</v>
      </c>
      <c r="N212" s="68" t="e">
        <f>VLOOKUP($C212,'Daily_BU설비데이터 '!$C$20:$T$1000,12,0)</f>
        <v>#N/A</v>
      </c>
      <c r="O212" s="68" t="e">
        <f>VLOOKUP($C212,'Daily_BU설비데이터 '!$C$20:$T$1000,13,0)</f>
        <v>#N/A</v>
      </c>
      <c r="P212" s="68" t="e">
        <f>VLOOKUP($C212,'Daily_BU설비데이터 '!$C$20:$T$1000,14,0)</f>
        <v>#N/A</v>
      </c>
      <c r="Q212" s="99" t="e">
        <f t="shared" si="40"/>
        <v>#N/A</v>
      </c>
      <c r="R212" s="100" t="e">
        <f t="shared" si="41"/>
        <v>#N/A</v>
      </c>
      <c r="S212" s="83" t="e">
        <f>VLOOKUP($C212,'Daily_BU설비데이터 '!$C$20:$T$1000,17,0)</f>
        <v>#N/A</v>
      </c>
      <c r="T212" s="83" t="e">
        <f>VLOOKUP($C212,'Daily_BU설비데이터 '!$C$20:$T$1000,18,0)</f>
        <v>#N/A</v>
      </c>
      <c r="U212" s="101" t="e">
        <f t="shared" si="42"/>
        <v>#N/A</v>
      </c>
      <c r="V212" s="45"/>
      <c r="W212" s="45"/>
      <c r="X212" s="45"/>
      <c r="Y212" s="45"/>
      <c r="Z212" s="45"/>
      <c r="AA212" s="45"/>
      <c r="AY212" s="66"/>
      <c r="AZ212" s="66"/>
      <c r="BA212" s="66"/>
      <c r="BB212" s="22"/>
    </row>
    <row r="213" spans="2:54" x14ac:dyDescent="0.45">
      <c r="B213" s="45" t="s">
        <v>597</v>
      </c>
      <c r="C213" s="90"/>
      <c r="D213" s="56"/>
      <c r="E213" s="80"/>
      <c r="F213" s="58" t="e">
        <f>VLOOKUP($C213,'Daily_BU설비데이터 '!$C$20:$T$1000,4,0)</f>
        <v>#N/A</v>
      </c>
      <c r="G213" s="58" t="e">
        <f>VLOOKUP($C213,'Daily_BU설비데이터 '!$C$20:$T$1000,5,0)</f>
        <v>#N/A</v>
      </c>
      <c r="H213" s="58" t="e">
        <f>VLOOKUP($C213,'Daily_BU설비데이터 '!$C$20:$T$1000,6,0)</f>
        <v>#N/A</v>
      </c>
      <c r="I213" s="58" t="e">
        <f>VLOOKUP($C213,'Daily_BU설비데이터 '!$C$20:$T$1000,7,0)</f>
        <v>#N/A</v>
      </c>
      <c r="J213" s="58" t="e">
        <f>VLOOKUP($C213,'Daily_BU설비데이터 '!$C$20:$T$1000,8,0)</f>
        <v>#N/A</v>
      </c>
      <c r="K213" s="58" t="e">
        <f>VLOOKUP($C213,'Daily_BU설비데이터 '!$C$20:$T$1000,9,0)</f>
        <v>#N/A</v>
      </c>
      <c r="L213" s="59" t="e">
        <f t="shared" si="39"/>
        <v>#N/A</v>
      </c>
      <c r="M213" s="68" t="e">
        <f>VLOOKUP($C213,'Daily_BU설비데이터 '!$C$20:$T$1000,11,0)</f>
        <v>#N/A</v>
      </c>
      <c r="N213" s="68" t="e">
        <f>VLOOKUP($C213,'Daily_BU설비데이터 '!$C$20:$T$1000,12,0)</f>
        <v>#N/A</v>
      </c>
      <c r="O213" s="68" t="e">
        <f>VLOOKUP($C213,'Daily_BU설비데이터 '!$C$20:$T$1000,13,0)</f>
        <v>#N/A</v>
      </c>
      <c r="P213" s="68" t="e">
        <f>VLOOKUP($C213,'Daily_BU설비데이터 '!$C$20:$T$1000,14,0)</f>
        <v>#N/A</v>
      </c>
      <c r="Q213" s="99" t="e">
        <f t="shared" si="40"/>
        <v>#N/A</v>
      </c>
      <c r="R213" s="100" t="e">
        <f t="shared" si="41"/>
        <v>#N/A</v>
      </c>
      <c r="S213" s="83" t="e">
        <f>VLOOKUP($C213,'Daily_BU설비데이터 '!$C$20:$T$1000,17,0)</f>
        <v>#N/A</v>
      </c>
      <c r="T213" s="83" t="e">
        <f>VLOOKUP($C213,'Daily_BU설비데이터 '!$C$20:$T$1000,18,0)</f>
        <v>#N/A</v>
      </c>
      <c r="U213" s="101" t="e">
        <f t="shared" si="42"/>
        <v>#N/A</v>
      </c>
      <c r="V213" s="45"/>
      <c r="W213" s="45"/>
      <c r="X213" s="45"/>
      <c r="Y213" s="45"/>
      <c r="Z213" s="45"/>
      <c r="AA213" s="45"/>
      <c r="AY213" s="66"/>
      <c r="AZ213" s="66"/>
      <c r="BA213" s="66"/>
      <c r="BB213" s="22"/>
    </row>
    <row r="214" spans="2:54" x14ac:dyDescent="0.45">
      <c r="B214" s="45" t="s">
        <v>598</v>
      </c>
      <c r="C214" s="90"/>
      <c r="D214" s="56"/>
      <c r="E214" s="84"/>
      <c r="F214" s="58" t="e">
        <f>VLOOKUP($C214,'Daily_BU설비데이터 '!$C$20:$T$1000,4,0)</f>
        <v>#N/A</v>
      </c>
      <c r="G214" s="58" t="e">
        <f>VLOOKUP($C214,'Daily_BU설비데이터 '!$C$20:$T$1000,5,0)</f>
        <v>#N/A</v>
      </c>
      <c r="H214" s="58" t="e">
        <f>VLOOKUP($C214,'Daily_BU설비데이터 '!$C$20:$T$1000,6,0)</f>
        <v>#N/A</v>
      </c>
      <c r="I214" s="58" t="e">
        <f>VLOOKUP($C214,'Daily_BU설비데이터 '!$C$20:$T$1000,7,0)</f>
        <v>#N/A</v>
      </c>
      <c r="J214" s="58" t="e">
        <f>VLOOKUP($C214,'Daily_BU설비데이터 '!$C$20:$T$1000,8,0)</f>
        <v>#N/A</v>
      </c>
      <c r="K214" s="58" t="e">
        <f>VLOOKUP($C214,'Daily_BU설비데이터 '!$C$20:$T$1000,9,0)</f>
        <v>#N/A</v>
      </c>
      <c r="L214" s="59" t="e">
        <f t="shared" si="39"/>
        <v>#N/A</v>
      </c>
      <c r="M214" s="68" t="e">
        <f>VLOOKUP($C214,'Daily_BU설비데이터 '!$C$20:$T$1000,11,0)</f>
        <v>#N/A</v>
      </c>
      <c r="N214" s="68" t="e">
        <f>VLOOKUP($C214,'Daily_BU설비데이터 '!$C$20:$T$1000,12,0)</f>
        <v>#N/A</v>
      </c>
      <c r="O214" s="68" t="e">
        <f>VLOOKUP($C214,'Daily_BU설비데이터 '!$C$20:$T$1000,13,0)</f>
        <v>#N/A</v>
      </c>
      <c r="P214" s="68" t="e">
        <f>VLOOKUP($C214,'Daily_BU설비데이터 '!$C$20:$T$1000,14,0)</f>
        <v>#N/A</v>
      </c>
      <c r="Q214" s="99" t="e">
        <f t="shared" si="40"/>
        <v>#N/A</v>
      </c>
      <c r="R214" s="100" t="e">
        <f t="shared" si="41"/>
        <v>#N/A</v>
      </c>
      <c r="S214" s="83" t="e">
        <f>VLOOKUP($C214,'Daily_BU설비데이터 '!$C$20:$T$1000,17,0)</f>
        <v>#N/A</v>
      </c>
      <c r="T214" s="83" t="e">
        <f>VLOOKUP($C214,'Daily_BU설비데이터 '!$C$20:$T$1000,18,0)</f>
        <v>#N/A</v>
      </c>
      <c r="U214" s="101" t="e">
        <f t="shared" si="42"/>
        <v>#N/A</v>
      </c>
      <c r="V214" s="45"/>
      <c r="W214" s="45"/>
      <c r="X214" s="45"/>
      <c r="Y214" s="45"/>
      <c r="Z214" s="45"/>
      <c r="AA214" s="45"/>
      <c r="AY214" s="66"/>
      <c r="AZ214" s="66"/>
      <c r="BA214" s="66"/>
      <c r="BB214" s="22"/>
    </row>
    <row r="215" spans="2:54" x14ac:dyDescent="0.45">
      <c r="B215" s="45" t="s">
        <v>599</v>
      </c>
      <c r="C215" s="90"/>
      <c r="D215" s="56"/>
      <c r="E215" s="57"/>
      <c r="F215" s="58" t="e">
        <f>VLOOKUP($C215,'Daily_BU설비데이터 '!$C$20:$T$1000,4,0)</f>
        <v>#N/A</v>
      </c>
      <c r="G215" s="58" t="e">
        <f>VLOOKUP($C215,'Daily_BU설비데이터 '!$C$20:$T$1000,5,0)</f>
        <v>#N/A</v>
      </c>
      <c r="H215" s="58" t="e">
        <f>VLOOKUP($C215,'Daily_BU설비데이터 '!$C$20:$T$1000,6,0)</f>
        <v>#N/A</v>
      </c>
      <c r="I215" s="58" t="e">
        <f>VLOOKUP($C215,'Daily_BU설비데이터 '!$C$20:$T$1000,7,0)</f>
        <v>#N/A</v>
      </c>
      <c r="J215" s="58" t="e">
        <f>VLOOKUP($C215,'Daily_BU설비데이터 '!$C$20:$T$1000,8,0)</f>
        <v>#N/A</v>
      </c>
      <c r="K215" s="58" t="e">
        <f>VLOOKUP($C215,'Daily_BU설비데이터 '!$C$20:$T$1000,9,0)</f>
        <v>#N/A</v>
      </c>
      <c r="L215" s="59" t="e">
        <f t="shared" si="39"/>
        <v>#N/A</v>
      </c>
      <c r="M215" s="68" t="e">
        <f>VLOOKUP($C215,'Daily_BU설비데이터 '!$C$20:$T$1000,11,0)</f>
        <v>#N/A</v>
      </c>
      <c r="N215" s="68" t="e">
        <f>VLOOKUP($C215,'Daily_BU설비데이터 '!$C$20:$T$1000,12,0)</f>
        <v>#N/A</v>
      </c>
      <c r="O215" s="68" t="e">
        <f>VLOOKUP($C215,'Daily_BU설비데이터 '!$C$20:$T$1000,13,0)</f>
        <v>#N/A</v>
      </c>
      <c r="P215" s="68" t="e">
        <f>VLOOKUP($C215,'Daily_BU설비데이터 '!$C$20:$T$1000,14,0)</f>
        <v>#N/A</v>
      </c>
      <c r="Q215" s="99" t="e">
        <f t="shared" si="40"/>
        <v>#N/A</v>
      </c>
      <c r="R215" s="100" t="e">
        <f t="shared" si="41"/>
        <v>#N/A</v>
      </c>
      <c r="S215" s="83" t="e">
        <f>VLOOKUP($C215,'Daily_BU설비데이터 '!$C$20:$T$1000,17,0)</f>
        <v>#N/A</v>
      </c>
      <c r="T215" s="83" t="e">
        <f>VLOOKUP($C215,'Daily_BU설비데이터 '!$C$20:$T$1000,18,0)</f>
        <v>#N/A</v>
      </c>
      <c r="U215" s="101" t="e">
        <f t="shared" si="42"/>
        <v>#N/A</v>
      </c>
      <c r="V215" s="45"/>
      <c r="W215" s="45"/>
      <c r="X215" s="45"/>
      <c r="Y215" s="45"/>
      <c r="Z215" s="45"/>
      <c r="AA215" s="45"/>
      <c r="AY215" s="66"/>
      <c r="AZ215" s="66"/>
      <c r="BA215" s="66"/>
      <c r="BB215" s="22"/>
    </row>
    <row r="216" spans="2:54" x14ac:dyDescent="0.45">
      <c r="B216" s="45" t="s">
        <v>600</v>
      </c>
      <c r="C216" s="90"/>
      <c r="D216" s="56"/>
      <c r="E216" s="80"/>
      <c r="F216" s="58" t="e">
        <f>VLOOKUP($C216,'Daily_BU설비데이터 '!$C$20:$T$1000,4,0)</f>
        <v>#N/A</v>
      </c>
      <c r="G216" s="58" t="e">
        <f>VLOOKUP($C216,'Daily_BU설비데이터 '!$C$20:$T$1000,5,0)</f>
        <v>#N/A</v>
      </c>
      <c r="H216" s="58" t="e">
        <f>VLOOKUP($C216,'Daily_BU설비데이터 '!$C$20:$T$1000,6,0)</f>
        <v>#N/A</v>
      </c>
      <c r="I216" s="58" t="e">
        <f>VLOOKUP($C216,'Daily_BU설비데이터 '!$C$20:$T$1000,7,0)</f>
        <v>#N/A</v>
      </c>
      <c r="J216" s="58" t="e">
        <f>VLOOKUP($C216,'Daily_BU설비데이터 '!$C$20:$T$1000,8,0)</f>
        <v>#N/A</v>
      </c>
      <c r="K216" s="58" t="e">
        <f>VLOOKUP($C216,'Daily_BU설비데이터 '!$C$20:$T$1000,9,0)</f>
        <v>#N/A</v>
      </c>
      <c r="L216" s="59" t="e">
        <f t="shared" si="39"/>
        <v>#N/A</v>
      </c>
      <c r="M216" s="68" t="e">
        <f>VLOOKUP($C216,'Daily_BU설비데이터 '!$C$20:$T$1000,11,0)</f>
        <v>#N/A</v>
      </c>
      <c r="N216" s="68" t="e">
        <f>VLOOKUP($C216,'Daily_BU설비데이터 '!$C$20:$T$1000,12,0)</f>
        <v>#N/A</v>
      </c>
      <c r="O216" s="68" t="e">
        <f>VLOOKUP($C216,'Daily_BU설비데이터 '!$C$20:$T$1000,13,0)</f>
        <v>#N/A</v>
      </c>
      <c r="P216" s="68" t="e">
        <f>VLOOKUP($C216,'Daily_BU설비데이터 '!$C$20:$T$1000,14,0)</f>
        <v>#N/A</v>
      </c>
      <c r="Q216" s="99" t="e">
        <f t="shared" si="40"/>
        <v>#N/A</v>
      </c>
      <c r="R216" s="100" t="e">
        <f t="shared" si="41"/>
        <v>#N/A</v>
      </c>
      <c r="S216" s="83" t="e">
        <f>VLOOKUP($C216,'Daily_BU설비데이터 '!$C$20:$T$1000,17,0)</f>
        <v>#N/A</v>
      </c>
      <c r="T216" s="83" t="e">
        <f>VLOOKUP($C216,'Daily_BU설비데이터 '!$C$20:$T$1000,18,0)</f>
        <v>#N/A</v>
      </c>
      <c r="U216" s="101" t="e">
        <f t="shared" si="42"/>
        <v>#N/A</v>
      </c>
      <c r="V216" s="45"/>
      <c r="W216" s="45"/>
      <c r="X216" s="45"/>
      <c r="Y216" s="45"/>
      <c r="Z216" s="45"/>
      <c r="AA216" s="45"/>
      <c r="AY216" s="66"/>
      <c r="AZ216" s="66"/>
      <c r="BA216" s="66"/>
      <c r="BB216" s="22"/>
    </row>
    <row r="217" spans="2:54" x14ac:dyDescent="0.45">
      <c r="B217" s="45" t="s">
        <v>601</v>
      </c>
      <c r="C217" s="90"/>
      <c r="D217" s="56"/>
      <c r="E217" s="84"/>
      <c r="F217" s="58" t="e">
        <f>VLOOKUP($C217,'Daily_BU설비데이터 '!$C$20:$T$1000,4,0)</f>
        <v>#N/A</v>
      </c>
      <c r="G217" s="58" t="e">
        <f>VLOOKUP($C217,'Daily_BU설비데이터 '!$C$20:$T$1000,5,0)</f>
        <v>#N/A</v>
      </c>
      <c r="H217" s="58" t="e">
        <f>VLOOKUP($C217,'Daily_BU설비데이터 '!$C$20:$T$1000,6,0)</f>
        <v>#N/A</v>
      </c>
      <c r="I217" s="58" t="e">
        <f>VLOOKUP($C217,'Daily_BU설비데이터 '!$C$20:$T$1000,7,0)</f>
        <v>#N/A</v>
      </c>
      <c r="J217" s="58" t="e">
        <f>VLOOKUP($C217,'Daily_BU설비데이터 '!$C$20:$T$1000,8,0)</f>
        <v>#N/A</v>
      </c>
      <c r="K217" s="58" t="e">
        <f>VLOOKUP($C217,'Daily_BU설비데이터 '!$C$20:$T$1000,9,0)</f>
        <v>#N/A</v>
      </c>
      <c r="L217" s="59" t="e">
        <f t="shared" si="39"/>
        <v>#N/A</v>
      </c>
      <c r="M217" s="68" t="e">
        <f>VLOOKUP($C217,'Daily_BU설비데이터 '!$C$20:$T$1000,11,0)</f>
        <v>#N/A</v>
      </c>
      <c r="N217" s="68" t="e">
        <f>VLOOKUP($C217,'Daily_BU설비데이터 '!$C$20:$T$1000,12,0)</f>
        <v>#N/A</v>
      </c>
      <c r="O217" s="68" t="e">
        <f>VLOOKUP($C217,'Daily_BU설비데이터 '!$C$20:$T$1000,13,0)</f>
        <v>#N/A</v>
      </c>
      <c r="P217" s="68" t="e">
        <f>VLOOKUP($C217,'Daily_BU설비데이터 '!$C$20:$T$1000,14,0)</f>
        <v>#N/A</v>
      </c>
      <c r="Q217" s="99" t="e">
        <f t="shared" si="40"/>
        <v>#N/A</v>
      </c>
      <c r="R217" s="100" t="e">
        <f t="shared" si="41"/>
        <v>#N/A</v>
      </c>
      <c r="S217" s="83" t="e">
        <f>VLOOKUP($C217,'Daily_BU설비데이터 '!$C$20:$T$1000,17,0)</f>
        <v>#N/A</v>
      </c>
      <c r="T217" s="83" t="e">
        <f>VLOOKUP($C217,'Daily_BU설비데이터 '!$C$20:$T$1000,18,0)</f>
        <v>#N/A</v>
      </c>
      <c r="U217" s="101" t="e">
        <f t="shared" si="42"/>
        <v>#N/A</v>
      </c>
      <c r="V217" s="45"/>
      <c r="W217" s="45"/>
      <c r="X217" s="45"/>
      <c r="Y217" s="45"/>
      <c r="Z217" s="45"/>
      <c r="AA217" s="45"/>
      <c r="AY217" s="66"/>
      <c r="AZ217" s="66"/>
      <c r="BA217" s="66"/>
      <c r="BB217" s="22"/>
    </row>
    <row r="218" spans="2:54" x14ac:dyDescent="0.45">
      <c r="B218" s="45" t="s">
        <v>602</v>
      </c>
      <c r="C218" s="90"/>
      <c r="D218" s="56"/>
      <c r="E218" s="57"/>
      <c r="F218" s="58" t="e">
        <f>VLOOKUP($C218,'Daily_BU설비데이터 '!$C$20:$T$1000,4,0)</f>
        <v>#N/A</v>
      </c>
      <c r="G218" s="58" t="e">
        <f>VLOOKUP($C218,'Daily_BU설비데이터 '!$C$20:$T$1000,5,0)</f>
        <v>#N/A</v>
      </c>
      <c r="H218" s="58" t="e">
        <f>VLOOKUP($C218,'Daily_BU설비데이터 '!$C$20:$T$1000,6,0)</f>
        <v>#N/A</v>
      </c>
      <c r="I218" s="58" t="e">
        <f>VLOOKUP($C218,'Daily_BU설비데이터 '!$C$20:$T$1000,7,0)</f>
        <v>#N/A</v>
      </c>
      <c r="J218" s="58" t="e">
        <f>VLOOKUP($C218,'Daily_BU설비데이터 '!$C$20:$T$1000,8,0)</f>
        <v>#N/A</v>
      </c>
      <c r="K218" s="58" t="e">
        <f>VLOOKUP($C218,'Daily_BU설비데이터 '!$C$20:$T$1000,9,0)</f>
        <v>#N/A</v>
      </c>
      <c r="L218" s="59" t="e">
        <f t="shared" si="39"/>
        <v>#N/A</v>
      </c>
      <c r="M218" s="68" t="e">
        <f>VLOOKUP($C218,'Daily_BU설비데이터 '!$C$20:$T$1000,11,0)</f>
        <v>#N/A</v>
      </c>
      <c r="N218" s="68" t="e">
        <f>VLOOKUP($C218,'Daily_BU설비데이터 '!$C$20:$T$1000,12,0)</f>
        <v>#N/A</v>
      </c>
      <c r="O218" s="68" t="e">
        <f>VLOOKUP($C218,'Daily_BU설비데이터 '!$C$20:$T$1000,13,0)</f>
        <v>#N/A</v>
      </c>
      <c r="P218" s="68" t="e">
        <f>VLOOKUP($C218,'Daily_BU설비데이터 '!$C$20:$T$1000,14,0)</f>
        <v>#N/A</v>
      </c>
      <c r="Q218" s="99" t="e">
        <f t="shared" si="40"/>
        <v>#N/A</v>
      </c>
      <c r="R218" s="100" t="e">
        <f t="shared" si="41"/>
        <v>#N/A</v>
      </c>
      <c r="S218" s="83" t="e">
        <f>VLOOKUP($C218,'Daily_BU설비데이터 '!$C$20:$T$1000,17,0)</f>
        <v>#N/A</v>
      </c>
      <c r="T218" s="83" t="e">
        <f>VLOOKUP($C218,'Daily_BU설비데이터 '!$C$20:$T$1000,18,0)</f>
        <v>#N/A</v>
      </c>
      <c r="U218" s="101" t="e">
        <f t="shared" si="42"/>
        <v>#N/A</v>
      </c>
      <c r="V218" s="45"/>
      <c r="W218" s="45"/>
      <c r="X218" s="45"/>
      <c r="Y218" s="45"/>
      <c r="Z218" s="45"/>
      <c r="AA218" s="45"/>
      <c r="AY218" s="66"/>
      <c r="AZ218" s="66"/>
      <c r="BA218" s="66"/>
      <c r="BB218" s="22"/>
    </row>
    <row r="219" spans="2:54" x14ac:dyDescent="0.45">
      <c r="B219" s="45" t="s">
        <v>603</v>
      </c>
      <c r="C219" s="90"/>
      <c r="D219" s="56"/>
      <c r="E219" s="80"/>
      <c r="F219" s="58" t="e">
        <f>VLOOKUP($C219,'Daily_BU설비데이터 '!$C$20:$T$1000,4,0)</f>
        <v>#N/A</v>
      </c>
      <c r="G219" s="58" t="e">
        <f>VLOOKUP($C219,'Daily_BU설비데이터 '!$C$20:$T$1000,5,0)</f>
        <v>#N/A</v>
      </c>
      <c r="H219" s="58" t="e">
        <f>VLOOKUP($C219,'Daily_BU설비데이터 '!$C$20:$T$1000,6,0)</f>
        <v>#N/A</v>
      </c>
      <c r="I219" s="58" t="e">
        <f>VLOOKUP($C219,'Daily_BU설비데이터 '!$C$20:$T$1000,7,0)</f>
        <v>#N/A</v>
      </c>
      <c r="J219" s="58" t="e">
        <f>VLOOKUP($C219,'Daily_BU설비데이터 '!$C$20:$T$1000,8,0)</f>
        <v>#N/A</v>
      </c>
      <c r="K219" s="58" t="e">
        <f>VLOOKUP($C219,'Daily_BU설비데이터 '!$C$20:$T$1000,9,0)</f>
        <v>#N/A</v>
      </c>
      <c r="L219" s="59" t="e">
        <f t="shared" si="39"/>
        <v>#N/A</v>
      </c>
      <c r="M219" s="68" t="e">
        <f>VLOOKUP($C219,'Daily_BU설비데이터 '!$C$20:$T$1000,11,0)</f>
        <v>#N/A</v>
      </c>
      <c r="N219" s="68" t="e">
        <f>VLOOKUP($C219,'Daily_BU설비데이터 '!$C$20:$T$1000,12,0)</f>
        <v>#N/A</v>
      </c>
      <c r="O219" s="68" t="e">
        <f>VLOOKUP($C219,'Daily_BU설비데이터 '!$C$20:$T$1000,13,0)</f>
        <v>#N/A</v>
      </c>
      <c r="P219" s="68" t="e">
        <f>VLOOKUP($C219,'Daily_BU설비데이터 '!$C$20:$T$1000,14,0)</f>
        <v>#N/A</v>
      </c>
      <c r="Q219" s="99" t="e">
        <f t="shared" si="40"/>
        <v>#N/A</v>
      </c>
      <c r="R219" s="100" t="e">
        <f t="shared" si="41"/>
        <v>#N/A</v>
      </c>
      <c r="S219" s="83" t="e">
        <f>VLOOKUP($C219,'Daily_BU설비데이터 '!$C$20:$T$1000,17,0)</f>
        <v>#N/A</v>
      </c>
      <c r="T219" s="83" t="e">
        <f>VLOOKUP($C219,'Daily_BU설비데이터 '!$C$20:$T$1000,18,0)</f>
        <v>#N/A</v>
      </c>
      <c r="U219" s="101" t="e">
        <f t="shared" si="42"/>
        <v>#N/A</v>
      </c>
      <c r="V219" s="45"/>
      <c r="W219" s="45"/>
      <c r="X219" s="45"/>
      <c r="Y219" s="45"/>
      <c r="Z219" s="45"/>
      <c r="AA219" s="45"/>
      <c r="AY219" s="66"/>
      <c r="AZ219" s="66"/>
      <c r="BA219" s="66"/>
      <c r="BB219" s="22"/>
    </row>
    <row r="220" spans="2:54" x14ac:dyDescent="0.45">
      <c r="B220" s="45" t="s">
        <v>604</v>
      </c>
      <c r="C220" s="90"/>
      <c r="D220" s="56"/>
      <c r="E220" s="84"/>
      <c r="F220" s="58" t="e">
        <f>VLOOKUP($C220,'Daily_BU설비데이터 '!$C$20:$T$1000,4,0)</f>
        <v>#N/A</v>
      </c>
      <c r="G220" s="58" t="e">
        <f>VLOOKUP($C220,'Daily_BU설비데이터 '!$C$20:$T$1000,5,0)</f>
        <v>#N/A</v>
      </c>
      <c r="H220" s="58" t="e">
        <f>VLOOKUP($C220,'Daily_BU설비데이터 '!$C$20:$T$1000,6,0)</f>
        <v>#N/A</v>
      </c>
      <c r="I220" s="58" t="e">
        <f>VLOOKUP($C220,'Daily_BU설비데이터 '!$C$20:$T$1000,7,0)</f>
        <v>#N/A</v>
      </c>
      <c r="J220" s="58" t="e">
        <f>VLOOKUP($C220,'Daily_BU설비데이터 '!$C$20:$T$1000,8,0)</f>
        <v>#N/A</v>
      </c>
      <c r="K220" s="58" t="e">
        <f>VLOOKUP($C220,'Daily_BU설비데이터 '!$C$20:$T$1000,9,0)</f>
        <v>#N/A</v>
      </c>
      <c r="L220" s="59" t="e">
        <f t="shared" si="39"/>
        <v>#N/A</v>
      </c>
      <c r="M220" s="68" t="e">
        <f>VLOOKUP($C220,'Daily_BU설비데이터 '!$C$20:$T$1000,11,0)</f>
        <v>#N/A</v>
      </c>
      <c r="N220" s="68" t="e">
        <f>VLOOKUP($C220,'Daily_BU설비데이터 '!$C$20:$T$1000,12,0)</f>
        <v>#N/A</v>
      </c>
      <c r="O220" s="68" t="e">
        <f>VLOOKUP($C220,'Daily_BU설비데이터 '!$C$20:$T$1000,13,0)</f>
        <v>#N/A</v>
      </c>
      <c r="P220" s="68" t="e">
        <f>VLOOKUP($C220,'Daily_BU설비데이터 '!$C$20:$T$1000,14,0)</f>
        <v>#N/A</v>
      </c>
      <c r="Q220" s="99" t="e">
        <f t="shared" si="40"/>
        <v>#N/A</v>
      </c>
      <c r="R220" s="100" t="e">
        <f t="shared" si="41"/>
        <v>#N/A</v>
      </c>
      <c r="S220" s="83" t="e">
        <f>VLOOKUP($C220,'Daily_BU설비데이터 '!$C$20:$T$1000,17,0)</f>
        <v>#N/A</v>
      </c>
      <c r="T220" s="83" t="e">
        <f>VLOOKUP($C220,'Daily_BU설비데이터 '!$C$20:$T$1000,18,0)</f>
        <v>#N/A</v>
      </c>
      <c r="U220" s="101" t="e">
        <f t="shared" si="42"/>
        <v>#N/A</v>
      </c>
      <c r="V220" s="45"/>
      <c r="W220" s="45"/>
      <c r="X220" s="45"/>
      <c r="Y220" s="45"/>
      <c r="Z220" s="45"/>
      <c r="AA220" s="45"/>
      <c r="AY220" s="66"/>
      <c r="AZ220" s="66"/>
      <c r="BA220" s="66"/>
      <c r="BB220" s="22"/>
    </row>
    <row r="221" spans="2:54" x14ac:dyDescent="0.45">
      <c r="B221" s="45" t="s">
        <v>605</v>
      </c>
      <c r="C221" s="90"/>
      <c r="D221" s="56"/>
      <c r="E221" s="57"/>
      <c r="F221" s="58" t="e">
        <f>VLOOKUP($C221,'Daily_BU설비데이터 '!$C$20:$T$1000,4,0)</f>
        <v>#N/A</v>
      </c>
      <c r="G221" s="58" t="e">
        <f>VLOOKUP($C221,'Daily_BU설비데이터 '!$C$20:$T$1000,5,0)</f>
        <v>#N/A</v>
      </c>
      <c r="H221" s="58" t="e">
        <f>VLOOKUP($C221,'Daily_BU설비데이터 '!$C$20:$T$1000,6,0)</f>
        <v>#N/A</v>
      </c>
      <c r="I221" s="58" t="e">
        <f>VLOOKUP($C221,'Daily_BU설비데이터 '!$C$20:$T$1000,7,0)</f>
        <v>#N/A</v>
      </c>
      <c r="J221" s="58" t="e">
        <f>VLOOKUP($C221,'Daily_BU설비데이터 '!$C$20:$T$1000,8,0)</f>
        <v>#N/A</v>
      </c>
      <c r="K221" s="58" t="e">
        <f>VLOOKUP($C221,'Daily_BU설비데이터 '!$C$20:$T$1000,9,0)</f>
        <v>#N/A</v>
      </c>
      <c r="L221" s="59" t="e">
        <f t="shared" si="39"/>
        <v>#N/A</v>
      </c>
      <c r="M221" s="68" t="e">
        <f>VLOOKUP($C221,'Daily_BU설비데이터 '!$C$20:$T$1000,11,0)</f>
        <v>#N/A</v>
      </c>
      <c r="N221" s="68" t="e">
        <f>VLOOKUP($C221,'Daily_BU설비데이터 '!$C$20:$T$1000,12,0)</f>
        <v>#N/A</v>
      </c>
      <c r="O221" s="68" t="e">
        <f>VLOOKUP($C221,'Daily_BU설비데이터 '!$C$20:$T$1000,13,0)</f>
        <v>#N/A</v>
      </c>
      <c r="P221" s="68" t="e">
        <f>VLOOKUP($C221,'Daily_BU설비데이터 '!$C$20:$T$1000,14,0)</f>
        <v>#N/A</v>
      </c>
      <c r="Q221" s="99" t="e">
        <f t="shared" si="40"/>
        <v>#N/A</v>
      </c>
      <c r="R221" s="100" t="e">
        <f t="shared" si="41"/>
        <v>#N/A</v>
      </c>
      <c r="S221" s="83" t="e">
        <f>VLOOKUP($C221,'Daily_BU설비데이터 '!$C$20:$T$1000,17,0)</f>
        <v>#N/A</v>
      </c>
      <c r="T221" s="83" t="e">
        <f>VLOOKUP($C221,'Daily_BU설비데이터 '!$C$20:$T$1000,18,0)</f>
        <v>#N/A</v>
      </c>
      <c r="U221" s="101" t="e">
        <f t="shared" si="42"/>
        <v>#N/A</v>
      </c>
      <c r="V221" s="45"/>
      <c r="W221" s="45"/>
      <c r="X221" s="45"/>
      <c r="Y221" s="45"/>
      <c r="Z221" s="45"/>
      <c r="AA221" s="45"/>
      <c r="AY221" s="66"/>
      <c r="AZ221" s="66"/>
      <c r="BA221" s="66"/>
      <c r="BB221" s="22"/>
    </row>
    <row r="222" spans="2:54" x14ac:dyDescent="0.45">
      <c r="B222" s="45" t="s">
        <v>606</v>
      </c>
      <c r="C222" s="90"/>
      <c r="D222" s="56"/>
      <c r="E222" s="80"/>
      <c r="F222" s="58" t="e">
        <f>VLOOKUP($C222,'Daily_BU설비데이터 '!$C$20:$T$1000,4,0)</f>
        <v>#N/A</v>
      </c>
      <c r="G222" s="58" t="e">
        <f>VLOOKUP($C222,'Daily_BU설비데이터 '!$C$20:$T$1000,5,0)</f>
        <v>#N/A</v>
      </c>
      <c r="H222" s="58" t="e">
        <f>VLOOKUP($C222,'Daily_BU설비데이터 '!$C$20:$T$1000,6,0)</f>
        <v>#N/A</v>
      </c>
      <c r="I222" s="58" t="e">
        <f>VLOOKUP($C222,'Daily_BU설비데이터 '!$C$20:$T$1000,7,0)</f>
        <v>#N/A</v>
      </c>
      <c r="J222" s="58" t="e">
        <f>VLOOKUP($C222,'Daily_BU설비데이터 '!$C$20:$T$1000,8,0)</f>
        <v>#N/A</v>
      </c>
      <c r="K222" s="58" t="e">
        <f>VLOOKUP($C222,'Daily_BU설비데이터 '!$C$20:$T$1000,9,0)</f>
        <v>#N/A</v>
      </c>
      <c r="L222" s="59" t="e">
        <f t="shared" si="39"/>
        <v>#N/A</v>
      </c>
      <c r="M222" s="68" t="e">
        <f>VLOOKUP($C222,'Daily_BU설비데이터 '!$C$20:$T$1000,11,0)</f>
        <v>#N/A</v>
      </c>
      <c r="N222" s="68" t="e">
        <f>VLOOKUP($C222,'Daily_BU설비데이터 '!$C$20:$T$1000,12,0)</f>
        <v>#N/A</v>
      </c>
      <c r="O222" s="68" t="e">
        <f>VLOOKUP($C222,'Daily_BU설비데이터 '!$C$20:$T$1000,13,0)</f>
        <v>#N/A</v>
      </c>
      <c r="P222" s="68" t="e">
        <f>VLOOKUP($C222,'Daily_BU설비데이터 '!$C$20:$T$1000,14,0)</f>
        <v>#N/A</v>
      </c>
      <c r="Q222" s="99" t="e">
        <f t="shared" si="40"/>
        <v>#N/A</v>
      </c>
      <c r="R222" s="100" t="e">
        <f t="shared" si="41"/>
        <v>#N/A</v>
      </c>
      <c r="S222" s="83" t="e">
        <f>VLOOKUP($C222,'Daily_BU설비데이터 '!$C$20:$T$1000,17,0)</f>
        <v>#N/A</v>
      </c>
      <c r="T222" s="83" t="e">
        <f>VLOOKUP($C222,'Daily_BU설비데이터 '!$C$20:$T$1000,18,0)</f>
        <v>#N/A</v>
      </c>
      <c r="U222" s="101" t="e">
        <f t="shared" si="42"/>
        <v>#N/A</v>
      </c>
      <c r="V222" s="45"/>
      <c r="W222" s="45"/>
      <c r="X222" s="45"/>
      <c r="Y222" s="45"/>
      <c r="Z222" s="45"/>
      <c r="AA222" s="45"/>
      <c r="AY222" s="66"/>
      <c r="AZ222" s="66"/>
      <c r="BA222" s="66"/>
      <c r="BB222" s="22"/>
    </row>
    <row r="223" spans="2:54" x14ac:dyDescent="0.45">
      <c r="B223" s="45" t="s">
        <v>607</v>
      </c>
      <c r="C223" s="90"/>
      <c r="D223" s="56"/>
      <c r="E223" s="84"/>
      <c r="F223" s="58" t="e">
        <f>VLOOKUP($C223,'Daily_BU설비데이터 '!$C$20:$T$1000,4,0)</f>
        <v>#N/A</v>
      </c>
      <c r="G223" s="58" t="e">
        <f>VLOOKUP($C223,'Daily_BU설비데이터 '!$C$20:$T$1000,5,0)</f>
        <v>#N/A</v>
      </c>
      <c r="H223" s="58" t="e">
        <f>VLOOKUP($C223,'Daily_BU설비데이터 '!$C$20:$T$1000,6,0)</f>
        <v>#N/A</v>
      </c>
      <c r="I223" s="58" t="e">
        <f>VLOOKUP($C223,'Daily_BU설비데이터 '!$C$20:$T$1000,7,0)</f>
        <v>#N/A</v>
      </c>
      <c r="J223" s="58" t="e">
        <f>VLOOKUP($C223,'Daily_BU설비데이터 '!$C$20:$T$1000,8,0)</f>
        <v>#N/A</v>
      </c>
      <c r="K223" s="58" t="e">
        <f>VLOOKUP($C223,'Daily_BU설비데이터 '!$C$20:$T$1000,9,0)</f>
        <v>#N/A</v>
      </c>
      <c r="L223" s="59" t="e">
        <f t="shared" si="39"/>
        <v>#N/A</v>
      </c>
      <c r="M223" s="68" t="e">
        <f>VLOOKUP($C223,'Daily_BU설비데이터 '!$C$20:$T$1000,11,0)</f>
        <v>#N/A</v>
      </c>
      <c r="N223" s="68" t="e">
        <f>VLOOKUP($C223,'Daily_BU설비데이터 '!$C$20:$T$1000,12,0)</f>
        <v>#N/A</v>
      </c>
      <c r="O223" s="68" t="e">
        <f>VLOOKUP($C223,'Daily_BU설비데이터 '!$C$20:$T$1000,13,0)</f>
        <v>#N/A</v>
      </c>
      <c r="P223" s="68" t="e">
        <f>VLOOKUP($C223,'Daily_BU설비데이터 '!$C$20:$T$1000,14,0)</f>
        <v>#N/A</v>
      </c>
      <c r="Q223" s="99" t="e">
        <f t="shared" si="40"/>
        <v>#N/A</v>
      </c>
      <c r="R223" s="100" t="e">
        <f t="shared" si="41"/>
        <v>#N/A</v>
      </c>
      <c r="S223" s="83" t="e">
        <f>VLOOKUP($C223,'Daily_BU설비데이터 '!$C$20:$T$1000,17,0)</f>
        <v>#N/A</v>
      </c>
      <c r="T223" s="83" t="e">
        <f>VLOOKUP($C223,'Daily_BU설비데이터 '!$C$20:$T$1000,18,0)</f>
        <v>#N/A</v>
      </c>
      <c r="U223" s="101" t="e">
        <f t="shared" si="42"/>
        <v>#N/A</v>
      </c>
      <c r="V223" s="45"/>
      <c r="W223" s="45"/>
      <c r="X223" s="45"/>
      <c r="Y223" s="45"/>
      <c r="Z223" s="45"/>
      <c r="AA223" s="45"/>
      <c r="AY223" s="66"/>
      <c r="AZ223" s="66"/>
      <c r="BA223" s="66"/>
      <c r="BB223" s="22"/>
    </row>
    <row r="224" spans="2:54" x14ac:dyDescent="0.45">
      <c r="B224" s="45" t="s">
        <v>608</v>
      </c>
      <c r="C224" s="90"/>
      <c r="D224" s="56"/>
      <c r="E224" s="57"/>
      <c r="F224" s="58" t="e">
        <f>VLOOKUP($C224,'Daily_BU설비데이터 '!$C$20:$T$1000,4,0)</f>
        <v>#N/A</v>
      </c>
      <c r="G224" s="58" t="e">
        <f>VLOOKUP($C224,'Daily_BU설비데이터 '!$C$20:$T$1000,5,0)</f>
        <v>#N/A</v>
      </c>
      <c r="H224" s="58" t="e">
        <f>VLOOKUP($C224,'Daily_BU설비데이터 '!$C$20:$T$1000,6,0)</f>
        <v>#N/A</v>
      </c>
      <c r="I224" s="58" t="e">
        <f>VLOOKUP($C224,'Daily_BU설비데이터 '!$C$20:$T$1000,7,0)</f>
        <v>#N/A</v>
      </c>
      <c r="J224" s="58" t="e">
        <f>VLOOKUP($C224,'Daily_BU설비데이터 '!$C$20:$T$1000,8,0)</f>
        <v>#N/A</v>
      </c>
      <c r="K224" s="58" t="e">
        <f>VLOOKUP($C224,'Daily_BU설비데이터 '!$C$20:$T$1000,9,0)</f>
        <v>#N/A</v>
      </c>
      <c r="L224" s="59" t="e">
        <f t="shared" si="39"/>
        <v>#N/A</v>
      </c>
      <c r="M224" s="68" t="e">
        <f>VLOOKUP($C224,'Daily_BU설비데이터 '!$C$20:$T$1000,11,0)</f>
        <v>#N/A</v>
      </c>
      <c r="N224" s="68" t="e">
        <f>VLOOKUP($C224,'Daily_BU설비데이터 '!$C$20:$T$1000,12,0)</f>
        <v>#N/A</v>
      </c>
      <c r="O224" s="68" t="e">
        <f>VLOOKUP($C224,'Daily_BU설비데이터 '!$C$20:$T$1000,13,0)</f>
        <v>#N/A</v>
      </c>
      <c r="P224" s="68" t="e">
        <f>VLOOKUP($C224,'Daily_BU설비데이터 '!$C$20:$T$1000,14,0)</f>
        <v>#N/A</v>
      </c>
      <c r="Q224" s="99" t="e">
        <f t="shared" si="40"/>
        <v>#N/A</v>
      </c>
      <c r="R224" s="100" t="e">
        <f t="shared" si="41"/>
        <v>#N/A</v>
      </c>
      <c r="S224" s="83" t="e">
        <f>VLOOKUP($C224,'Daily_BU설비데이터 '!$C$20:$T$1000,17,0)</f>
        <v>#N/A</v>
      </c>
      <c r="T224" s="83" t="e">
        <f>VLOOKUP($C224,'Daily_BU설비데이터 '!$C$20:$T$1000,18,0)</f>
        <v>#N/A</v>
      </c>
      <c r="U224" s="101" t="e">
        <f t="shared" si="42"/>
        <v>#N/A</v>
      </c>
      <c r="V224" s="45"/>
      <c r="W224" s="45"/>
      <c r="X224" s="45"/>
      <c r="Y224" s="45"/>
      <c r="Z224" s="45"/>
      <c r="AA224" s="45"/>
      <c r="AY224" s="66"/>
      <c r="AZ224" s="66"/>
      <c r="BA224" s="66"/>
      <c r="BB224" s="22"/>
    </row>
    <row r="225" spans="2:54" x14ac:dyDescent="0.45">
      <c r="B225" s="45" t="s">
        <v>609</v>
      </c>
      <c r="C225" s="90"/>
      <c r="D225" s="56"/>
      <c r="E225" s="80"/>
      <c r="F225" s="58" t="e">
        <f>VLOOKUP($C225,'Daily_BU설비데이터 '!$C$20:$T$1000,4,0)</f>
        <v>#N/A</v>
      </c>
      <c r="G225" s="58" t="e">
        <f>VLOOKUP($C225,'Daily_BU설비데이터 '!$C$20:$T$1000,5,0)</f>
        <v>#N/A</v>
      </c>
      <c r="H225" s="58" t="e">
        <f>VLOOKUP($C225,'Daily_BU설비데이터 '!$C$20:$T$1000,6,0)</f>
        <v>#N/A</v>
      </c>
      <c r="I225" s="58" t="e">
        <f>VLOOKUP($C225,'Daily_BU설비데이터 '!$C$20:$T$1000,7,0)</f>
        <v>#N/A</v>
      </c>
      <c r="J225" s="58" t="e">
        <f>VLOOKUP($C225,'Daily_BU설비데이터 '!$C$20:$T$1000,8,0)</f>
        <v>#N/A</v>
      </c>
      <c r="K225" s="58" t="e">
        <f>VLOOKUP($C225,'Daily_BU설비데이터 '!$C$20:$T$1000,9,0)</f>
        <v>#N/A</v>
      </c>
      <c r="L225" s="59" t="e">
        <f t="shared" si="39"/>
        <v>#N/A</v>
      </c>
      <c r="M225" s="68" t="e">
        <f>VLOOKUP($C225,'Daily_BU설비데이터 '!$C$20:$T$1000,11,0)</f>
        <v>#N/A</v>
      </c>
      <c r="N225" s="68" t="e">
        <f>VLOOKUP($C225,'Daily_BU설비데이터 '!$C$20:$T$1000,12,0)</f>
        <v>#N/A</v>
      </c>
      <c r="O225" s="68" t="e">
        <f>VLOOKUP($C225,'Daily_BU설비데이터 '!$C$20:$T$1000,13,0)</f>
        <v>#N/A</v>
      </c>
      <c r="P225" s="68" t="e">
        <f>VLOOKUP($C225,'Daily_BU설비데이터 '!$C$20:$T$1000,14,0)</f>
        <v>#N/A</v>
      </c>
      <c r="Q225" s="99" t="e">
        <f t="shared" si="40"/>
        <v>#N/A</v>
      </c>
      <c r="R225" s="100" t="e">
        <f t="shared" si="41"/>
        <v>#N/A</v>
      </c>
      <c r="S225" s="83" t="e">
        <f>VLOOKUP($C225,'Daily_BU설비데이터 '!$C$20:$T$1000,17,0)</f>
        <v>#N/A</v>
      </c>
      <c r="T225" s="83" t="e">
        <f>VLOOKUP($C225,'Daily_BU설비데이터 '!$C$20:$T$1000,18,0)</f>
        <v>#N/A</v>
      </c>
      <c r="U225" s="101" t="e">
        <f t="shared" si="42"/>
        <v>#N/A</v>
      </c>
      <c r="V225" s="45"/>
      <c r="W225" s="45"/>
      <c r="X225" s="45"/>
      <c r="Y225" s="45"/>
      <c r="Z225" s="45"/>
      <c r="AA225" s="45"/>
      <c r="AY225" s="66"/>
      <c r="AZ225" s="66"/>
      <c r="BA225" s="66"/>
      <c r="BB225" s="22"/>
    </row>
    <row r="226" spans="2:54" x14ac:dyDescent="0.45">
      <c r="B226" s="45" t="s">
        <v>610</v>
      </c>
      <c r="C226" s="90"/>
      <c r="D226" s="56"/>
      <c r="E226" s="84"/>
      <c r="F226" s="58" t="e">
        <f>VLOOKUP($C226,'Daily_BU설비데이터 '!$C$20:$T$1000,4,0)</f>
        <v>#N/A</v>
      </c>
      <c r="G226" s="58" t="e">
        <f>VLOOKUP($C226,'Daily_BU설비데이터 '!$C$20:$T$1000,5,0)</f>
        <v>#N/A</v>
      </c>
      <c r="H226" s="58" t="e">
        <f>VLOOKUP($C226,'Daily_BU설비데이터 '!$C$20:$T$1000,6,0)</f>
        <v>#N/A</v>
      </c>
      <c r="I226" s="58" t="e">
        <f>VLOOKUP($C226,'Daily_BU설비데이터 '!$C$20:$T$1000,7,0)</f>
        <v>#N/A</v>
      </c>
      <c r="J226" s="58" t="e">
        <f>VLOOKUP($C226,'Daily_BU설비데이터 '!$C$20:$T$1000,8,0)</f>
        <v>#N/A</v>
      </c>
      <c r="K226" s="58" t="e">
        <f>VLOOKUP($C226,'Daily_BU설비데이터 '!$C$20:$T$1000,9,0)</f>
        <v>#N/A</v>
      </c>
      <c r="L226" s="59" t="e">
        <f t="shared" si="39"/>
        <v>#N/A</v>
      </c>
      <c r="M226" s="68" t="e">
        <f>VLOOKUP($C226,'Daily_BU설비데이터 '!$C$20:$T$1000,11,0)</f>
        <v>#N/A</v>
      </c>
      <c r="N226" s="68" t="e">
        <f>VLOOKUP($C226,'Daily_BU설비데이터 '!$C$20:$T$1000,12,0)</f>
        <v>#N/A</v>
      </c>
      <c r="O226" s="68" t="e">
        <f>VLOOKUP($C226,'Daily_BU설비데이터 '!$C$20:$T$1000,13,0)</f>
        <v>#N/A</v>
      </c>
      <c r="P226" s="68" t="e">
        <f>VLOOKUP($C226,'Daily_BU설비데이터 '!$C$20:$T$1000,14,0)</f>
        <v>#N/A</v>
      </c>
      <c r="Q226" s="99" t="e">
        <f t="shared" si="40"/>
        <v>#N/A</v>
      </c>
      <c r="R226" s="100" t="e">
        <f t="shared" si="41"/>
        <v>#N/A</v>
      </c>
      <c r="S226" s="83" t="e">
        <f>VLOOKUP($C226,'Daily_BU설비데이터 '!$C$20:$T$1000,17,0)</f>
        <v>#N/A</v>
      </c>
      <c r="T226" s="83" t="e">
        <f>VLOOKUP($C226,'Daily_BU설비데이터 '!$C$20:$T$1000,18,0)</f>
        <v>#N/A</v>
      </c>
      <c r="U226" s="101" t="e">
        <f t="shared" si="42"/>
        <v>#N/A</v>
      </c>
      <c r="V226" s="45"/>
      <c r="W226" s="45"/>
      <c r="X226" s="45"/>
      <c r="Y226" s="45"/>
      <c r="Z226" s="45"/>
      <c r="AA226" s="45"/>
      <c r="AY226" s="66"/>
      <c r="AZ226" s="66"/>
      <c r="BA226" s="66"/>
      <c r="BB226" s="22"/>
    </row>
    <row r="227" spans="2:54" x14ac:dyDescent="0.45">
      <c r="B227" s="45" t="s">
        <v>611</v>
      </c>
      <c r="C227" s="90"/>
      <c r="D227" s="56"/>
      <c r="E227" s="57"/>
      <c r="F227" s="58" t="e">
        <f>VLOOKUP($C227,'Daily_BU설비데이터 '!$C$20:$T$1000,4,0)</f>
        <v>#N/A</v>
      </c>
      <c r="G227" s="58" t="e">
        <f>VLOOKUP($C227,'Daily_BU설비데이터 '!$C$20:$T$1000,5,0)</f>
        <v>#N/A</v>
      </c>
      <c r="H227" s="58" t="e">
        <f>VLOOKUP($C227,'Daily_BU설비데이터 '!$C$20:$T$1000,6,0)</f>
        <v>#N/A</v>
      </c>
      <c r="I227" s="58" t="e">
        <f>VLOOKUP($C227,'Daily_BU설비데이터 '!$C$20:$T$1000,7,0)</f>
        <v>#N/A</v>
      </c>
      <c r="J227" s="58" t="e">
        <f>VLOOKUP($C227,'Daily_BU설비데이터 '!$C$20:$T$1000,8,0)</f>
        <v>#N/A</v>
      </c>
      <c r="K227" s="58" t="e">
        <f>VLOOKUP($C227,'Daily_BU설비데이터 '!$C$20:$T$1000,9,0)</f>
        <v>#N/A</v>
      </c>
      <c r="L227" s="59" t="e">
        <f t="shared" si="39"/>
        <v>#N/A</v>
      </c>
      <c r="M227" s="68" t="e">
        <f>VLOOKUP($C227,'Daily_BU설비데이터 '!$C$20:$T$1000,11,0)</f>
        <v>#N/A</v>
      </c>
      <c r="N227" s="68" t="e">
        <f>VLOOKUP($C227,'Daily_BU설비데이터 '!$C$20:$T$1000,12,0)</f>
        <v>#N/A</v>
      </c>
      <c r="O227" s="68" t="e">
        <f>VLOOKUP($C227,'Daily_BU설비데이터 '!$C$20:$T$1000,13,0)</f>
        <v>#N/A</v>
      </c>
      <c r="P227" s="68" t="e">
        <f>VLOOKUP($C227,'Daily_BU설비데이터 '!$C$20:$T$1000,14,0)</f>
        <v>#N/A</v>
      </c>
      <c r="Q227" s="99" t="e">
        <f t="shared" si="40"/>
        <v>#N/A</v>
      </c>
      <c r="R227" s="100" t="e">
        <f t="shared" si="41"/>
        <v>#N/A</v>
      </c>
      <c r="S227" s="83" t="e">
        <f>VLOOKUP($C227,'Daily_BU설비데이터 '!$C$20:$T$1000,17,0)</f>
        <v>#N/A</v>
      </c>
      <c r="T227" s="83" t="e">
        <f>VLOOKUP($C227,'Daily_BU설비데이터 '!$C$20:$T$1000,18,0)</f>
        <v>#N/A</v>
      </c>
      <c r="U227" s="101" t="e">
        <f t="shared" si="42"/>
        <v>#N/A</v>
      </c>
      <c r="V227" s="45"/>
      <c r="W227" s="45"/>
      <c r="X227" s="45"/>
      <c r="Y227" s="45"/>
      <c r="Z227" s="45"/>
      <c r="AA227" s="45"/>
      <c r="AY227" s="66"/>
      <c r="AZ227" s="66"/>
      <c r="BA227" s="66"/>
      <c r="BB227" s="22"/>
    </row>
    <row r="228" spans="2:54" x14ac:dyDescent="0.45">
      <c r="B228" s="45" t="s">
        <v>612</v>
      </c>
      <c r="C228" s="90"/>
      <c r="D228" s="56"/>
      <c r="E228" s="80"/>
      <c r="F228" s="58" t="e">
        <f>VLOOKUP($C228,'Daily_BU설비데이터 '!$C$20:$T$1000,4,0)</f>
        <v>#N/A</v>
      </c>
      <c r="G228" s="58" t="e">
        <f>VLOOKUP($C228,'Daily_BU설비데이터 '!$C$20:$T$1000,5,0)</f>
        <v>#N/A</v>
      </c>
      <c r="H228" s="58" t="e">
        <f>VLOOKUP($C228,'Daily_BU설비데이터 '!$C$20:$T$1000,6,0)</f>
        <v>#N/A</v>
      </c>
      <c r="I228" s="58" t="e">
        <f>VLOOKUP($C228,'Daily_BU설비데이터 '!$C$20:$T$1000,7,0)</f>
        <v>#N/A</v>
      </c>
      <c r="J228" s="58" t="e">
        <f>VLOOKUP($C228,'Daily_BU설비데이터 '!$C$20:$T$1000,8,0)</f>
        <v>#N/A</v>
      </c>
      <c r="K228" s="58" t="e">
        <f>VLOOKUP($C228,'Daily_BU설비데이터 '!$C$20:$T$1000,9,0)</f>
        <v>#N/A</v>
      </c>
      <c r="L228" s="59" t="e">
        <f t="shared" si="39"/>
        <v>#N/A</v>
      </c>
      <c r="M228" s="68" t="e">
        <f>VLOOKUP($C228,'Daily_BU설비데이터 '!$C$20:$T$1000,11,0)</f>
        <v>#N/A</v>
      </c>
      <c r="N228" s="68" t="e">
        <f>VLOOKUP($C228,'Daily_BU설비데이터 '!$C$20:$T$1000,12,0)</f>
        <v>#N/A</v>
      </c>
      <c r="O228" s="68" t="e">
        <f>VLOOKUP($C228,'Daily_BU설비데이터 '!$C$20:$T$1000,13,0)</f>
        <v>#N/A</v>
      </c>
      <c r="P228" s="68" t="e">
        <f>VLOOKUP($C228,'Daily_BU설비데이터 '!$C$20:$T$1000,14,0)</f>
        <v>#N/A</v>
      </c>
      <c r="Q228" s="99" t="e">
        <f t="shared" si="40"/>
        <v>#N/A</v>
      </c>
      <c r="R228" s="100" t="e">
        <f t="shared" si="41"/>
        <v>#N/A</v>
      </c>
      <c r="S228" s="83" t="e">
        <f>VLOOKUP($C228,'Daily_BU설비데이터 '!$C$20:$T$1000,17,0)</f>
        <v>#N/A</v>
      </c>
      <c r="T228" s="83" t="e">
        <f>VLOOKUP($C228,'Daily_BU설비데이터 '!$C$20:$T$1000,18,0)</f>
        <v>#N/A</v>
      </c>
      <c r="U228" s="101" t="e">
        <f t="shared" si="42"/>
        <v>#N/A</v>
      </c>
      <c r="V228" s="45"/>
      <c r="W228" s="45"/>
      <c r="X228" s="45"/>
      <c r="Y228" s="45"/>
      <c r="Z228" s="45"/>
      <c r="AA228" s="45"/>
      <c r="AY228" s="66"/>
      <c r="AZ228" s="66"/>
      <c r="BA228" s="66"/>
      <c r="BB228" s="22"/>
    </row>
    <row r="229" spans="2:54" x14ac:dyDescent="0.45">
      <c r="B229" s="45" t="s">
        <v>613</v>
      </c>
      <c r="C229" s="90"/>
      <c r="D229" s="56"/>
      <c r="E229" s="84"/>
      <c r="F229" s="58" t="e">
        <f>VLOOKUP($C229,'Daily_BU설비데이터 '!$C$20:$T$1000,4,0)</f>
        <v>#N/A</v>
      </c>
      <c r="G229" s="58" t="e">
        <f>VLOOKUP($C229,'Daily_BU설비데이터 '!$C$20:$T$1000,5,0)</f>
        <v>#N/A</v>
      </c>
      <c r="H229" s="58" t="e">
        <f>VLOOKUP($C229,'Daily_BU설비데이터 '!$C$20:$T$1000,6,0)</f>
        <v>#N/A</v>
      </c>
      <c r="I229" s="58" t="e">
        <f>VLOOKUP($C229,'Daily_BU설비데이터 '!$C$20:$T$1000,7,0)</f>
        <v>#N/A</v>
      </c>
      <c r="J229" s="58" t="e">
        <f>VLOOKUP($C229,'Daily_BU설비데이터 '!$C$20:$T$1000,8,0)</f>
        <v>#N/A</v>
      </c>
      <c r="K229" s="58" t="e">
        <f>VLOOKUP($C229,'Daily_BU설비데이터 '!$C$20:$T$1000,9,0)</f>
        <v>#N/A</v>
      </c>
      <c r="L229" s="59" t="e">
        <f t="shared" si="39"/>
        <v>#N/A</v>
      </c>
      <c r="M229" s="68" t="e">
        <f>VLOOKUP($C229,'Daily_BU설비데이터 '!$C$20:$T$1000,11,0)</f>
        <v>#N/A</v>
      </c>
      <c r="N229" s="68" t="e">
        <f>VLOOKUP($C229,'Daily_BU설비데이터 '!$C$20:$T$1000,12,0)</f>
        <v>#N/A</v>
      </c>
      <c r="O229" s="68" t="e">
        <f>VLOOKUP($C229,'Daily_BU설비데이터 '!$C$20:$T$1000,13,0)</f>
        <v>#N/A</v>
      </c>
      <c r="P229" s="68" t="e">
        <f>VLOOKUP($C229,'Daily_BU설비데이터 '!$C$20:$T$1000,14,0)</f>
        <v>#N/A</v>
      </c>
      <c r="Q229" s="99" t="e">
        <f t="shared" si="40"/>
        <v>#N/A</v>
      </c>
      <c r="R229" s="100" t="e">
        <f t="shared" si="41"/>
        <v>#N/A</v>
      </c>
      <c r="S229" s="83" t="e">
        <f>VLOOKUP($C229,'Daily_BU설비데이터 '!$C$20:$T$1000,17,0)</f>
        <v>#N/A</v>
      </c>
      <c r="T229" s="83" t="e">
        <f>VLOOKUP($C229,'Daily_BU설비데이터 '!$C$20:$T$1000,18,0)</f>
        <v>#N/A</v>
      </c>
      <c r="U229" s="101" t="e">
        <f t="shared" si="42"/>
        <v>#N/A</v>
      </c>
      <c r="V229" s="45"/>
      <c r="W229" s="45"/>
      <c r="X229" s="45"/>
      <c r="Y229" s="45"/>
      <c r="Z229" s="45"/>
      <c r="AA229" s="45"/>
      <c r="AY229" s="66"/>
      <c r="AZ229" s="66"/>
      <c r="BA229" s="66"/>
      <c r="BB229" s="22"/>
    </row>
    <row r="230" spans="2:54" x14ac:dyDescent="0.45">
      <c r="B230" s="45" t="s">
        <v>614</v>
      </c>
      <c r="C230" s="90"/>
      <c r="D230" s="56"/>
      <c r="E230" s="57"/>
      <c r="F230" s="58" t="e">
        <f>VLOOKUP($C230,'Daily_BU설비데이터 '!$C$20:$T$1000,4,0)</f>
        <v>#N/A</v>
      </c>
      <c r="G230" s="58" t="e">
        <f>VLOOKUP($C230,'Daily_BU설비데이터 '!$C$20:$T$1000,5,0)</f>
        <v>#N/A</v>
      </c>
      <c r="H230" s="58" t="e">
        <f>VLOOKUP($C230,'Daily_BU설비데이터 '!$C$20:$T$1000,6,0)</f>
        <v>#N/A</v>
      </c>
      <c r="I230" s="58" t="e">
        <f>VLOOKUP($C230,'Daily_BU설비데이터 '!$C$20:$T$1000,7,0)</f>
        <v>#N/A</v>
      </c>
      <c r="J230" s="58" t="e">
        <f>VLOOKUP($C230,'Daily_BU설비데이터 '!$C$20:$T$1000,8,0)</f>
        <v>#N/A</v>
      </c>
      <c r="K230" s="58" t="e">
        <f>VLOOKUP($C230,'Daily_BU설비데이터 '!$C$20:$T$1000,9,0)</f>
        <v>#N/A</v>
      </c>
      <c r="L230" s="59" t="e">
        <f t="shared" si="39"/>
        <v>#N/A</v>
      </c>
      <c r="M230" s="68" t="e">
        <f>VLOOKUP($C230,'Daily_BU설비데이터 '!$C$20:$T$1000,11,0)</f>
        <v>#N/A</v>
      </c>
      <c r="N230" s="68" t="e">
        <f>VLOOKUP($C230,'Daily_BU설비데이터 '!$C$20:$T$1000,12,0)</f>
        <v>#N/A</v>
      </c>
      <c r="O230" s="68" t="e">
        <f>VLOOKUP($C230,'Daily_BU설비데이터 '!$C$20:$T$1000,13,0)</f>
        <v>#N/A</v>
      </c>
      <c r="P230" s="68" t="e">
        <f>VLOOKUP($C230,'Daily_BU설비데이터 '!$C$20:$T$1000,14,0)</f>
        <v>#N/A</v>
      </c>
      <c r="Q230" s="99" t="e">
        <f t="shared" si="40"/>
        <v>#N/A</v>
      </c>
      <c r="R230" s="100" t="e">
        <f t="shared" si="41"/>
        <v>#N/A</v>
      </c>
      <c r="S230" s="83" t="e">
        <f>VLOOKUP($C230,'Daily_BU설비데이터 '!$C$20:$T$1000,17,0)</f>
        <v>#N/A</v>
      </c>
      <c r="T230" s="83" t="e">
        <f>VLOOKUP($C230,'Daily_BU설비데이터 '!$C$20:$T$1000,18,0)</f>
        <v>#N/A</v>
      </c>
      <c r="U230" s="101" t="e">
        <f t="shared" si="42"/>
        <v>#N/A</v>
      </c>
      <c r="V230" s="45"/>
      <c r="W230" s="45"/>
      <c r="X230" s="45"/>
      <c r="Y230" s="45"/>
      <c r="Z230" s="45"/>
      <c r="AA230" s="45"/>
      <c r="AY230" s="66"/>
      <c r="AZ230" s="66"/>
      <c r="BA230" s="66"/>
      <c r="BB230" s="22"/>
    </row>
    <row r="231" spans="2:54" x14ac:dyDescent="0.45">
      <c r="B231" s="45" t="s">
        <v>615</v>
      </c>
      <c r="C231" s="90"/>
      <c r="D231" s="56"/>
      <c r="E231" s="80"/>
      <c r="F231" s="58" t="e">
        <f>VLOOKUP($C231,'Daily_BU설비데이터 '!$C$20:$T$1000,4,0)</f>
        <v>#N/A</v>
      </c>
      <c r="G231" s="58" t="e">
        <f>VLOOKUP($C231,'Daily_BU설비데이터 '!$C$20:$T$1000,5,0)</f>
        <v>#N/A</v>
      </c>
      <c r="H231" s="58" t="e">
        <f>VLOOKUP($C231,'Daily_BU설비데이터 '!$C$20:$T$1000,6,0)</f>
        <v>#N/A</v>
      </c>
      <c r="I231" s="58" t="e">
        <f>VLOOKUP($C231,'Daily_BU설비데이터 '!$C$20:$T$1000,7,0)</f>
        <v>#N/A</v>
      </c>
      <c r="J231" s="58" t="e">
        <f>VLOOKUP($C231,'Daily_BU설비데이터 '!$C$20:$T$1000,8,0)</f>
        <v>#N/A</v>
      </c>
      <c r="K231" s="58" t="e">
        <f>VLOOKUP($C231,'Daily_BU설비데이터 '!$C$20:$T$1000,9,0)</f>
        <v>#N/A</v>
      </c>
      <c r="L231" s="59" t="e">
        <f t="shared" si="39"/>
        <v>#N/A</v>
      </c>
      <c r="M231" s="68" t="e">
        <f>VLOOKUP($C231,'Daily_BU설비데이터 '!$C$20:$T$1000,11,0)</f>
        <v>#N/A</v>
      </c>
      <c r="N231" s="68" t="e">
        <f>VLOOKUP($C231,'Daily_BU설비데이터 '!$C$20:$T$1000,12,0)</f>
        <v>#N/A</v>
      </c>
      <c r="O231" s="68" t="e">
        <f>VLOOKUP($C231,'Daily_BU설비데이터 '!$C$20:$T$1000,13,0)</f>
        <v>#N/A</v>
      </c>
      <c r="P231" s="68" t="e">
        <f>VLOOKUP($C231,'Daily_BU설비데이터 '!$C$20:$T$1000,14,0)</f>
        <v>#N/A</v>
      </c>
      <c r="Q231" s="99" t="e">
        <f t="shared" si="40"/>
        <v>#N/A</v>
      </c>
      <c r="R231" s="100" t="e">
        <f t="shared" si="41"/>
        <v>#N/A</v>
      </c>
      <c r="S231" s="83" t="e">
        <f>VLOOKUP($C231,'Daily_BU설비데이터 '!$C$20:$T$1000,17,0)</f>
        <v>#N/A</v>
      </c>
      <c r="T231" s="83" t="e">
        <f>VLOOKUP($C231,'Daily_BU설비데이터 '!$C$20:$T$1000,18,0)</f>
        <v>#N/A</v>
      </c>
      <c r="U231" s="101" t="e">
        <f t="shared" si="42"/>
        <v>#N/A</v>
      </c>
      <c r="V231" s="45"/>
      <c r="W231" s="45"/>
      <c r="X231" s="45"/>
      <c r="Y231" s="45"/>
      <c r="Z231" s="45"/>
      <c r="AA231" s="45"/>
      <c r="AY231" s="66"/>
      <c r="AZ231" s="66"/>
      <c r="BA231" s="66"/>
      <c r="BB231" s="22"/>
    </row>
    <row r="232" spans="2:54" x14ac:dyDescent="0.45">
      <c r="B232" s="45" t="s">
        <v>616</v>
      </c>
      <c r="C232" s="90"/>
      <c r="D232" s="56"/>
      <c r="E232" s="84"/>
      <c r="F232" s="58" t="e">
        <f>VLOOKUP($C232,'Daily_BU설비데이터 '!$C$20:$T$1000,4,0)</f>
        <v>#N/A</v>
      </c>
      <c r="G232" s="58" t="e">
        <f>VLOOKUP($C232,'Daily_BU설비데이터 '!$C$20:$T$1000,5,0)</f>
        <v>#N/A</v>
      </c>
      <c r="H232" s="58" t="e">
        <f>VLOOKUP($C232,'Daily_BU설비데이터 '!$C$20:$T$1000,6,0)</f>
        <v>#N/A</v>
      </c>
      <c r="I232" s="58" t="e">
        <f>VLOOKUP($C232,'Daily_BU설비데이터 '!$C$20:$T$1000,7,0)</f>
        <v>#N/A</v>
      </c>
      <c r="J232" s="58" t="e">
        <f>VLOOKUP($C232,'Daily_BU설비데이터 '!$C$20:$T$1000,8,0)</f>
        <v>#N/A</v>
      </c>
      <c r="K232" s="58" t="e">
        <f>VLOOKUP($C232,'Daily_BU설비데이터 '!$C$20:$T$1000,9,0)</f>
        <v>#N/A</v>
      </c>
      <c r="L232" s="59" t="e">
        <f t="shared" si="39"/>
        <v>#N/A</v>
      </c>
      <c r="M232" s="68" t="e">
        <f>VLOOKUP($C232,'Daily_BU설비데이터 '!$C$20:$T$1000,11,0)</f>
        <v>#N/A</v>
      </c>
      <c r="N232" s="68" t="e">
        <f>VLOOKUP($C232,'Daily_BU설비데이터 '!$C$20:$T$1000,12,0)</f>
        <v>#N/A</v>
      </c>
      <c r="O232" s="68" t="e">
        <f>VLOOKUP($C232,'Daily_BU설비데이터 '!$C$20:$T$1000,13,0)</f>
        <v>#N/A</v>
      </c>
      <c r="P232" s="68" t="e">
        <f>VLOOKUP($C232,'Daily_BU설비데이터 '!$C$20:$T$1000,14,0)</f>
        <v>#N/A</v>
      </c>
      <c r="Q232" s="99" t="e">
        <f t="shared" si="40"/>
        <v>#N/A</v>
      </c>
      <c r="R232" s="100" t="e">
        <f t="shared" si="41"/>
        <v>#N/A</v>
      </c>
      <c r="S232" s="83" t="e">
        <f>VLOOKUP($C232,'Daily_BU설비데이터 '!$C$20:$T$1000,17,0)</f>
        <v>#N/A</v>
      </c>
      <c r="T232" s="83" t="e">
        <f>VLOOKUP($C232,'Daily_BU설비데이터 '!$C$20:$T$1000,18,0)</f>
        <v>#N/A</v>
      </c>
      <c r="U232" s="101" t="e">
        <f t="shared" si="42"/>
        <v>#N/A</v>
      </c>
      <c r="V232" s="45"/>
      <c r="W232" s="45"/>
      <c r="X232" s="45"/>
      <c r="Y232" s="45"/>
      <c r="Z232" s="45"/>
      <c r="AA232" s="45"/>
      <c r="AY232" s="66"/>
      <c r="AZ232" s="66"/>
      <c r="BA232" s="66"/>
      <c r="BB232" s="22"/>
    </row>
    <row r="233" spans="2:54" x14ac:dyDescent="0.45">
      <c r="B233" s="45" t="s">
        <v>617</v>
      </c>
      <c r="C233" s="90"/>
      <c r="D233" s="56"/>
      <c r="E233" s="57"/>
      <c r="F233" s="58" t="e">
        <f>VLOOKUP($C233,'Daily_BU설비데이터 '!$C$20:$T$1000,4,0)</f>
        <v>#N/A</v>
      </c>
      <c r="G233" s="58" t="e">
        <f>VLOOKUP($C233,'Daily_BU설비데이터 '!$C$20:$T$1000,5,0)</f>
        <v>#N/A</v>
      </c>
      <c r="H233" s="58" t="e">
        <f>VLOOKUP($C233,'Daily_BU설비데이터 '!$C$20:$T$1000,6,0)</f>
        <v>#N/A</v>
      </c>
      <c r="I233" s="58" t="e">
        <f>VLOOKUP($C233,'Daily_BU설비데이터 '!$C$20:$T$1000,7,0)</f>
        <v>#N/A</v>
      </c>
      <c r="J233" s="58" t="e">
        <f>VLOOKUP($C233,'Daily_BU설비데이터 '!$C$20:$T$1000,8,0)</f>
        <v>#N/A</v>
      </c>
      <c r="K233" s="58" t="e">
        <f>VLOOKUP($C233,'Daily_BU설비데이터 '!$C$20:$T$1000,9,0)</f>
        <v>#N/A</v>
      </c>
      <c r="L233" s="59" t="e">
        <f t="shared" si="39"/>
        <v>#N/A</v>
      </c>
      <c r="M233" s="68" t="e">
        <f>VLOOKUP($C233,'Daily_BU설비데이터 '!$C$20:$T$1000,11,0)</f>
        <v>#N/A</v>
      </c>
      <c r="N233" s="68" t="e">
        <f>VLOOKUP($C233,'Daily_BU설비데이터 '!$C$20:$T$1000,12,0)</f>
        <v>#N/A</v>
      </c>
      <c r="O233" s="68" t="e">
        <f>VLOOKUP($C233,'Daily_BU설비데이터 '!$C$20:$T$1000,13,0)</f>
        <v>#N/A</v>
      </c>
      <c r="P233" s="68" t="e">
        <f>VLOOKUP($C233,'Daily_BU설비데이터 '!$C$20:$T$1000,14,0)</f>
        <v>#N/A</v>
      </c>
      <c r="Q233" s="99" t="e">
        <f t="shared" si="40"/>
        <v>#N/A</v>
      </c>
      <c r="R233" s="100" t="e">
        <f t="shared" si="41"/>
        <v>#N/A</v>
      </c>
      <c r="S233" s="83" t="e">
        <f>VLOOKUP($C233,'Daily_BU설비데이터 '!$C$20:$T$1000,17,0)</f>
        <v>#N/A</v>
      </c>
      <c r="T233" s="83" t="e">
        <f>VLOOKUP($C233,'Daily_BU설비데이터 '!$C$20:$T$1000,18,0)</f>
        <v>#N/A</v>
      </c>
      <c r="U233" s="101" t="e">
        <f t="shared" si="42"/>
        <v>#N/A</v>
      </c>
      <c r="V233" s="45"/>
      <c r="W233" s="45"/>
      <c r="X233" s="45"/>
      <c r="Y233" s="45"/>
      <c r="Z233" s="45"/>
      <c r="AA233" s="45"/>
      <c r="AY233" s="66"/>
      <c r="AZ233" s="66"/>
      <c r="BA233" s="66"/>
      <c r="BB233" s="22"/>
    </row>
    <row r="234" spans="2:54" x14ac:dyDescent="0.45">
      <c r="B234" s="45" t="s">
        <v>618</v>
      </c>
      <c r="C234" s="90"/>
      <c r="D234" s="56"/>
      <c r="E234" s="80"/>
      <c r="F234" s="58" t="e">
        <f>VLOOKUP($C234,'Daily_BU설비데이터 '!$C$20:$T$1000,4,0)</f>
        <v>#N/A</v>
      </c>
      <c r="G234" s="58" t="e">
        <f>VLOOKUP($C234,'Daily_BU설비데이터 '!$C$20:$T$1000,5,0)</f>
        <v>#N/A</v>
      </c>
      <c r="H234" s="58" t="e">
        <f>VLOOKUP($C234,'Daily_BU설비데이터 '!$C$20:$T$1000,6,0)</f>
        <v>#N/A</v>
      </c>
      <c r="I234" s="58" t="e">
        <f>VLOOKUP($C234,'Daily_BU설비데이터 '!$C$20:$T$1000,7,0)</f>
        <v>#N/A</v>
      </c>
      <c r="J234" s="58" t="e">
        <f>VLOOKUP($C234,'Daily_BU설비데이터 '!$C$20:$T$1000,8,0)</f>
        <v>#N/A</v>
      </c>
      <c r="K234" s="58" t="e">
        <f>VLOOKUP($C234,'Daily_BU설비데이터 '!$C$20:$T$1000,9,0)</f>
        <v>#N/A</v>
      </c>
      <c r="L234" s="59" t="e">
        <f t="shared" si="39"/>
        <v>#N/A</v>
      </c>
      <c r="M234" s="68" t="e">
        <f>VLOOKUP($C234,'Daily_BU설비데이터 '!$C$20:$T$1000,11,0)</f>
        <v>#N/A</v>
      </c>
      <c r="N234" s="68" t="e">
        <f>VLOOKUP($C234,'Daily_BU설비데이터 '!$C$20:$T$1000,12,0)</f>
        <v>#N/A</v>
      </c>
      <c r="O234" s="68" t="e">
        <f>VLOOKUP($C234,'Daily_BU설비데이터 '!$C$20:$T$1000,13,0)</f>
        <v>#N/A</v>
      </c>
      <c r="P234" s="68" t="e">
        <f>VLOOKUP($C234,'Daily_BU설비데이터 '!$C$20:$T$1000,14,0)</f>
        <v>#N/A</v>
      </c>
      <c r="Q234" s="99" t="e">
        <f t="shared" si="40"/>
        <v>#N/A</v>
      </c>
      <c r="R234" s="100" t="e">
        <f t="shared" si="41"/>
        <v>#N/A</v>
      </c>
      <c r="S234" s="83" t="e">
        <f>VLOOKUP($C234,'Daily_BU설비데이터 '!$C$20:$T$1000,17,0)</f>
        <v>#N/A</v>
      </c>
      <c r="T234" s="83" t="e">
        <f>VLOOKUP($C234,'Daily_BU설비데이터 '!$C$20:$T$1000,18,0)</f>
        <v>#N/A</v>
      </c>
      <c r="U234" s="101" t="e">
        <f t="shared" si="42"/>
        <v>#N/A</v>
      </c>
      <c r="V234" s="45"/>
      <c r="W234" s="45"/>
      <c r="X234" s="45"/>
      <c r="Y234" s="45"/>
      <c r="Z234" s="45"/>
      <c r="AA234" s="45"/>
      <c r="AY234" s="66"/>
      <c r="AZ234" s="66"/>
      <c r="BA234" s="66"/>
      <c r="BB234" s="22"/>
    </row>
    <row r="235" spans="2:54" x14ac:dyDescent="0.45">
      <c r="B235" s="45" t="s">
        <v>619</v>
      </c>
      <c r="C235" s="90"/>
      <c r="D235" s="56"/>
      <c r="E235" s="84"/>
      <c r="F235" s="58" t="e">
        <f>VLOOKUP($C235,'Daily_BU설비데이터 '!$C$20:$T$1000,4,0)</f>
        <v>#N/A</v>
      </c>
      <c r="G235" s="58" t="e">
        <f>VLOOKUP($C235,'Daily_BU설비데이터 '!$C$20:$T$1000,5,0)</f>
        <v>#N/A</v>
      </c>
      <c r="H235" s="58" t="e">
        <f>VLOOKUP($C235,'Daily_BU설비데이터 '!$C$20:$T$1000,6,0)</f>
        <v>#N/A</v>
      </c>
      <c r="I235" s="58" t="e">
        <f>VLOOKUP($C235,'Daily_BU설비데이터 '!$C$20:$T$1000,7,0)</f>
        <v>#N/A</v>
      </c>
      <c r="J235" s="58" t="e">
        <f>VLOOKUP($C235,'Daily_BU설비데이터 '!$C$20:$T$1000,8,0)</f>
        <v>#N/A</v>
      </c>
      <c r="K235" s="58" t="e">
        <f>VLOOKUP($C235,'Daily_BU설비데이터 '!$C$20:$T$1000,9,0)</f>
        <v>#N/A</v>
      </c>
      <c r="L235" s="59" t="e">
        <f t="shared" si="39"/>
        <v>#N/A</v>
      </c>
      <c r="M235" s="68" t="e">
        <f>VLOOKUP($C235,'Daily_BU설비데이터 '!$C$20:$T$1000,11,0)</f>
        <v>#N/A</v>
      </c>
      <c r="N235" s="68" t="e">
        <f>VLOOKUP($C235,'Daily_BU설비데이터 '!$C$20:$T$1000,12,0)</f>
        <v>#N/A</v>
      </c>
      <c r="O235" s="68" t="e">
        <f>VLOOKUP($C235,'Daily_BU설비데이터 '!$C$20:$T$1000,13,0)</f>
        <v>#N/A</v>
      </c>
      <c r="P235" s="68" t="e">
        <f>VLOOKUP($C235,'Daily_BU설비데이터 '!$C$20:$T$1000,14,0)</f>
        <v>#N/A</v>
      </c>
      <c r="Q235" s="99" t="e">
        <f t="shared" si="40"/>
        <v>#N/A</v>
      </c>
      <c r="R235" s="100" t="e">
        <f t="shared" si="41"/>
        <v>#N/A</v>
      </c>
      <c r="S235" s="83" t="e">
        <f>VLOOKUP($C235,'Daily_BU설비데이터 '!$C$20:$T$1000,17,0)</f>
        <v>#N/A</v>
      </c>
      <c r="T235" s="83" t="e">
        <f>VLOOKUP($C235,'Daily_BU설비데이터 '!$C$20:$T$1000,18,0)</f>
        <v>#N/A</v>
      </c>
      <c r="U235" s="101" t="e">
        <f t="shared" si="42"/>
        <v>#N/A</v>
      </c>
      <c r="V235" s="45"/>
      <c r="W235" s="45"/>
      <c r="X235" s="45"/>
      <c r="Y235" s="45"/>
      <c r="Z235" s="45"/>
      <c r="AA235" s="45"/>
      <c r="AY235" s="66"/>
      <c r="AZ235" s="66"/>
      <c r="BA235" s="66"/>
      <c r="BB235" s="22"/>
    </row>
    <row r="236" spans="2:54" x14ac:dyDescent="0.45">
      <c r="B236" s="45" t="s">
        <v>620</v>
      </c>
      <c r="C236" s="90"/>
      <c r="D236" s="56"/>
      <c r="E236" s="57"/>
      <c r="F236" s="58" t="e">
        <f>VLOOKUP($C236,'Daily_BU설비데이터 '!$C$20:$T$1000,4,0)</f>
        <v>#N/A</v>
      </c>
      <c r="G236" s="58" t="e">
        <f>VLOOKUP($C236,'Daily_BU설비데이터 '!$C$20:$T$1000,5,0)</f>
        <v>#N/A</v>
      </c>
      <c r="H236" s="58" t="e">
        <f>VLOOKUP($C236,'Daily_BU설비데이터 '!$C$20:$T$1000,6,0)</f>
        <v>#N/A</v>
      </c>
      <c r="I236" s="58" t="e">
        <f>VLOOKUP($C236,'Daily_BU설비데이터 '!$C$20:$T$1000,7,0)</f>
        <v>#N/A</v>
      </c>
      <c r="J236" s="58" t="e">
        <f>VLOOKUP($C236,'Daily_BU설비데이터 '!$C$20:$T$1000,8,0)</f>
        <v>#N/A</v>
      </c>
      <c r="K236" s="58" t="e">
        <f>VLOOKUP($C236,'Daily_BU설비데이터 '!$C$20:$T$1000,9,0)</f>
        <v>#N/A</v>
      </c>
      <c r="L236" s="59" t="e">
        <f t="shared" si="39"/>
        <v>#N/A</v>
      </c>
      <c r="M236" s="68" t="e">
        <f>VLOOKUP($C236,'Daily_BU설비데이터 '!$C$20:$T$1000,11,0)</f>
        <v>#N/A</v>
      </c>
      <c r="N236" s="68" t="e">
        <f>VLOOKUP($C236,'Daily_BU설비데이터 '!$C$20:$T$1000,12,0)</f>
        <v>#N/A</v>
      </c>
      <c r="O236" s="68" t="e">
        <f>VLOOKUP($C236,'Daily_BU설비데이터 '!$C$20:$T$1000,13,0)</f>
        <v>#N/A</v>
      </c>
      <c r="P236" s="68" t="e">
        <f>VLOOKUP($C236,'Daily_BU설비데이터 '!$C$20:$T$1000,14,0)</f>
        <v>#N/A</v>
      </c>
      <c r="Q236" s="99" t="e">
        <f t="shared" si="40"/>
        <v>#N/A</v>
      </c>
      <c r="R236" s="100" t="e">
        <f t="shared" si="41"/>
        <v>#N/A</v>
      </c>
      <c r="S236" s="83" t="e">
        <f>VLOOKUP($C236,'Daily_BU설비데이터 '!$C$20:$T$1000,17,0)</f>
        <v>#N/A</v>
      </c>
      <c r="T236" s="83" t="e">
        <f>VLOOKUP($C236,'Daily_BU설비데이터 '!$C$20:$T$1000,18,0)</f>
        <v>#N/A</v>
      </c>
      <c r="U236" s="101" t="e">
        <f t="shared" si="42"/>
        <v>#N/A</v>
      </c>
      <c r="V236" s="45"/>
      <c r="W236" s="45"/>
      <c r="X236" s="45"/>
      <c r="Y236" s="45"/>
      <c r="Z236" s="45"/>
      <c r="AA236" s="45"/>
      <c r="AY236" s="66"/>
      <c r="AZ236" s="66"/>
      <c r="BA236" s="66"/>
      <c r="BB236" s="22"/>
    </row>
    <row r="237" spans="2:54" x14ac:dyDescent="0.45">
      <c r="B237" s="45" t="s">
        <v>621</v>
      </c>
      <c r="C237" s="90"/>
      <c r="D237" s="56"/>
      <c r="E237" s="80"/>
      <c r="F237" s="58" t="e">
        <f>VLOOKUP($C237,'Daily_BU설비데이터 '!$C$20:$T$1000,4,0)</f>
        <v>#N/A</v>
      </c>
      <c r="G237" s="58" t="e">
        <f>VLOOKUP($C237,'Daily_BU설비데이터 '!$C$20:$T$1000,5,0)</f>
        <v>#N/A</v>
      </c>
      <c r="H237" s="58" t="e">
        <f>VLOOKUP($C237,'Daily_BU설비데이터 '!$C$20:$T$1000,6,0)</f>
        <v>#N/A</v>
      </c>
      <c r="I237" s="58" t="e">
        <f>VLOOKUP($C237,'Daily_BU설비데이터 '!$C$20:$T$1000,7,0)</f>
        <v>#N/A</v>
      </c>
      <c r="J237" s="58" t="e">
        <f>VLOOKUP($C237,'Daily_BU설비데이터 '!$C$20:$T$1000,8,0)</f>
        <v>#N/A</v>
      </c>
      <c r="K237" s="58" t="e">
        <f>VLOOKUP($C237,'Daily_BU설비데이터 '!$C$20:$T$1000,9,0)</f>
        <v>#N/A</v>
      </c>
      <c r="L237" s="59" t="e">
        <f t="shared" si="39"/>
        <v>#N/A</v>
      </c>
      <c r="M237" s="68" t="e">
        <f>VLOOKUP($C237,'Daily_BU설비데이터 '!$C$20:$T$1000,11,0)</f>
        <v>#N/A</v>
      </c>
      <c r="N237" s="68" t="e">
        <f>VLOOKUP($C237,'Daily_BU설비데이터 '!$C$20:$T$1000,12,0)</f>
        <v>#N/A</v>
      </c>
      <c r="O237" s="68" t="e">
        <f>VLOOKUP($C237,'Daily_BU설비데이터 '!$C$20:$T$1000,13,0)</f>
        <v>#N/A</v>
      </c>
      <c r="P237" s="68" t="e">
        <f>VLOOKUP($C237,'Daily_BU설비데이터 '!$C$20:$T$1000,14,0)</f>
        <v>#N/A</v>
      </c>
      <c r="Q237" s="99" t="e">
        <f t="shared" si="40"/>
        <v>#N/A</v>
      </c>
      <c r="R237" s="100" t="e">
        <f t="shared" si="41"/>
        <v>#N/A</v>
      </c>
      <c r="S237" s="83" t="e">
        <f>VLOOKUP($C237,'Daily_BU설비데이터 '!$C$20:$T$1000,17,0)</f>
        <v>#N/A</v>
      </c>
      <c r="T237" s="83" t="e">
        <f>VLOOKUP($C237,'Daily_BU설비데이터 '!$C$20:$T$1000,18,0)</f>
        <v>#N/A</v>
      </c>
      <c r="U237" s="101" t="e">
        <f t="shared" si="42"/>
        <v>#N/A</v>
      </c>
      <c r="V237" s="45"/>
      <c r="W237" s="45"/>
      <c r="X237" s="45"/>
      <c r="Y237" s="45"/>
      <c r="Z237" s="45"/>
      <c r="AA237" s="45"/>
      <c r="AY237" s="66"/>
      <c r="AZ237" s="66"/>
      <c r="BA237" s="66"/>
      <c r="BB237" s="22"/>
    </row>
    <row r="238" spans="2:54" x14ac:dyDescent="0.45">
      <c r="B238" s="45" t="s">
        <v>622</v>
      </c>
      <c r="C238" s="90"/>
      <c r="D238" s="56"/>
      <c r="E238" s="84"/>
      <c r="F238" s="58" t="e">
        <f>VLOOKUP($C238,'Daily_BU설비데이터 '!$C$20:$T$1000,4,0)</f>
        <v>#N/A</v>
      </c>
      <c r="G238" s="58" t="e">
        <f>VLOOKUP($C238,'Daily_BU설비데이터 '!$C$20:$T$1000,5,0)</f>
        <v>#N/A</v>
      </c>
      <c r="H238" s="58" t="e">
        <f>VLOOKUP($C238,'Daily_BU설비데이터 '!$C$20:$T$1000,6,0)</f>
        <v>#N/A</v>
      </c>
      <c r="I238" s="58" t="e">
        <f>VLOOKUP($C238,'Daily_BU설비데이터 '!$C$20:$T$1000,7,0)</f>
        <v>#N/A</v>
      </c>
      <c r="J238" s="58" t="e">
        <f>VLOOKUP($C238,'Daily_BU설비데이터 '!$C$20:$T$1000,8,0)</f>
        <v>#N/A</v>
      </c>
      <c r="K238" s="58" t="e">
        <f>VLOOKUP($C238,'Daily_BU설비데이터 '!$C$20:$T$1000,9,0)</f>
        <v>#N/A</v>
      </c>
      <c r="L238" s="59" t="e">
        <f t="shared" si="39"/>
        <v>#N/A</v>
      </c>
      <c r="M238" s="68" t="e">
        <f>VLOOKUP($C238,'Daily_BU설비데이터 '!$C$20:$T$1000,11,0)</f>
        <v>#N/A</v>
      </c>
      <c r="N238" s="68" t="e">
        <f>VLOOKUP($C238,'Daily_BU설비데이터 '!$C$20:$T$1000,12,0)</f>
        <v>#N/A</v>
      </c>
      <c r="O238" s="68" t="e">
        <f>VLOOKUP($C238,'Daily_BU설비데이터 '!$C$20:$T$1000,13,0)</f>
        <v>#N/A</v>
      </c>
      <c r="P238" s="68" t="e">
        <f>VLOOKUP($C238,'Daily_BU설비데이터 '!$C$20:$T$1000,14,0)</f>
        <v>#N/A</v>
      </c>
      <c r="Q238" s="99" t="e">
        <f t="shared" si="40"/>
        <v>#N/A</v>
      </c>
      <c r="R238" s="100" t="e">
        <f t="shared" si="41"/>
        <v>#N/A</v>
      </c>
      <c r="S238" s="83" t="e">
        <f>VLOOKUP($C238,'Daily_BU설비데이터 '!$C$20:$T$1000,17,0)</f>
        <v>#N/A</v>
      </c>
      <c r="T238" s="83" t="e">
        <f>VLOOKUP($C238,'Daily_BU설비데이터 '!$C$20:$T$1000,18,0)</f>
        <v>#N/A</v>
      </c>
      <c r="U238" s="101" t="e">
        <f t="shared" si="42"/>
        <v>#N/A</v>
      </c>
      <c r="V238" s="45"/>
      <c r="W238" s="45"/>
      <c r="X238" s="45"/>
      <c r="Y238" s="45"/>
      <c r="Z238" s="45"/>
      <c r="AA238" s="45"/>
      <c r="AY238" s="66"/>
      <c r="AZ238" s="66"/>
      <c r="BA238" s="66"/>
      <c r="BB238" s="22"/>
    </row>
    <row r="239" spans="2:54" x14ac:dyDescent="0.45">
      <c r="B239" s="45" t="s">
        <v>623</v>
      </c>
      <c r="C239" s="90"/>
      <c r="D239" s="56"/>
      <c r="E239" s="57"/>
      <c r="F239" s="58" t="e">
        <f>VLOOKUP($C239,'Daily_BU설비데이터 '!$C$20:$T$1000,4,0)</f>
        <v>#N/A</v>
      </c>
      <c r="G239" s="58" t="e">
        <f>VLOOKUP($C239,'Daily_BU설비데이터 '!$C$20:$T$1000,5,0)</f>
        <v>#N/A</v>
      </c>
      <c r="H239" s="58" t="e">
        <f>VLOOKUP($C239,'Daily_BU설비데이터 '!$C$20:$T$1000,6,0)</f>
        <v>#N/A</v>
      </c>
      <c r="I239" s="58" t="e">
        <f>VLOOKUP($C239,'Daily_BU설비데이터 '!$C$20:$T$1000,7,0)</f>
        <v>#N/A</v>
      </c>
      <c r="J239" s="58" t="e">
        <f>VLOOKUP($C239,'Daily_BU설비데이터 '!$C$20:$T$1000,8,0)</f>
        <v>#N/A</v>
      </c>
      <c r="K239" s="58" t="e">
        <f>VLOOKUP($C239,'Daily_BU설비데이터 '!$C$20:$T$1000,9,0)</f>
        <v>#N/A</v>
      </c>
      <c r="L239" s="59" t="e">
        <f t="shared" si="39"/>
        <v>#N/A</v>
      </c>
      <c r="M239" s="68" t="e">
        <f>VLOOKUP($C239,'Daily_BU설비데이터 '!$C$20:$T$1000,11,0)</f>
        <v>#N/A</v>
      </c>
      <c r="N239" s="68" t="e">
        <f>VLOOKUP($C239,'Daily_BU설비데이터 '!$C$20:$T$1000,12,0)</f>
        <v>#N/A</v>
      </c>
      <c r="O239" s="68" t="e">
        <f>VLOOKUP($C239,'Daily_BU설비데이터 '!$C$20:$T$1000,13,0)</f>
        <v>#N/A</v>
      </c>
      <c r="P239" s="68" t="e">
        <f>VLOOKUP($C239,'Daily_BU설비데이터 '!$C$20:$T$1000,14,0)</f>
        <v>#N/A</v>
      </c>
      <c r="Q239" s="99" t="e">
        <f t="shared" si="40"/>
        <v>#N/A</v>
      </c>
      <c r="R239" s="100" t="e">
        <f t="shared" si="41"/>
        <v>#N/A</v>
      </c>
      <c r="S239" s="83" t="e">
        <f>VLOOKUP($C239,'Daily_BU설비데이터 '!$C$20:$T$1000,17,0)</f>
        <v>#N/A</v>
      </c>
      <c r="T239" s="83" t="e">
        <f>VLOOKUP($C239,'Daily_BU설비데이터 '!$C$20:$T$1000,18,0)</f>
        <v>#N/A</v>
      </c>
      <c r="U239" s="101" t="e">
        <f t="shared" si="42"/>
        <v>#N/A</v>
      </c>
      <c r="V239" s="45"/>
      <c r="W239" s="45"/>
      <c r="X239" s="45"/>
      <c r="Y239" s="45"/>
      <c r="Z239" s="45"/>
      <c r="AA239" s="45"/>
      <c r="AY239" s="66"/>
      <c r="AZ239" s="66"/>
      <c r="BA239" s="66"/>
      <c r="BB239" s="22"/>
    </row>
    <row r="240" spans="2:54" x14ac:dyDescent="0.45">
      <c r="B240" s="45" t="s">
        <v>624</v>
      </c>
      <c r="C240" s="90"/>
      <c r="D240" s="56"/>
      <c r="E240" s="80"/>
      <c r="F240" s="58" t="e">
        <f>VLOOKUP($C240,'Daily_BU설비데이터 '!$C$20:$T$1000,4,0)</f>
        <v>#N/A</v>
      </c>
      <c r="G240" s="58" t="e">
        <f>VLOOKUP($C240,'Daily_BU설비데이터 '!$C$20:$T$1000,5,0)</f>
        <v>#N/A</v>
      </c>
      <c r="H240" s="58" t="e">
        <f>VLOOKUP($C240,'Daily_BU설비데이터 '!$C$20:$T$1000,6,0)</f>
        <v>#N/A</v>
      </c>
      <c r="I240" s="58" t="e">
        <f>VLOOKUP($C240,'Daily_BU설비데이터 '!$C$20:$T$1000,7,0)</f>
        <v>#N/A</v>
      </c>
      <c r="J240" s="58" t="e">
        <f>VLOOKUP($C240,'Daily_BU설비데이터 '!$C$20:$T$1000,8,0)</f>
        <v>#N/A</v>
      </c>
      <c r="K240" s="58" t="e">
        <f>VLOOKUP($C240,'Daily_BU설비데이터 '!$C$20:$T$1000,9,0)</f>
        <v>#N/A</v>
      </c>
      <c r="L240" s="59" t="e">
        <f t="shared" si="39"/>
        <v>#N/A</v>
      </c>
      <c r="M240" s="68" t="e">
        <f>VLOOKUP($C240,'Daily_BU설비데이터 '!$C$20:$T$1000,11,0)</f>
        <v>#N/A</v>
      </c>
      <c r="N240" s="68" t="e">
        <f>VLOOKUP($C240,'Daily_BU설비데이터 '!$C$20:$T$1000,12,0)</f>
        <v>#N/A</v>
      </c>
      <c r="O240" s="68" t="e">
        <f>VLOOKUP($C240,'Daily_BU설비데이터 '!$C$20:$T$1000,13,0)</f>
        <v>#N/A</v>
      </c>
      <c r="P240" s="68" t="e">
        <f>VLOOKUP($C240,'Daily_BU설비데이터 '!$C$20:$T$1000,14,0)</f>
        <v>#N/A</v>
      </c>
      <c r="Q240" s="99" t="e">
        <f t="shared" si="40"/>
        <v>#N/A</v>
      </c>
      <c r="R240" s="100" t="e">
        <f t="shared" si="41"/>
        <v>#N/A</v>
      </c>
      <c r="S240" s="83" t="e">
        <f>VLOOKUP($C240,'Daily_BU설비데이터 '!$C$20:$T$1000,17,0)</f>
        <v>#N/A</v>
      </c>
      <c r="T240" s="83" t="e">
        <f>VLOOKUP($C240,'Daily_BU설비데이터 '!$C$20:$T$1000,18,0)</f>
        <v>#N/A</v>
      </c>
      <c r="U240" s="101" t="e">
        <f t="shared" si="42"/>
        <v>#N/A</v>
      </c>
      <c r="V240" s="45"/>
      <c r="W240" s="45"/>
      <c r="X240" s="45"/>
      <c r="Y240" s="45"/>
      <c r="Z240" s="45"/>
      <c r="AA240" s="45"/>
      <c r="AY240" s="66"/>
      <c r="AZ240" s="66"/>
      <c r="BA240" s="66"/>
      <c r="BB240" s="22"/>
    </row>
    <row r="241" spans="2:54" x14ac:dyDescent="0.45">
      <c r="B241" s="45" t="s">
        <v>625</v>
      </c>
      <c r="C241" s="90"/>
      <c r="D241" s="56"/>
      <c r="E241" s="84"/>
      <c r="F241" s="58" t="e">
        <f>VLOOKUP($C241,'Daily_BU설비데이터 '!$C$20:$T$1000,4,0)</f>
        <v>#N/A</v>
      </c>
      <c r="G241" s="58" t="e">
        <f>VLOOKUP($C241,'Daily_BU설비데이터 '!$C$20:$T$1000,5,0)</f>
        <v>#N/A</v>
      </c>
      <c r="H241" s="58" t="e">
        <f>VLOOKUP($C241,'Daily_BU설비데이터 '!$C$20:$T$1000,6,0)</f>
        <v>#N/A</v>
      </c>
      <c r="I241" s="58" t="e">
        <f>VLOOKUP($C241,'Daily_BU설비데이터 '!$C$20:$T$1000,7,0)</f>
        <v>#N/A</v>
      </c>
      <c r="J241" s="58" t="e">
        <f>VLOOKUP($C241,'Daily_BU설비데이터 '!$C$20:$T$1000,8,0)</f>
        <v>#N/A</v>
      </c>
      <c r="K241" s="58" t="e">
        <f>VLOOKUP($C241,'Daily_BU설비데이터 '!$C$20:$T$1000,9,0)</f>
        <v>#N/A</v>
      </c>
      <c r="L241" s="59" t="e">
        <f t="shared" si="39"/>
        <v>#N/A</v>
      </c>
      <c r="M241" s="68" t="e">
        <f>VLOOKUP($C241,'Daily_BU설비데이터 '!$C$20:$T$1000,11,0)</f>
        <v>#N/A</v>
      </c>
      <c r="N241" s="68" t="e">
        <f>VLOOKUP($C241,'Daily_BU설비데이터 '!$C$20:$T$1000,12,0)</f>
        <v>#N/A</v>
      </c>
      <c r="O241" s="68" t="e">
        <f>VLOOKUP($C241,'Daily_BU설비데이터 '!$C$20:$T$1000,13,0)</f>
        <v>#N/A</v>
      </c>
      <c r="P241" s="68" t="e">
        <f>VLOOKUP($C241,'Daily_BU설비데이터 '!$C$20:$T$1000,14,0)</f>
        <v>#N/A</v>
      </c>
      <c r="Q241" s="99" t="e">
        <f t="shared" si="40"/>
        <v>#N/A</v>
      </c>
      <c r="R241" s="100" t="e">
        <f t="shared" si="41"/>
        <v>#N/A</v>
      </c>
      <c r="S241" s="83" t="e">
        <f>VLOOKUP($C241,'Daily_BU설비데이터 '!$C$20:$T$1000,17,0)</f>
        <v>#N/A</v>
      </c>
      <c r="T241" s="83" t="e">
        <f>VLOOKUP($C241,'Daily_BU설비데이터 '!$C$20:$T$1000,18,0)</f>
        <v>#N/A</v>
      </c>
      <c r="U241" s="101" t="e">
        <f t="shared" si="42"/>
        <v>#N/A</v>
      </c>
      <c r="V241" s="45"/>
      <c r="W241" s="45"/>
      <c r="X241" s="45"/>
      <c r="Y241" s="45"/>
      <c r="Z241" s="45"/>
      <c r="AA241" s="45"/>
      <c r="AY241" s="66"/>
      <c r="AZ241" s="66"/>
      <c r="BA241" s="66"/>
      <c r="BB241" s="22"/>
    </row>
    <row r="242" spans="2:54" x14ac:dyDescent="0.45">
      <c r="B242" s="45" t="s">
        <v>626</v>
      </c>
      <c r="C242" s="90"/>
      <c r="D242" s="56"/>
      <c r="E242" s="57"/>
      <c r="F242" s="58" t="e">
        <f>VLOOKUP($C242,'Daily_BU설비데이터 '!$C$20:$T$1000,4,0)</f>
        <v>#N/A</v>
      </c>
      <c r="G242" s="58" t="e">
        <f>VLOOKUP($C242,'Daily_BU설비데이터 '!$C$20:$T$1000,5,0)</f>
        <v>#N/A</v>
      </c>
      <c r="H242" s="58" t="e">
        <f>VLOOKUP($C242,'Daily_BU설비데이터 '!$C$20:$T$1000,6,0)</f>
        <v>#N/A</v>
      </c>
      <c r="I242" s="58" t="e">
        <f>VLOOKUP($C242,'Daily_BU설비데이터 '!$C$20:$T$1000,7,0)</f>
        <v>#N/A</v>
      </c>
      <c r="J242" s="58" t="e">
        <f>VLOOKUP($C242,'Daily_BU설비데이터 '!$C$20:$T$1000,8,0)</f>
        <v>#N/A</v>
      </c>
      <c r="K242" s="58" t="e">
        <f>VLOOKUP($C242,'Daily_BU설비데이터 '!$C$20:$T$1000,9,0)</f>
        <v>#N/A</v>
      </c>
      <c r="L242" s="59" t="e">
        <f t="shared" si="39"/>
        <v>#N/A</v>
      </c>
      <c r="M242" s="68" t="e">
        <f>VLOOKUP($C242,'Daily_BU설비데이터 '!$C$20:$T$1000,11,0)</f>
        <v>#N/A</v>
      </c>
      <c r="N242" s="68" t="e">
        <f>VLOOKUP($C242,'Daily_BU설비데이터 '!$C$20:$T$1000,12,0)</f>
        <v>#N/A</v>
      </c>
      <c r="O242" s="68" t="e">
        <f>VLOOKUP($C242,'Daily_BU설비데이터 '!$C$20:$T$1000,13,0)</f>
        <v>#N/A</v>
      </c>
      <c r="P242" s="68" t="e">
        <f>VLOOKUP($C242,'Daily_BU설비데이터 '!$C$20:$T$1000,14,0)</f>
        <v>#N/A</v>
      </c>
      <c r="Q242" s="99" t="e">
        <f t="shared" si="40"/>
        <v>#N/A</v>
      </c>
      <c r="R242" s="100" t="e">
        <f t="shared" si="41"/>
        <v>#N/A</v>
      </c>
      <c r="S242" s="83" t="e">
        <f>VLOOKUP($C242,'Daily_BU설비데이터 '!$C$20:$T$1000,17,0)</f>
        <v>#N/A</v>
      </c>
      <c r="T242" s="83" t="e">
        <f>VLOOKUP($C242,'Daily_BU설비데이터 '!$C$20:$T$1000,18,0)</f>
        <v>#N/A</v>
      </c>
      <c r="U242" s="101" t="e">
        <f t="shared" si="42"/>
        <v>#N/A</v>
      </c>
      <c r="V242" s="45"/>
      <c r="W242" s="45"/>
      <c r="X242" s="45"/>
      <c r="Y242" s="45"/>
      <c r="Z242" s="45"/>
      <c r="AA242" s="45"/>
      <c r="AY242" s="66"/>
      <c r="AZ242" s="66"/>
      <c r="BA242" s="66"/>
      <c r="BB242" s="22"/>
    </row>
    <row r="243" spans="2:54" x14ac:dyDescent="0.45">
      <c r="B243" s="45" t="s">
        <v>627</v>
      </c>
      <c r="C243" s="90"/>
      <c r="D243" s="56"/>
      <c r="E243" s="80"/>
      <c r="F243" s="58" t="e">
        <f>VLOOKUP($C243,'Daily_BU설비데이터 '!$C$20:$T$1000,4,0)</f>
        <v>#N/A</v>
      </c>
      <c r="G243" s="58" t="e">
        <f>VLOOKUP($C243,'Daily_BU설비데이터 '!$C$20:$T$1000,5,0)</f>
        <v>#N/A</v>
      </c>
      <c r="H243" s="58" t="e">
        <f>VLOOKUP($C243,'Daily_BU설비데이터 '!$C$20:$T$1000,6,0)</f>
        <v>#N/A</v>
      </c>
      <c r="I243" s="58" t="e">
        <f>VLOOKUP($C243,'Daily_BU설비데이터 '!$C$20:$T$1000,7,0)</f>
        <v>#N/A</v>
      </c>
      <c r="J243" s="58" t="e">
        <f>VLOOKUP($C243,'Daily_BU설비데이터 '!$C$20:$T$1000,8,0)</f>
        <v>#N/A</v>
      </c>
      <c r="K243" s="58" t="e">
        <f>VLOOKUP($C243,'Daily_BU설비데이터 '!$C$20:$T$1000,9,0)</f>
        <v>#N/A</v>
      </c>
      <c r="L243" s="59" t="e">
        <f t="shared" si="39"/>
        <v>#N/A</v>
      </c>
      <c r="M243" s="68" t="e">
        <f>VLOOKUP($C243,'Daily_BU설비데이터 '!$C$20:$T$1000,11,0)</f>
        <v>#N/A</v>
      </c>
      <c r="N243" s="68" t="e">
        <f>VLOOKUP($C243,'Daily_BU설비데이터 '!$C$20:$T$1000,12,0)</f>
        <v>#N/A</v>
      </c>
      <c r="O243" s="68" t="e">
        <f>VLOOKUP($C243,'Daily_BU설비데이터 '!$C$20:$T$1000,13,0)</f>
        <v>#N/A</v>
      </c>
      <c r="P243" s="68" t="e">
        <f>VLOOKUP($C243,'Daily_BU설비데이터 '!$C$20:$T$1000,14,0)</f>
        <v>#N/A</v>
      </c>
      <c r="Q243" s="99" t="e">
        <f t="shared" si="40"/>
        <v>#N/A</v>
      </c>
      <c r="R243" s="100" t="e">
        <f t="shared" si="41"/>
        <v>#N/A</v>
      </c>
      <c r="S243" s="83" t="e">
        <f>VLOOKUP($C243,'Daily_BU설비데이터 '!$C$20:$T$1000,17,0)</f>
        <v>#N/A</v>
      </c>
      <c r="T243" s="83" t="e">
        <f>VLOOKUP($C243,'Daily_BU설비데이터 '!$C$20:$T$1000,18,0)</f>
        <v>#N/A</v>
      </c>
      <c r="U243" s="101" t="e">
        <f t="shared" si="42"/>
        <v>#N/A</v>
      </c>
      <c r="V243" s="45"/>
      <c r="W243" s="45"/>
      <c r="X243" s="45"/>
      <c r="Y243" s="45"/>
      <c r="Z243" s="45"/>
      <c r="AA243" s="45"/>
      <c r="AY243" s="66"/>
      <c r="AZ243" s="66"/>
      <c r="BA243" s="66"/>
      <c r="BB243" s="22"/>
    </row>
    <row r="244" spans="2:54" x14ac:dyDescent="0.45">
      <c r="B244" s="45" t="s">
        <v>628</v>
      </c>
      <c r="C244" s="90"/>
      <c r="D244" s="56"/>
      <c r="E244" s="84"/>
      <c r="F244" s="58" t="e">
        <f>VLOOKUP($C244,'Daily_BU설비데이터 '!$C$20:$T$1000,4,0)</f>
        <v>#N/A</v>
      </c>
      <c r="G244" s="58" t="e">
        <f>VLOOKUP($C244,'Daily_BU설비데이터 '!$C$20:$T$1000,5,0)</f>
        <v>#N/A</v>
      </c>
      <c r="H244" s="58" t="e">
        <f>VLOOKUP($C244,'Daily_BU설비데이터 '!$C$20:$T$1000,6,0)</f>
        <v>#N/A</v>
      </c>
      <c r="I244" s="58" t="e">
        <f>VLOOKUP($C244,'Daily_BU설비데이터 '!$C$20:$T$1000,7,0)</f>
        <v>#N/A</v>
      </c>
      <c r="J244" s="58" t="e">
        <f>VLOOKUP($C244,'Daily_BU설비데이터 '!$C$20:$T$1000,8,0)</f>
        <v>#N/A</v>
      </c>
      <c r="K244" s="58" t="e">
        <f>VLOOKUP($C244,'Daily_BU설비데이터 '!$C$20:$T$1000,9,0)</f>
        <v>#N/A</v>
      </c>
      <c r="L244" s="59" t="e">
        <f t="shared" si="39"/>
        <v>#N/A</v>
      </c>
      <c r="M244" s="68" t="e">
        <f>VLOOKUP($C244,'Daily_BU설비데이터 '!$C$20:$T$1000,11,0)</f>
        <v>#N/A</v>
      </c>
      <c r="N244" s="68" t="e">
        <f>VLOOKUP($C244,'Daily_BU설비데이터 '!$C$20:$T$1000,12,0)</f>
        <v>#N/A</v>
      </c>
      <c r="O244" s="68" t="e">
        <f>VLOOKUP($C244,'Daily_BU설비데이터 '!$C$20:$T$1000,13,0)</f>
        <v>#N/A</v>
      </c>
      <c r="P244" s="68" t="e">
        <f>VLOOKUP($C244,'Daily_BU설비데이터 '!$C$20:$T$1000,14,0)</f>
        <v>#N/A</v>
      </c>
      <c r="Q244" s="99" t="e">
        <f t="shared" si="40"/>
        <v>#N/A</v>
      </c>
      <c r="R244" s="100" t="e">
        <f t="shared" si="41"/>
        <v>#N/A</v>
      </c>
      <c r="S244" s="83" t="e">
        <f>VLOOKUP($C244,'Daily_BU설비데이터 '!$C$20:$T$1000,17,0)</f>
        <v>#N/A</v>
      </c>
      <c r="T244" s="83" t="e">
        <f>VLOOKUP($C244,'Daily_BU설비데이터 '!$C$20:$T$1000,18,0)</f>
        <v>#N/A</v>
      </c>
      <c r="U244" s="101" t="e">
        <f t="shared" si="42"/>
        <v>#N/A</v>
      </c>
      <c r="V244" s="45"/>
      <c r="W244" s="45"/>
      <c r="X244" s="45"/>
      <c r="Y244" s="45"/>
      <c r="Z244" s="45"/>
      <c r="AA244" s="45"/>
      <c r="AY244" s="66"/>
      <c r="AZ244" s="66"/>
      <c r="BA244" s="66"/>
      <c r="BB244" s="22"/>
    </row>
    <row r="245" spans="2:54" x14ac:dyDescent="0.45">
      <c r="B245" s="45" t="s">
        <v>629</v>
      </c>
      <c r="C245" s="90"/>
      <c r="D245" s="56"/>
      <c r="E245" s="57"/>
      <c r="F245" s="58" t="e">
        <f>VLOOKUP($C245,'Daily_BU설비데이터 '!$C$20:$T$1000,4,0)</f>
        <v>#N/A</v>
      </c>
      <c r="G245" s="58" t="e">
        <f>VLOOKUP($C245,'Daily_BU설비데이터 '!$C$20:$T$1000,5,0)</f>
        <v>#N/A</v>
      </c>
      <c r="H245" s="58" t="e">
        <f>VLOOKUP($C245,'Daily_BU설비데이터 '!$C$20:$T$1000,6,0)</f>
        <v>#N/A</v>
      </c>
      <c r="I245" s="58" t="e">
        <f>VLOOKUP($C245,'Daily_BU설비데이터 '!$C$20:$T$1000,7,0)</f>
        <v>#N/A</v>
      </c>
      <c r="J245" s="58" t="e">
        <f>VLOOKUP($C245,'Daily_BU설비데이터 '!$C$20:$T$1000,8,0)</f>
        <v>#N/A</v>
      </c>
      <c r="K245" s="58" t="e">
        <f>VLOOKUP($C245,'Daily_BU설비데이터 '!$C$20:$T$1000,9,0)</f>
        <v>#N/A</v>
      </c>
      <c r="L245" s="59" t="e">
        <f t="shared" si="39"/>
        <v>#N/A</v>
      </c>
      <c r="M245" s="68" t="e">
        <f>VLOOKUP($C245,'Daily_BU설비데이터 '!$C$20:$T$1000,11,0)</f>
        <v>#N/A</v>
      </c>
      <c r="N245" s="68" t="e">
        <f>VLOOKUP($C245,'Daily_BU설비데이터 '!$C$20:$T$1000,12,0)</f>
        <v>#N/A</v>
      </c>
      <c r="O245" s="68" t="e">
        <f>VLOOKUP($C245,'Daily_BU설비데이터 '!$C$20:$T$1000,13,0)</f>
        <v>#N/A</v>
      </c>
      <c r="P245" s="68" t="e">
        <f>VLOOKUP($C245,'Daily_BU설비데이터 '!$C$20:$T$1000,14,0)</f>
        <v>#N/A</v>
      </c>
      <c r="Q245" s="99" t="e">
        <f t="shared" si="40"/>
        <v>#N/A</v>
      </c>
      <c r="R245" s="100" t="e">
        <f t="shared" si="41"/>
        <v>#N/A</v>
      </c>
      <c r="S245" s="83" t="e">
        <f>VLOOKUP($C245,'Daily_BU설비데이터 '!$C$20:$T$1000,17,0)</f>
        <v>#N/A</v>
      </c>
      <c r="T245" s="83" t="e">
        <f>VLOOKUP($C245,'Daily_BU설비데이터 '!$C$20:$T$1000,18,0)</f>
        <v>#N/A</v>
      </c>
      <c r="U245" s="101" t="e">
        <f t="shared" si="42"/>
        <v>#N/A</v>
      </c>
      <c r="V245" s="45"/>
      <c r="W245" s="45"/>
      <c r="X245" s="45"/>
      <c r="Y245" s="45"/>
      <c r="Z245" s="45"/>
      <c r="AA245" s="45"/>
      <c r="AY245" s="66"/>
      <c r="AZ245" s="66"/>
      <c r="BA245" s="66"/>
      <c r="BB245" s="22"/>
    </row>
    <row r="246" spans="2:54" x14ac:dyDescent="0.45">
      <c r="B246" s="45" t="s">
        <v>630</v>
      </c>
      <c r="C246" s="90"/>
      <c r="D246" s="56"/>
      <c r="E246" s="80"/>
      <c r="F246" s="58" t="e">
        <f>VLOOKUP($C246,'Daily_BU설비데이터 '!$C$20:$T$1000,4,0)</f>
        <v>#N/A</v>
      </c>
      <c r="G246" s="58" t="e">
        <f>VLOOKUP($C246,'Daily_BU설비데이터 '!$C$20:$T$1000,5,0)</f>
        <v>#N/A</v>
      </c>
      <c r="H246" s="58" t="e">
        <f>VLOOKUP($C246,'Daily_BU설비데이터 '!$C$20:$T$1000,6,0)</f>
        <v>#N/A</v>
      </c>
      <c r="I246" s="58" t="e">
        <f>VLOOKUP($C246,'Daily_BU설비데이터 '!$C$20:$T$1000,7,0)</f>
        <v>#N/A</v>
      </c>
      <c r="J246" s="58" t="e">
        <f>VLOOKUP($C246,'Daily_BU설비데이터 '!$C$20:$T$1000,8,0)</f>
        <v>#N/A</v>
      </c>
      <c r="K246" s="58" t="e">
        <f>VLOOKUP($C246,'Daily_BU설비데이터 '!$C$20:$T$1000,9,0)</f>
        <v>#N/A</v>
      </c>
      <c r="L246" s="59" t="e">
        <f t="shared" si="39"/>
        <v>#N/A</v>
      </c>
      <c r="M246" s="68" t="e">
        <f>VLOOKUP($C246,'Daily_BU설비데이터 '!$C$20:$T$1000,11,0)</f>
        <v>#N/A</v>
      </c>
      <c r="N246" s="68" t="e">
        <f>VLOOKUP($C246,'Daily_BU설비데이터 '!$C$20:$T$1000,12,0)</f>
        <v>#N/A</v>
      </c>
      <c r="O246" s="68" t="e">
        <f>VLOOKUP($C246,'Daily_BU설비데이터 '!$C$20:$T$1000,13,0)</f>
        <v>#N/A</v>
      </c>
      <c r="P246" s="68" t="e">
        <f>VLOOKUP($C246,'Daily_BU설비데이터 '!$C$20:$T$1000,14,0)</f>
        <v>#N/A</v>
      </c>
      <c r="Q246" s="99" t="e">
        <f t="shared" si="40"/>
        <v>#N/A</v>
      </c>
      <c r="R246" s="100" t="e">
        <f t="shared" si="41"/>
        <v>#N/A</v>
      </c>
      <c r="S246" s="83" t="e">
        <f>VLOOKUP($C246,'Daily_BU설비데이터 '!$C$20:$T$1000,17,0)</f>
        <v>#N/A</v>
      </c>
      <c r="T246" s="83" t="e">
        <f>VLOOKUP($C246,'Daily_BU설비데이터 '!$C$20:$T$1000,18,0)</f>
        <v>#N/A</v>
      </c>
      <c r="U246" s="101" t="e">
        <f t="shared" si="42"/>
        <v>#N/A</v>
      </c>
      <c r="V246" s="45"/>
      <c r="W246" s="45"/>
      <c r="X246" s="45"/>
      <c r="Y246" s="45"/>
      <c r="Z246" s="45"/>
      <c r="AA246" s="45"/>
      <c r="AY246" s="66"/>
      <c r="AZ246" s="66"/>
      <c r="BA246" s="66"/>
      <c r="BB246" s="22"/>
    </row>
    <row r="247" spans="2:54" x14ac:dyDescent="0.45">
      <c r="B247" s="45" t="s">
        <v>631</v>
      </c>
      <c r="C247" s="90"/>
      <c r="D247" s="56"/>
      <c r="E247" s="84"/>
      <c r="F247" s="58" t="e">
        <f>VLOOKUP($C247,'Daily_BU설비데이터 '!$C$20:$T$1000,4,0)</f>
        <v>#N/A</v>
      </c>
      <c r="G247" s="58" t="e">
        <f>VLOOKUP($C247,'Daily_BU설비데이터 '!$C$20:$T$1000,5,0)</f>
        <v>#N/A</v>
      </c>
      <c r="H247" s="58" t="e">
        <f>VLOOKUP($C247,'Daily_BU설비데이터 '!$C$20:$T$1000,6,0)</f>
        <v>#N/A</v>
      </c>
      <c r="I247" s="58" t="e">
        <f>VLOOKUP($C247,'Daily_BU설비데이터 '!$C$20:$T$1000,7,0)</f>
        <v>#N/A</v>
      </c>
      <c r="J247" s="58" t="e">
        <f>VLOOKUP($C247,'Daily_BU설비데이터 '!$C$20:$T$1000,8,0)</f>
        <v>#N/A</v>
      </c>
      <c r="K247" s="58" t="e">
        <f>VLOOKUP($C247,'Daily_BU설비데이터 '!$C$20:$T$1000,9,0)</f>
        <v>#N/A</v>
      </c>
      <c r="L247" s="59" t="e">
        <f t="shared" si="39"/>
        <v>#N/A</v>
      </c>
      <c r="M247" s="68" t="e">
        <f>VLOOKUP($C247,'Daily_BU설비데이터 '!$C$20:$T$1000,11,0)</f>
        <v>#N/A</v>
      </c>
      <c r="N247" s="68" t="e">
        <f>VLOOKUP($C247,'Daily_BU설비데이터 '!$C$20:$T$1000,12,0)</f>
        <v>#N/A</v>
      </c>
      <c r="O247" s="68" t="e">
        <f>VLOOKUP($C247,'Daily_BU설비데이터 '!$C$20:$T$1000,13,0)</f>
        <v>#N/A</v>
      </c>
      <c r="P247" s="68" t="e">
        <f>VLOOKUP($C247,'Daily_BU설비데이터 '!$C$20:$T$1000,14,0)</f>
        <v>#N/A</v>
      </c>
      <c r="Q247" s="99" t="e">
        <f t="shared" si="40"/>
        <v>#N/A</v>
      </c>
      <c r="R247" s="100" t="e">
        <f t="shared" si="41"/>
        <v>#N/A</v>
      </c>
      <c r="S247" s="83" t="e">
        <f>VLOOKUP($C247,'Daily_BU설비데이터 '!$C$20:$T$1000,17,0)</f>
        <v>#N/A</v>
      </c>
      <c r="T247" s="83" t="e">
        <f>VLOOKUP($C247,'Daily_BU설비데이터 '!$C$20:$T$1000,18,0)</f>
        <v>#N/A</v>
      </c>
      <c r="U247" s="101" t="e">
        <f t="shared" si="42"/>
        <v>#N/A</v>
      </c>
      <c r="V247" s="45"/>
      <c r="W247" s="45"/>
      <c r="X247" s="45"/>
      <c r="Y247" s="45"/>
      <c r="Z247" s="45"/>
      <c r="AA247" s="45"/>
      <c r="AY247" s="66"/>
      <c r="AZ247" s="66"/>
      <c r="BA247" s="66"/>
      <c r="BB247" s="22"/>
    </row>
    <row r="248" spans="2:54" x14ac:dyDescent="0.45">
      <c r="B248" s="45" t="s">
        <v>632</v>
      </c>
      <c r="C248" s="90"/>
      <c r="D248" s="56"/>
      <c r="E248" s="57"/>
      <c r="F248" s="58" t="e">
        <f>VLOOKUP($C248,'Daily_BU설비데이터 '!$C$20:$T$1000,4,0)</f>
        <v>#N/A</v>
      </c>
      <c r="G248" s="58" t="e">
        <f>VLOOKUP($C248,'Daily_BU설비데이터 '!$C$20:$T$1000,5,0)</f>
        <v>#N/A</v>
      </c>
      <c r="H248" s="58" t="e">
        <f>VLOOKUP($C248,'Daily_BU설비데이터 '!$C$20:$T$1000,6,0)</f>
        <v>#N/A</v>
      </c>
      <c r="I248" s="58" t="e">
        <f>VLOOKUP($C248,'Daily_BU설비데이터 '!$C$20:$T$1000,7,0)</f>
        <v>#N/A</v>
      </c>
      <c r="J248" s="58" t="e">
        <f>VLOOKUP($C248,'Daily_BU설비데이터 '!$C$20:$T$1000,8,0)</f>
        <v>#N/A</v>
      </c>
      <c r="K248" s="58" t="e">
        <f>VLOOKUP($C248,'Daily_BU설비데이터 '!$C$20:$T$1000,9,0)</f>
        <v>#N/A</v>
      </c>
      <c r="L248" s="59" t="e">
        <f t="shared" si="39"/>
        <v>#N/A</v>
      </c>
      <c r="M248" s="68" t="e">
        <f>VLOOKUP($C248,'Daily_BU설비데이터 '!$C$20:$T$1000,11,0)</f>
        <v>#N/A</v>
      </c>
      <c r="N248" s="68" t="e">
        <f>VLOOKUP($C248,'Daily_BU설비데이터 '!$C$20:$T$1000,12,0)</f>
        <v>#N/A</v>
      </c>
      <c r="O248" s="68" t="e">
        <f>VLOOKUP($C248,'Daily_BU설비데이터 '!$C$20:$T$1000,13,0)</f>
        <v>#N/A</v>
      </c>
      <c r="P248" s="68" t="e">
        <f>VLOOKUP($C248,'Daily_BU설비데이터 '!$C$20:$T$1000,14,0)</f>
        <v>#N/A</v>
      </c>
      <c r="Q248" s="99" t="e">
        <f t="shared" si="40"/>
        <v>#N/A</v>
      </c>
      <c r="R248" s="100" t="e">
        <f t="shared" si="41"/>
        <v>#N/A</v>
      </c>
      <c r="S248" s="83" t="e">
        <f>VLOOKUP($C248,'Daily_BU설비데이터 '!$C$20:$T$1000,17,0)</f>
        <v>#N/A</v>
      </c>
      <c r="T248" s="83" t="e">
        <f>VLOOKUP($C248,'Daily_BU설비데이터 '!$C$20:$T$1000,18,0)</f>
        <v>#N/A</v>
      </c>
      <c r="U248" s="101" t="e">
        <f t="shared" si="42"/>
        <v>#N/A</v>
      </c>
      <c r="V248" s="45"/>
      <c r="W248" s="45"/>
      <c r="X248" s="45"/>
      <c r="Y248" s="45"/>
      <c r="Z248" s="45"/>
      <c r="AA248" s="45"/>
      <c r="AY248" s="66"/>
      <c r="AZ248" s="66"/>
      <c r="BA248" s="66"/>
      <c r="BB248" s="22"/>
    </row>
    <row r="249" spans="2:54" x14ac:dyDescent="0.45">
      <c r="B249" s="45" t="s">
        <v>633</v>
      </c>
      <c r="C249" s="90"/>
      <c r="D249" s="56"/>
      <c r="E249" s="80"/>
      <c r="F249" s="58" t="e">
        <f>VLOOKUP($C249,'Daily_BU설비데이터 '!$C$20:$T$1000,4,0)</f>
        <v>#N/A</v>
      </c>
      <c r="G249" s="58" t="e">
        <f>VLOOKUP($C249,'Daily_BU설비데이터 '!$C$20:$T$1000,5,0)</f>
        <v>#N/A</v>
      </c>
      <c r="H249" s="58" t="e">
        <f>VLOOKUP($C249,'Daily_BU설비데이터 '!$C$20:$T$1000,6,0)</f>
        <v>#N/A</v>
      </c>
      <c r="I249" s="58" t="e">
        <f>VLOOKUP($C249,'Daily_BU설비데이터 '!$C$20:$T$1000,7,0)</f>
        <v>#N/A</v>
      </c>
      <c r="J249" s="58" t="e">
        <f>VLOOKUP($C249,'Daily_BU설비데이터 '!$C$20:$T$1000,8,0)</f>
        <v>#N/A</v>
      </c>
      <c r="K249" s="58" t="e">
        <f>VLOOKUP($C249,'Daily_BU설비데이터 '!$C$20:$T$1000,9,0)</f>
        <v>#N/A</v>
      </c>
      <c r="L249" s="59" t="e">
        <f t="shared" si="39"/>
        <v>#N/A</v>
      </c>
      <c r="M249" s="68" t="e">
        <f>VLOOKUP($C249,'Daily_BU설비데이터 '!$C$20:$T$1000,11,0)</f>
        <v>#N/A</v>
      </c>
      <c r="N249" s="68" t="e">
        <f>VLOOKUP($C249,'Daily_BU설비데이터 '!$C$20:$T$1000,12,0)</f>
        <v>#N/A</v>
      </c>
      <c r="O249" s="68" t="e">
        <f>VLOOKUP($C249,'Daily_BU설비데이터 '!$C$20:$T$1000,13,0)</f>
        <v>#N/A</v>
      </c>
      <c r="P249" s="68" t="e">
        <f>VLOOKUP($C249,'Daily_BU설비데이터 '!$C$20:$T$1000,14,0)</f>
        <v>#N/A</v>
      </c>
      <c r="Q249" s="99" t="e">
        <f t="shared" si="40"/>
        <v>#N/A</v>
      </c>
      <c r="R249" s="100" t="e">
        <f t="shared" si="41"/>
        <v>#N/A</v>
      </c>
      <c r="S249" s="83" t="e">
        <f>VLOOKUP($C249,'Daily_BU설비데이터 '!$C$20:$T$1000,17,0)</f>
        <v>#N/A</v>
      </c>
      <c r="T249" s="83" t="e">
        <f>VLOOKUP($C249,'Daily_BU설비데이터 '!$C$20:$T$1000,18,0)</f>
        <v>#N/A</v>
      </c>
      <c r="U249" s="101" t="e">
        <f t="shared" si="42"/>
        <v>#N/A</v>
      </c>
      <c r="V249" s="45"/>
      <c r="W249" s="45"/>
      <c r="X249" s="45"/>
      <c r="Y249" s="45"/>
      <c r="Z249" s="45"/>
      <c r="AA249" s="45"/>
      <c r="AY249" s="66"/>
      <c r="AZ249" s="66"/>
      <c r="BA249" s="66"/>
      <c r="BB249" s="22"/>
    </row>
    <row r="250" spans="2:54" x14ac:dyDescent="0.45">
      <c r="B250" s="45" t="s">
        <v>634</v>
      </c>
      <c r="C250" s="90"/>
      <c r="D250" s="56"/>
      <c r="E250" s="84"/>
      <c r="F250" s="58" t="e">
        <f>VLOOKUP($C250,'Daily_BU설비데이터 '!$C$20:$T$1000,4,0)</f>
        <v>#N/A</v>
      </c>
      <c r="G250" s="58" t="e">
        <f>VLOOKUP($C250,'Daily_BU설비데이터 '!$C$20:$T$1000,5,0)</f>
        <v>#N/A</v>
      </c>
      <c r="H250" s="58" t="e">
        <f>VLOOKUP($C250,'Daily_BU설비데이터 '!$C$20:$T$1000,6,0)</f>
        <v>#N/A</v>
      </c>
      <c r="I250" s="58" t="e">
        <f>VLOOKUP($C250,'Daily_BU설비데이터 '!$C$20:$T$1000,7,0)</f>
        <v>#N/A</v>
      </c>
      <c r="J250" s="58" t="e">
        <f>VLOOKUP($C250,'Daily_BU설비데이터 '!$C$20:$T$1000,8,0)</f>
        <v>#N/A</v>
      </c>
      <c r="K250" s="58" t="e">
        <f>VLOOKUP($C250,'Daily_BU설비데이터 '!$C$20:$T$1000,9,0)</f>
        <v>#N/A</v>
      </c>
      <c r="L250" s="59" t="e">
        <f t="shared" si="39"/>
        <v>#N/A</v>
      </c>
      <c r="M250" s="68" t="e">
        <f>VLOOKUP($C250,'Daily_BU설비데이터 '!$C$20:$T$1000,11,0)</f>
        <v>#N/A</v>
      </c>
      <c r="N250" s="68" t="e">
        <f>VLOOKUP($C250,'Daily_BU설비데이터 '!$C$20:$T$1000,12,0)</f>
        <v>#N/A</v>
      </c>
      <c r="O250" s="68" t="e">
        <f>VLOOKUP($C250,'Daily_BU설비데이터 '!$C$20:$T$1000,13,0)</f>
        <v>#N/A</v>
      </c>
      <c r="P250" s="68" t="e">
        <f>VLOOKUP($C250,'Daily_BU설비데이터 '!$C$20:$T$1000,14,0)</f>
        <v>#N/A</v>
      </c>
      <c r="Q250" s="99" t="e">
        <f t="shared" si="40"/>
        <v>#N/A</v>
      </c>
      <c r="R250" s="100" t="e">
        <f t="shared" si="41"/>
        <v>#N/A</v>
      </c>
      <c r="S250" s="83" t="e">
        <f>VLOOKUP($C250,'Daily_BU설비데이터 '!$C$20:$T$1000,17,0)</f>
        <v>#N/A</v>
      </c>
      <c r="T250" s="83" t="e">
        <f>VLOOKUP($C250,'Daily_BU설비데이터 '!$C$20:$T$1000,18,0)</f>
        <v>#N/A</v>
      </c>
      <c r="U250" s="101" t="e">
        <f t="shared" si="42"/>
        <v>#N/A</v>
      </c>
      <c r="V250" s="45"/>
      <c r="W250" s="45"/>
      <c r="X250" s="45"/>
      <c r="Y250" s="45"/>
      <c r="Z250" s="45"/>
      <c r="AA250" s="45"/>
      <c r="AY250" s="66"/>
      <c r="AZ250" s="66"/>
      <c r="BA250" s="66"/>
      <c r="BB250" s="22"/>
    </row>
    <row r="251" spans="2:54" x14ac:dyDescent="0.45">
      <c r="B251" s="45" t="s">
        <v>635</v>
      </c>
      <c r="C251" s="90"/>
      <c r="D251" s="56"/>
      <c r="E251" s="57"/>
      <c r="F251" s="58" t="e">
        <f>VLOOKUP($C251,'Daily_BU설비데이터 '!$C$20:$T$1000,4,0)</f>
        <v>#N/A</v>
      </c>
      <c r="G251" s="58" t="e">
        <f>VLOOKUP($C251,'Daily_BU설비데이터 '!$C$20:$T$1000,5,0)</f>
        <v>#N/A</v>
      </c>
      <c r="H251" s="58" t="e">
        <f>VLOOKUP($C251,'Daily_BU설비데이터 '!$C$20:$T$1000,6,0)</f>
        <v>#N/A</v>
      </c>
      <c r="I251" s="58" t="e">
        <f>VLOOKUP($C251,'Daily_BU설비데이터 '!$C$20:$T$1000,7,0)</f>
        <v>#N/A</v>
      </c>
      <c r="J251" s="58" t="e">
        <f>VLOOKUP($C251,'Daily_BU설비데이터 '!$C$20:$T$1000,8,0)</f>
        <v>#N/A</v>
      </c>
      <c r="K251" s="58" t="e">
        <f>VLOOKUP($C251,'Daily_BU설비데이터 '!$C$20:$T$1000,9,0)</f>
        <v>#N/A</v>
      </c>
      <c r="L251" s="59" t="e">
        <f t="shared" si="39"/>
        <v>#N/A</v>
      </c>
      <c r="M251" s="68" t="e">
        <f>VLOOKUP($C251,'Daily_BU설비데이터 '!$C$20:$T$1000,11,0)</f>
        <v>#N/A</v>
      </c>
      <c r="N251" s="68" t="e">
        <f>VLOOKUP($C251,'Daily_BU설비데이터 '!$C$20:$T$1000,12,0)</f>
        <v>#N/A</v>
      </c>
      <c r="O251" s="68" t="e">
        <f>VLOOKUP($C251,'Daily_BU설비데이터 '!$C$20:$T$1000,13,0)</f>
        <v>#N/A</v>
      </c>
      <c r="P251" s="68" t="e">
        <f>VLOOKUP($C251,'Daily_BU설비데이터 '!$C$20:$T$1000,14,0)</f>
        <v>#N/A</v>
      </c>
      <c r="Q251" s="99" t="e">
        <f t="shared" si="40"/>
        <v>#N/A</v>
      </c>
      <c r="R251" s="100" t="e">
        <f t="shared" si="41"/>
        <v>#N/A</v>
      </c>
      <c r="S251" s="83" t="e">
        <f>VLOOKUP($C251,'Daily_BU설비데이터 '!$C$20:$T$1000,17,0)</f>
        <v>#N/A</v>
      </c>
      <c r="T251" s="83" t="e">
        <f>VLOOKUP($C251,'Daily_BU설비데이터 '!$C$20:$T$1000,18,0)</f>
        <v>#N/A</v>
      </c>
      <c r="U251" s="101" t="e">
        <f t="shared" si="42"/>
        <v>#N/A</v>
      </c>
      <c r="V251" s="45"/>
      <c r="W251" s="45"/>
      <c r="X251" s="45"/>
      <c r="Y251" s="45"/>
      <c r="Z251" s="45"/>
      <c r="AA251" s="45"/>
      <c r="AY251" s="66"/>
      <c r="AZ251" s="66"/>
      <c r="BA251" s="66"/>
      <c r="BB251" s="22"/>
    </row>
    <row r="252" spans="2:54" x14ac:dyDescent="0.45">
      <c r="B252" s="45" t="s">
        <v>636</v>
      </c>
      <c r="C252" s="90"/>
      <c r="D252" s="56"/>
      <c r="E252" s="80"/>
      <c r="F252" s="58" t="e">
        <f>VLOOKUP($C252,'Daily_BU설비데이터 '!$C$20:$T$1000,4,0)</f>
        <v>#N/A</v>
      </c>
      <c r="G252" s="58" t="e">
        <f>VLOOKUP($C252,'Daily_BU설비데이터 '!$C$20:$T$1000,5,0)</f>
        <v>#N/A</v>
      </c>
      <c r="H252" s="58" t="e">
        <f>VLOOKUP($C252,'Daily_BU설비데이터 '!$C$20:$T$1000,6,0)</f>
        <v>#N/A</v>
      </c>
      <c r="I252" s="58" t="e">
        <f>VLOOKUP($C252,'Daily_BU설비데이터 '!$C$20:$T$1000,7,0)</f>
        <v>#N/A</v>
      </c>
      <c r="J252" s="58" t="e">
        <f>VLOOKUP($C252,'Daily_BU설비데이터 '!$C$20:$T$1000,8,0)</f>
        <v>#N/A</v>
      </c>
      <c r="K252" s="58" t="e">
        <f>VLOOKUP($C252,'Daily_BU설비데이터 '!$C$20:$T$1000,9,0)</f>
        <v>#N/A</v>
      </c>
      <c r="L252" s="59" t="e">
        <f t="shared" si="39"/>
        <v>#N/A</v>
      </c>
      <c r="M252" s="68" t="e">
        <f>VLOOKUP($C252,'Daily_BU설비데이터 '!$C$20:$T$1000,11,0)</f>
        <v>#N/A</v>
      </c>
      <c r="N252" s="68" t="e">
        <f>VLOOKUP($C252,'Daily_BU설비데이터 '!$C$20:$T$1000,12,0)</f>
        <v>#N/A</v>
      </c>
      <c r="O252" s="68" t="e">
        <f>VLOOKUP($C252,'Daily_BU설비데이터 '!$C$20:$T$1000,13,0)</f>
        <v>#N/A</v>
      </c>
      <c r="P252" s="68" t="e">
        <f>VLOOKUP($C252,'Daily_BU설비데이터 '!$C$20:$T$1000,14,0)</f>
        <v>#N/A</v>
      </c>
      <c r="Q252" s="99" t="e">
        <f t="shared" si="40"/>
        <v>#N/A</v>
      </c>
      <c r="R252" s="100" t="e">
        <f t="shared" si="41"/>
        <v>#N/A</v>
      </c>
      <c r="S252" s="83" t="e">
        <f>VLOOKUP($C252,'Daily_BU설비데이터 '!$C$20:$T$1000,17,0)</f>
        <v>#N/A</v>
      </c>
      <c r="T252" s="83" t="e">
        <f>VLOOKUP($C252,'Daily_BU설비데이터 '!$C$20:$T$1000,18,0)</f>
        <v>#N/A</v>
      </c>
      <c r="U252" s="101" t="e">
        <f t="shared" si="42"/>
        <v>#N/A</v>
      </c>
      <c r="V252" s="45"/>
      <c r="W252" s="45"/>
      <c r="X252" s="45"/>
      <c r="Y252" s="45"/>
      <c r="Z252" s="45"/>
      <c r="AA252" s="45"/>
      <c r="AY252" s="66"/>
      <c r="AZ252" s="66"/>
      <c r="BA252" s="66"/>
      <c r="BB252" s="22"/>
    </row>
    <row r="253" spans="2:54" x14ac:dyDescent="0.45">
      <c r="B253" s="45" t="s">
        <v>637</v>
      </c>
      <c r="C253" s="90"/>
      <c r="D253" s="56"/>
      <c r="E253" s="84"/>
      <c r="F253" s="58" t="e">
        <f>VLOOKUP($C253,'Daily_BU설비데이터 '!$C$20:$T$1000,4,0)</f>
        <v>#N/A</v>
      </c>
      <c r="G253" s="58" t="e">
        <f>VLOOKUP($C253,'Daily_BU설비데이터 '!$C$20:$T$1000,5,0)</f>
        <v>#N/A</v>
      </c>
      <c r="H253" s="58" t="e">
        <f>VLOOKUP($C253,'Daily_BU설비데이터 '!$C$20:$T$1000,6,0)</f>
        <v>#N/A</v>
      </c>
      <c r="I253" s="58" t="e">
        <f>VLOOKUP($C253,'Daily_BU설비데이터 '!$C$20:$T$1000,7,0)</f>
        <v>#N/A</v>
      </c>
      <c r="J253" s="58" t="e">
        <f>VLOOKUP($C253,'Daily_BU설비데이터 '!$C$20:$T$1000,8,0)</f>
        <v>#N/A</v>
      </c>
      <c r="K253" s="58" t="e">
        <f>VLOOKUP($C253,'Daily_BU설비데이터 '!$C$20:$T$1000,9,0)</f>
        <v>#N/A</v>
      </c>
      <c r="L253" s="59" t="e">
        <f t="shared" si="39"/>
        <v>#N/A</v>
      </c>
      <c r="M253" s="68" t="e">
        <f>VLOOKUP($C253,'Daily_BU설비데이터 '!$C$20:$T$1000,11,0)</f>
        <v>#N/A</v>
      </c>
      <c r="N253" s="68" t="e">
        <f>VLOOKUP($C253,'Daily_BU설비데이터 '!$C$20:$T$1000,12,0)</f>
        <v>#N/A</v>
      </c>
      <c r="O253" s="68" t="e">
        <f>VLOOKUP($C253,'Daily_BU설비데이터 '!$C$20:$T$1000,13,0)</f>
        <v>#N/A</v>
      </c>
      <c r="P253" s="68" t="e">
        <f>VLOOKUP($C253,'Daily_BU설비데이터 '!$C$20:$T$1000,14,0)</f>
        <v>#N/A</v>
      </c>
      <c r="Q253" s="99" t="e">
        <f t="shared" si="40"/>
        <v>#N/A</v>
      </c>
      <c r="R253" s="100" t="e">
        <f t="shared" si="41"/>
        <v>#N/A</v>
      </c>
      <c r="S253" s="83" t="e">
        <f>VLOOKUP($C253,'Daily_BU설비데이터 '!$C$20:$T$1000,17,0)</f>
        <v>#N/A</v>
      </c>
      <c r="T253" s="83" t="e">
        <f>VLOOKUP($C253,'Daily_BU설비데이터 '!$C$20:$T$1000,18,0)</f>
        <v>#N/A</v>
      </c>
      <c r="U253" s="101" t="e">
        <f t="shared" si="42"/>
        <v>#N/A</v>
      </c>
      <c r="V253" s="45"/>
      <c r="W253" s="45"/>
      <c r="X253" s="45"/>
      <c r="Y253" s="45"/>
      <c r="Z253" s="45"/>
      <c r="AA253" s="45"/>
      <c r="AY253" s="66"/>
      <c r="AZ253" s="66"/>
      <c r="BA253" s="66"/>
      <c r="BB253" s="22"/>
    </row>
    <row r="254" spans="2:54" x14ac:dyDescent="0.45">
      <c r="B254" s="45" t="s">
        <v>638</v>
      </c>
      <c r="C254" s="90"/>
      <c r="D254" s="56"/>
      <c r="E254" s="57"/>
      <c r="F254" s="58" t="e">
        <f>VLOOKUP($C254,'Daily_BU설비데이터 '!$C$20:$T$1000,4,0)</f>
        <v>#N/A</v>
      </c>
      <c r="G254" s="58" t="e">
        <f>VLOOKUP($C254,'Daily_BU설비데이터 '!$C$20:$T$1000,5,0)</f>
        <v>#N/A</v>
      </c>
      <c r="H254" s="58" t="e">
        <f>VLOOKUP($C254,'Daily_BU설비데이터 '!$C$20:$T$1000,6,0)</f>
        <v>#N/A</v>
      </c>
      <c r="I254" s="58" t="e">
        <f>VLOOKUP($C254,'Daily_BU설비데이터 '!$C$20:$T$1000,7,0)</f>
        <v>#N/A</v>
      </c>
      <c r="J254" s="58" t="e">
        <f>VLOOKUP($C254,'Daily_BU설비데이터 '!$C$20:$T$1000,8,0)</f>
        <v>#N/A</v>
      </c>
      <c r="K254" s="58" t="e">
        <f>VLOOKUP($C254,'Daily_BU설비데이터 '!$C$20:$T$1000,9,0)</f>
        <v>#N/A</v>
      </c>
      <c r="L254" s="59" t="e">
        <f t="shared" si="39"/>
        <v>#N/A</v>
      </c>
      <c r="M254" s="68" t="e">
        <f>VLOOKUP($C254,'Daily_BU설비데이터 '!$C$20:$T$1000,11,0)</f>
        <v>#N/A</v>
      </c>
      <c r="N254" s="68" t="e">
        <f>VLOOKUP($C254,'Daily_BU설비데이터 '!$C$20:$T$1000,12,0)</f>
        <v>#N/A</v>
      </c>
      <c r="O254" s="68" t="e">
        <f>VLOOKUP($C254,'Daily_BU설비데이터 '!$C$20:$T$1000,13,0)</f>
        <v>#N/A</v>
      </c>
      <c r="P254" s="68" t="e">
        <f>VLOOKUP($C254,'Daily_BU설비데이터 '!$C$20:$T$1000,14,0)</f>
        <v>#N/A</v>
      </c>
      <c r="Q254" s="99" t="e">
        <f t="shared" si="40"/>
        <v>#N/A</v>
      </c>
      <c r="R254" s="100" t="e">
        <f t="shared" si="41"/>
        <v>#N/A</v>
      </c>
      <c r="S254" s="83" t="e">
        <f>VLOOKUP($C254,'Daily_BU설비데이터 '!$C$20:$T$1000,17,0)</f>
        <v>#N/A</v>
      </c>
      <c r="T254" s="83" t="e">
        <f>VLOOKUP($C254,'Daily_BU설비데이터 '!$C$20:$T$1000,18,0)</f>
        <v>#N/A</v>
      </c>
      <c r="U254" s="101" t="e">
        <f t="shared" si="42"/>
        <v>#N/A</v>
      </c>
      <c r="V254" s="45"/>
      <c r="W254" s="45"/>
      <c r="X254" s="45"/>
      <c r="Y254" s="45"/>
      <c r="Z254" s="45"/>
      <c r="AA254" s="45"/>
      <c r="AY254" s="66"/>
      <c r="AZ254" s="66"/>
      <c r="BA254" s="66"/>
      <c r="BB254" s="22"/>
    </row>
    <row r="255" spans="2:54" x14ac:dyDescent="0.45">
      <c r="B255" s="45" t="s">
        <v>639</v>
      </c>
      <c r="C255" s="90"/>
      <c r="D255" s="56"/>
      <c r="E255" s="80"/>
      <c r="F255" s="58" t="e">
        <f>VLOOKUP($C255,'Daily_BU설비데이터 '!$C$20:$T$1000,4,0)</f>
        <v>#N/A</v>
      </c>
      <c r="G255" s="58" t="e">
        <f>VLOOKUP($C255,'Daily_BU설비데이터 '!$C$20:$T$1000,5,0)</f>
        <v>#N/A</v>
      </c>
      <c r="H255" s="58" t="e">
        <f>VLOOKUP($C255,'Daily_BU설비데이터 '!$C$20:$T$1000,6,0)</f>
        <v>#N/A</v>
      </c>
      <c r="I255" s="58" t="e">
        <f>VLOOKUP($C255,'Daily_BU설비데이터 '!$C$20:$T$1000,7,0)</f>
        <v>#N/A</v>
      </c>
      <c r="J255" s="58" t="e">
        <f>VLOOKUP($C255,'Daily_BU설비데이터 '!$C$20:$T$1000,8,0)</f>
        <v>#N/A</v>
      </c>
      <c r="K255" s="58" t="e">
        <f>VLOOKUP($C255,'Daily_BU설비데이터 '!$C$20:$T$1000,9,0)</f>
        <v>#N/A</v>
      </c>
      <c r="L255" s="59" t="e">
        <f t="shared" si="39"/>
        <v>#N/A</v>
      </c>
      <c r="M255" s="68" t="e">
        <f>VLOOKUP($C255,'Daily_BU설비데이터 '!$C$20:$T$1000,11,0)</f>
        <v>#N/A</v>
      </c>
      <c r="N255" s="68" t="e">
        <f>VLOOKUP($C255,'Daily_BU설비데이터 '!$C$20:$T$1000,12,0)</f>
        <v>#N/A</v>
      </c>
      <c r="O255" s="68" t="e">
        <f>VLOOKUP($C255,'Daily_BU설비데이터 '!$C$20:$T$1000,13,0)</f>
        <v>#N/A</v>
      </c>
      <c r="P255" s="68" t="e">
        <f>VLOOKUP($C255,'Daily_BU설비데이터 '!$C$20:$T$1000,14,0)</f>
        <v>#N/A</v>
      </c>
      <c r="Q255" s="99" t="e">
        <f t="shared" si="40"/>
        <v>#N/A</v>
      </c>
      <c r="R255" s="100" t="e">
        <f t="shared" si="41"/>
        <v>#N/A</v>
      </c>
      <c r="S255" s="83" t="e">
        <f>VLOOKUP($C255,'Daily_BU설비데이터 '!$C$20:$T$1000,17,0)</f>
        <v>#N/A</v>
      </c>
      <c r="T255" s="83" t="e">
        <f>VLOOKUP($C255,'Daily_BU설비데이터 '!$C$20:$T$1000,18,0)</f>
        <v>#N/A</v>
      </c>
      <c r="U255" s="101" t="e">
        <f t="shared" si="42"/>
        <v>#N/A</v>
      </c>
      <c r="V255" s="45"/>
      <c r="W255" s="45"/>
      <c r="X255" s="45"/>
      <c r="Y255" s="45"/>
      <c r="Z255" s="45"/>
      <c r="AA255" s="45"/>
      <c r="AY255" s="66"/>
      <c r="AZ255" s="66"/>
      <c r="BA255" s="66"/>
      <c r="BB255" s="22"/>
    </row>
    <row r="256" spans="2:54" x14ac:dyDescent="0.45">
      <c r="B256" s="45" t="s">
        <v>640</v>
      </c>
      <c r="C256" s="90"/>
      <c r="D256" s="56"/>
      <c r="E256" s="84"/>
      <c r="F256" s="58" t="e">
        <f>VLOOKUP($C256,'Daily_BU설비데이터 '!$C$20:$T$1000,4,0)</f>
        <v>#N/A</v>
      </c>
      <c r="G256" s="58" t="e">
        <f>VLOOKUP($C256,'Daily_BU설비데이터 '!$C$20:$T$1000,5,0)</f>
        <v>#N/A</v>
      </c>
      <c r="H256" s="58" t="e">
        <f>VLOOKUP($C256,'Daily_BU설비데이터 '!$C$20:$T$1000,6,0)</f>
        <v>#N/A</v>
      </c>
      <c r="I256" s="58" t="e">
        <f>VLOOKUP($C256,'Daily_BU설비데이터 '!$C$20:$T$1000,7,0)</f>
        <v>#N/A</v>
      </c>
      <c r="J256" s="58" t="e">
        <f>VLOOKUP($C256,'Daily_BU설비데이터 '!$C$20:$T$1000,8,0)</f>
        <v>#N/A</v>
      </c>
      <c r="K256" s="58" t="e">
        <f>VLOOKUP($C256,'Daily_BU설비데이터 '!$C$20:$T$1000,9,0)</f>
        <v>#N/A</v>
      </c>
      <c r="L256" s="59" t="e">
        <f t="shared" si="39"/>
        <v>#N/A</v>
      </c>
      <c r="M256" s="68" t="e">
        <f>VLOOKUP($C256,'Daily_BU설비데이터 '!$C$20:$T$1000,11,0)</f>
        <v>#N/A</v>
      </c>
      <c r="N256" s="68" t="e">
        <f>VLOOKUP($C256,'Daily_BU설비데이터 '!$C$20:$T$1000,12,0)</f>
        <v>#N/A</v>
      </c>
      <c r="O256" s="68" t="e">
        <f>VLOOKUP($C256,'Daily_BU설비데이터 '!$C$20:$T$1000,13,0)</f>
        <v>#N/A</v>
      </c>
      <c r="P256" s="68" t="e">
        <f>VLOOKUP($C256,'Daily_BU설비데이터 '!$C$20:$T$1000,14,0)</f>
        <v>#N/A</v>
      </c>
      <c r="Q256" s="99" t="e">
        <f t="shared" si="40"/>
        <v>#N/A</v>
      </c>
      <c r="R256" s="100" t="e">
        <f t="shared" si="41"/>
        <v>#N/A</v>
      </c>
      <c r="S256" s="83" t="e">
        <f>VLOOKUP($C256,'Daily_BU설비데이터 '!$C$20:$T$1000,17,0)</f>
        <v>#N/A</v>
      </c>
      <c r="T256" s="83" t="e">
        <f>VLOOKUP($C256,'Daily_BU설비데이터 '!$C$20:$T$1000,18,0)</f>
        <v>#N/A</v>
      </c>
      <c r="U256" s="101" t="e">
        <f t="shared" si="42"/>
        <v>#N/A</v>
      </c>
      <c r="V256" s="45"/>
      <c r="W256" s="45"/>
      <c r="X256" s="45"/>
      <c r="Y256" s="45"/>
      <c r="Z256" s="45"/>
      <c r="AA256" s="45"/>
      <c r="AY256" s="66"/>
      <c r="AZ256" s="66"/>
      <c r="BA256" s="66"/>
      <c r="BB256" s="22"/>
    </row>
    <row r="257" spans="2:54" x14ac:dyDescent="0.45">
      <c r="B257" s="45" t="s">
        <v>641</v>
      </c>
      <c r="C257" s="90"/>
      <c r="D257" s="56"/>
      <c r="E257" s="57"/>
      <c r="F257" s="58" t="e">
        <f>VLOOKUP($C257,'Daily_BU설비데이터 '!$C$20:$T$1000,4,0)</f>
        <v>#N/A</v>
      </c>
      <c r="G257" s="58" t="e">
        <f>VLOOKUP($C257,'Daily_BU설비데이터 '!$C$20:$T$1000,5,0)</f>
        <v>#N/A</v>
      </c>
      <c r="H257" s="58" t="e">
        <f>VLOOKUP($C257,'Daily_BU설비데이터 '!$C$20:$T$1000,6,0)</f>
        <v>#N/A</v>
      </c>
      <c r="I257" s="58" t="e">
        <f>VLOOKUP($C257,'Daily_BU설비데이터 '!$C$20:$T$1000,7,0)</f>
        <v>#N/A</v>
      </c>
      <c r="J257" s="58" t="e">
        <f>VLOOKUP($C257,'Daily_BU설비데이터 '!$C$20:$T$1000,8,0)</f>
        <v>#N/A</v>
      </c>
      <c r="K257" s="58" t="e">
        <f>VLOOKUP($C257,'Daily_BU설비데이터 '!$C$20:$T$1000,9,0)</f>
        <v>#N/A</v>
      </c>
      <c r="L257" s="59" t="e">
        <f t="shared" si="39"/>
        <v>#N/A</v>
      </c>
      <c r="M257" s="68" t="e">
        <f>VLOOKUP($C257,'Daily_BU설비데이터 '!$C$20:$T$1000,11,0)</f>
        <v>#N/A</v>
      </c>
      <c r="N257" s="68" t="e">
        <f>VLOOKUP($C257,'Daily_BU설비데이터 '!$C$20:$T$1000,12,0)</f>
        <v>#N/A</v>
      </c>
      <c r="O257" s="68" t="e">
        <f>VLOOKUP($C257,'Daily_BU설비데이터 '!$C$20:$T$1000,13,0)</f>
        <v>#N/A</v>
      </c>
      <c r="P257" s="68" t="e">
        <f>VLOOKUP($C257,'Daily_BU설비데이터 '!$C$20:$T$1000,14,0)</f>
        <v>#N/A</v>
      </c>
      <c r="Q257" s="99" t="e">
        <f t="shared" si="40"/>
        <v>#N/A</v>
      </c>
      <c r="R257" s="100" t="e">
        <f t="shared" si="41"/>
        <v>#N/A</v>
      </c>
      <c r="S257" s="83" t="e">
        <f>VLOOKUP($C257,'Daily_BU설비데이터 '!$C$20:$T$1000,17,0)</f>
        <v>#N/A</v>
      </c>
      <c r="T257" s="83" t="e">
        <f>VLOOKUP($C257,'Daily_BU설비데이터 '!$C$20:$T$1000,18,0)</f>
        <v>#N/A</v>
      </c>
      <c r="U257" s="101" t="e">
        <f t="shared" si="42"/>
        <v>#N/A</v>
      </c>
      <c r="V257" s="45"/>
      <c r="W257" s="45"/>
      <c r="X257" s="45"/>
      <c r="Y257" s="45"/>
      <c r="Z257" s="45"/>
      <c r="AA257" s="45"/>
      <c r="AY257" s="66"/>
      <c r="AZ257" s="66"/>
      <c r="BA257" s="66"/>
      <c r="BB257" s="22"/>
    </row>
    <row r="258" spans="2:54" x14ac:dyDescent="0.45">
      <c r="B258" s="45" t="s">
        <v>642</v>
      </c>
      <c r="C258" s="90"/>
      <c r="D258" s="56"/>
      <c r="E258" s="80"/>
      <c r="F258" s="58" t="e">
        <f>VLOOKUP($C258,'Daily_BU설비데이터 '!$C$20:$T$1000,4,0)</f>
        <v>#N/A</v>
      </c>
      <c r="G258" s="58" t="e">
        <f>VLOOKUP($C258,'Daily_BU설비데이터 '!$C$20:$T$1000,5,0)</f>
        <v>#N/A</v>
      </c>
      <c r="H258" s="58" t="e">
        <f>VLOOKUP($C258,'Daily_BU설비데이터 '!$C$20:$T$1000,6,0)</f>
        <v>#N/A</v>
      </c>
      <c r="I258" s="58" t="e">
        <f>VLOOKUP($C258,'Daily_BU설비데이터 '!$C$20:$T$1000,7,0)</f>
        <v>#N/A</v>
      </c>
      <c r="J258" s="58" t="e">
        <f>VLOOKUP($C258,'Daily_BU설비데이터 '!$C$20:$T$1000,8,0)</f>
        <v>#N/A</v>
      </c>
      <c r="K258" s="58" t="e">
        <f>VLOOKUP($C258,'Daily_BU설비데이터 '!$C$20:$T$1000,9,0)</f>
        <v>#N/A</v>
      </c>
      <c r="L258" s="59" t="e">
        <f t="shared" si="39"/>
        <v>#N/A</v>
      </c>
      <c r="M258" s="68" t="e">
        <f>VLOOKUP($C258,'Daily_BU설비데이터 '!$C$20:$T$1000,11,0)</f>
        <v>#N/A</v>
      </c>
      <c r="N258" s="68" t="e">
        <f>VLOOKUP($C258,'Daily_BU설비데이터 '!$C$20:$T$1000,12,0)</f>
        <v>#N/A</v>
      </c>
      <c r="O258" s="68" t="e">
        <f>VLOOKUP($C258,'Daily_BU설비데이터 '!$C$20:$T$1000,13,0)</f>
        <v>#N/A</v>
      </c>
      <c r="P258" s="68" t="e">
        <f>VLOOKUP($C258,'Daily_BU설비데이터 '!$C$20:$T$1000,14,0)</f>
        <v>#N/A</v>
      </c>
      <c r="Q258" s="99" t="e">
        <f t="shared" si="40"/>
        <v>#N/A</v>
      </c>
      <c r="R258" s="100" t="e">
        <f t="shared" si="41"/>
        <v>#N/A</v>
      </c>
      <c r="S258" s="83" t="e">
        <f>VLOOKUP($C258,'Daily_BU설비데이터 '!$C$20:$T$1000,17,0)</f>
        <v>#N/A</v>
      </c>
      <c r="T258" s="83" t="e">
        <f>VLOOKUP($C258,'Daily_BU설비데이터 '!$C$20:$T$1000,18,0)</f>
        <v>#N/A</v>
      </c>
      <c r="U258" s="101" t="e">
        <f t="shared" si="42"/>
        <v>#N/A</v>
      </c>
      <c r="V258" s="45"/>
      <c r="W258" s="45"/>
      <c r="X258" s="45"/>
      <c r="Y258" s="45"/>
      <c r="Z258" s="45"/>
      <c r="AA258" s="45"/>
      <c r="AY258" s="66"/>
      <c r="AZ258" s="66"/>
      <c r="BA258" s="66"/>
      <c r="BB258" s="22"/>
    </row>
    <row r="259" spans="2:54" x14ac:dyDescent="0.45">
      <c r="B259" s="45" t="s">
        <v>643</v>
      </c>
      <c r="C259" s="90"/>
      <c r="D259" s="56"/>
      <c r="E259" s="84"/>
      <c r="F259" s="58" t="e">
        <f>VLOOKUP($C259,'Daily_BU설비데이터 '!$C$20:$T$1000,4,0)</f>
        <v>#N/A</v>
      </c>
      <c r="G259" s="58" t="e">
        <f>VLOOKUP($C259,'Daily_BU설비데이터 '!$C$20:$T$1000,5,0)</f>
        <v>#N/A</v>
      </c>
      <c r="H259" s="58" t="e">
        <f>VLOOKUP($C259,'Daily_BU설비데이터 '!$C$20:$T$1000,6,0)</f>
        <v>#N/A</v>
      </c>
      <c r="I259" s="58" t="e">
        <f>VLOOKUP($C259,'Daily_BU설비데이터 '!$C$20:$T$1000,7,0)</f>
        <v>#N/A</v>
      </c>
      <c r="J259" s="58" t="e">
        <f>VLOOKUP($C259,'Daily_BU설비데이터 '!$C$20:$T$1000,8,0)</f>
        <v>#N/A</v>
      </c>
      <c r="K259" s="58" t="e">
        <f>VLOOKUP($C259,'Daily_BU설비데이터 '!$C$20:$T$1000,9,0)</f>
        <v>#N/A</v>
      </c>
      <c r="L259" s="59" t="e">
        <f t="shared" si="39"/>
        <v>#N/A</v>
      </c>
      <c r="M259" s="68" t="e">
        <f>VLOOKUP($C259,'Daily_BU설비데이터 '!$C$20:$T$1000,11,0)</f>
        <v>#N/A</v>
      </c>
      <c r="N259" s="68" t="e">
        <f>VLOOKUP($C259,'Daily_BU설비데이터 '!$C$20:$T$1000,12,0)</f>
        <v>#N/A</v>
      </c>
      <c r="O259" s="68" t="e">
        <f>VLOOKUP($C259,'Daily_BU설비데이터 '!$C$20:$T$1000,13,0)</f>
        <v>#N/A</v>
      </c>
      <c r="P259" s="68" t="e">
        <f>VLOOKUP($C259,'Daily_BU설비데이터 '!$C$20:$T$1000,14,0)</f>
        <v>#N/A</v>
      </c>
      <c r="Q259" s="99" t="e">
        <f t="shared" si="40"/>
        <v>#N/A</v>
      </c>
      <c r="R259" s="100" t="e">
        <f t="shared" si="41"/>
        <v>#N/A</v>
      </c>
      <c r="S259" s="83" t="e">
        <f>VLOOKUP($C259,'Daily_BU설비데이터 '!$C$20:$T$1000,17,0)</f>
        <v>#N/A</v>
      </c>
      <c r="T259" s="83" t="e">
        <f>VLOOKUP($C259,'Daily_BU설비데이터 '!$C$20:$T$1000,18,0)</f>
        <v>#N/A</v>
      </c>
      <c r="U259" s="101" t="e">
        <f t="shared" si="42"/>
        <v>#N/A</v>
      </c>
      <c r="V259" s="45"/>
      <c r="W259" s="45"/>
      <c r="X259" s="45"/>
      <c r="Y259" s="45"/>
      <c r="Z259" s="45"/>
      <c r="AA259" s="45"/>
      <c r="AY259" s="66"/>
      <c r="AZ259" s="66"/>
      <c r="BA259" s="66"/>
      <c r="BB259" s="22"/>
    </row>
    <row r="260" spans="2:54" x14ac:dyDescent="0.45">
      <c r="B260" s="45" t="s">
        <v>644</v>
      </c>
      <c r="C260" s="90"/>
      <c r="D260" s="56"/>
      <c r="E260" s="57"/>
      <c r="F260" s="58" t="e">
        <f>VLOOKUP($C260,'Daily_BU설비데이터 '!$C$20:$T$1000,4,0)</f>
        <v>#N/A</v>
      </c>
      <c r="G260" s="58" t="e">
        <f>VLOOKUP($C260,'Daily_BU설비데이터 '!$C$20:$T$1000,5,0)</f>
        <v>#N/A</v>
      </c>
      <c r="H260" s="58" t="e">
        <f>VLOOKUP($C260,'Daily_BU설비데이터 '!$C$20:$T$1000,6,0)</f>
        <v>#N/A</v>
      </c>
      <c r="I260" s="58" t="e">
        <f>VLOOKUP($C260,'Daily_BU설비데이터 '!$C$20:$T$1000,7,0)</f>
        <v>#N/A</v>
      </c>
      <c r="J260" s="58" t="e">
        <f>VLOOKUP($C260,'Daily_BU설비데이터 '!$C$20:$T$1000,8,0)</f>
        <v>#N/A</v>
      </c>
      <c r="K260" s="58" t="e">
        <f>VLOOKUP($C260,'Daily_BU설비데이터 '!$C$20:$T$1000,9,0)</f>
        <v>#N/A</v>
      </c>
      <c r="L260" s="59" t="e">
        <f t="shared" si="39"/>
        <v>#N/A</v>
      </c>
      <c r="M260" s="68" t="e">
        <f>VLOOKUP($C260,'Daily_BU설비데이터 '!$C$20:$T$1000,11,0)</f>
        <v>#N/A</v>
      </c>
      <c r="N260" s="68" t="e">
        <f>VLOOKUP($C260,'Daily_BU설비데이터 '!$C$20:$T$1000,12,0)</f>
        <v>#N/A</v>
      </c>
      <c r="O260" s="68" t="e">
        <f>VLOOKUP($C260,'Daily_BU설비데이터 '!$C$20:$T$1000,13,0)</f>
        <v>#N/A</v>
      </c>
      <c r="P260" s="68" t="e">
        <f>VLOOKUP($C260,'Daily_BU설비데이터 '!$C$20:$T$1000,14,0)</f>
        <v>#N/A</v>
      </c>
      <c r="Q260" s="99" t="e">
        <f t="shared" si="40"/>
        <v>#N/A</v>
      </c>
      <c r="R260" s="100" t="e">
        <f t="shared" si="41"/>
        <v>#N/A</v>
      </c>
      <c r="S260" s="83" t="e">
        <f>VLOOKUP($C260,'Daily_BU설비데이터 '!$C$20:$T$1000,17,0)</f>
        <v>#N/A</v>
      </c>
      <c r="T260" s="83" t="e">
        <f>VLOOKUP($C260,'Daily_BU설비데이터 '!$C$20:$T$1000,18,0)</f>
        <v>#N/A</v>
      </c>
      <c r="U260" s="101" t="e">
        <f t="shared" si="42"/>
        <v>#N/A</v>
      </c>
      <c r="V260" s="45"/>
      <c r="W260" s="45"/>
      <c r="X260" s="45"/>
      <c r="Y260" s="45"/>
      <c r="Z260" s="45"/>
      <c r="AA260" s="45"/>
      <c r="AY260" s="66"/>
      <c r="AZ260" s="66"/>
      <c r="BA260" s="66"/>
      <c r="BB260" s="22"/>
    </row>
    <row r="261" spans="2:54" x14ac:dyDescent="0.45">
      <c r="B261" s="45" t="s">
        <v>645</v>
      </c>
      <c r="C261" s="90"/>
      <c r="D261" s="56"/>
      <c r="E261" s="80"/>
      <c r="F261" s="58" t="e">
        <f>VLOOKUP($C261,'Daily_BU설비데이터 '!$C$20:$T$1000,4,0)</f>
        <v>#N/A</v>
      </c>
      <c r="G261" s="58" t="e">
        <f>VLOOKUP($C261,'Daily_BU설비데이터 '!$C$20:$T$1000,5,0)</f>
        <v>#N/A</v>
      </c>
      <c r="H261" s="58" t="e">
        <f>VLOOKUP($C261,'Daily_BU설비데이터 '!$C$20:$T$1000,6,0)</f>
        <v>#N/A</v>
      </c>
      <c r="I261" s="58" t="e">
        <f>VLOOKUP($C261,'Daily_BU설비데이터 '!$C$20:$T$1000,7,0)</f>
        <v>#N/A</v>
      </c>
      <c r="J261" s="58" t="e">
        <f>VLOOKUP($C261,'Daily_BU설비데이터 '!$C$20:$T$1000,8,0)</f>
        <v>#N/A</v>
      </c>
      <c r="K261" s="58" t="e">
        <f>VLOOKUP($C261,'Daily_BU설비데이터 '!$C$20:$T$1000,9,0)</f>
        <v>#N/A</v>
      </c>
      <c r="L261" s="59" t="e">
        <f t="shared" si="39"/>
        <v>#N/A</v>
      </c>
      <c r="M261" s="68" t="e">
        <f>VLOOKUP($C261,'Daily_BU설비데이터 '!$C$20:$T$1000,11,0)</f>
        <v>#N/A</v>
      </c>
      <c r="N261" s="68" t="e">
        <f>VLOOKUP($C261,'Daily_BU설비데이터 '!$C$20:$T$1000,12,0)</f>
        <v>#N/A</v>
      </c>
      <c r="O261" s="68" t="e">
        <f>VLOOKUP($C261,'Daily_BU설비데이터 '!$C$20:$T$1000,13,0)</f>
        <v>#N/A</v>
      </c>
      <c r="P261" s="68" t="e">
        <f>VLOOKUP($C261,'Daily_BU설비데이터 '!$C$20:$T$1000,14,0)</f>
        <v>#N/A</v>
      </c>
      <c r="Q261" s="99" t="e">
        <f t="shared" si="40"/>
        <v>#N/A</v>
      </c>
      <c r="R261" s="100" t="e">
        <f t="shared" si="41"/>
        <v>#N/A</v>
      </c>
      <c r="S261" s="83" t="e">
        <f>VLOOKUP($C261,'Daily_BU설비데이터 '!$C$20:$T$1000,17,0)</f>
        <v>#N/A</v>
      </c>
      <c r="T261" s="83" t="e">
        <f>VLOOKUP($C261,'Daily_BU설비데이터 '!$C$20:$T$1000,18,0)</f>
        <v>#N/A</v>
      </c>
      <c r="U261" s="101" t="e">
        <f t="shared" si="42"/>
        <v>#N/A</v>
      </c>
      <c r="V261" s="45"/>
      <c r="W261" s="45"/>
      <c r="X261" s="45"/>
      <c r="Y261" s="45"/>
      <c r="Z261" s="45"/>
      <c r="AA261" s="45"/>
      <c r="AY261" s="66"/>
      <c r="AZ261" s="66"/>
      <c r="BA261" s="66"/>
      <c r="BB261" s="22"/>
    </row>
    <row r="262" spans="2:54" x14ac:dyDescent="0.45">
      <c r="B262" s="45" t="s">
        <v>646</v>
      </c>
      <c r="C262" s="90"/>
      <c r="D262" s="56"/>
      <c r="E262" s="84"/>
      <c r="F262" s="58" t="e">
        <f>VLOOKUP($C262,'Daily_BU설비데이터 '!$C$20:$T$1000,4,0)</f>
        <v>#N/A</v>
      </c>
      <c r="G262" s="58" t="e">
        <f>VLOOKUP($C262,'Daily_BU설비데이터 '!$C$20:$T$1000,5,0)</f>
        <v>#N/A</v>
      </c>
      <c r="H262" s="58" t="e">
        <f>VLOOKUP($C262,'Daily_BU설비데이터 '!$C$20:$T$1000,6,0)</f>
        <v>#N/A</v>
      </c>
      <c r="I262" s="58" t="e">
        <f>VLOOKUP($C262,'Daily_BU설비데이터 '!$C$20:$T$1000,7,0)</f>
        <v>#N/A</v>
      </c>
      <c r="J262" s="58" t="e">
        <f>VLOOKUP($C262,'Daily_BU설비데이터 '!$C$20:$T$1000,8,0)</f>
        <v>#N/A</v>
      </c>
      <c r="K262" s="58" t="e">
        <f>VLOOKUP($C262,'Daily_BU설비데이터 '!$C$20:$T$1000,9,0)</f>
        <v>#N/A</v>
      </c>
      <c r="L262" s="59" t="e">
        <f t="shared" si="39"/>
        <v>#N/A</v>
      </c>
      <c r="M262" s="68" t="e">
        <f>VLOOKUP($C262,'Daily_BU설비데이터 '!$C$20:$T$1000,11,0)</f>
        <v>#N/A</v>
      </c>
      <c r="N262" s="68" t="e">
        <f>VLOOKUP($C262,'Daily_BU설비데이터 '!$C$20:$T$1000,12,0)</f>
        <v>#N/A</v>
      </c>
      <c r="O262" s="68" t="e">
        <f>VLOOKUP($C262,'Daily_BU설비데이터 '!$C$20:$T$1000,13,0)</f>
        <v>#N/A</v>
      </c>
      <c r="P262" s="68" t="e">
        <f>VLOOKUP($C262,'Daily_BU설비데이터 '!$C$20:$T$1000,14,0)</f>
        <v>#N/A</v>
      </c>
      <c r="Q262" s="99" t="e">
        <f t="shared" si="40"/>
        <v>#N/A</v>
      </c>
      <c r="R262" s="100" t="e">
        <f t="shared" si="41"/>
        <v>#N/A</v>
      </c>
      <c r="S262" s="83" t="e">
        <f>VLOOKUP($C262,'Daily_BU설비데이터 '!$C$20:$T$1000,17,0)</f>
        <v>#N/A</v>
      </c>
      <c r="T262" s="83" t="e">
        <f>VLOOKUP($C262,'Daily_BU설비데이터 '!$C$20:$T$1000,18,0)</f>
        <v>#N/A</v>
      </c>
      <c r="U262" s="101" t="e">
        <f t="shared" si="42"/>
        <v>#N/A</v>
      </c>
      <c r="V262" s="45"/>
      <c r="W262" s="45"/>
      <c r="X262" s="45"/>
      <c r="Y262" s="45"/>
      <c r="Z262" s="45"/>
      <c r="AA262" s="45"/>
      <c r="AY262" s="66"/>
      <c r="AZ262" s="66"/>
      <c r="BA262" s="66"/>
      <c r="BB262" s="22"/>
    </row>
    <row r="263" spans="2:54" x14ac:dyDescent="0.45">
      <c r="B263" s="45" t="s">
        <v>647</v>
      </c>
      <c r="C263" s="90"/>
      <c r="D263" s="56"/>
      <c r="E263" s="57"/>
      <c r="F263" s="58" t="e">
        <f>VLOOKUP($C263,'Daily_BU설비데이터 '!$C$20:$T$1000,4,0)</f>
        <v>#N/A</v>
      </c>
      <c r="G263" s="58" t="e">
        <f>VLOOKUP($C263,'Daily_BU설비데이터 '!$C$20:$T$1000,5,0)</f>
        <v>#N/A</v>
      </c>
      <c r="H263" s="58" t="e">
        <f>VLOOKUP($C263,'Daily_BU설비데이터 '!$C$20:$T$1000,6,0)</f>
        <v>#N/A</v>
      </c>
      <c r="I263" s="58" t="e">
        <f>VLOOKUP($C263,'Daily_BU설비데이터 '!$C$20:$T$1000,7,0)</f>
        <v>#N/A</v>
      </c>
      <c r="J263" s="58" t="e">
        <f>VLOOKUP($C263,'Daily_BU설비데이터 '!$C$20:$T$1000,8,0)</f>
        <v>#N/A</v>
      </c>
      <c r="K263" s="58" t="e">
        <f>VLOOKUP($C263,'Daily_BU설비데이터 '!$C$20:$T$1000,9,0)</f>
        <v>#N/A</v>
      </c>
      <c r="L263" s="59" t="e">
        <f t="shared" si="39"/>
        <v>#N/A</v>
      </c>
      <c r="M263" s="68" t="e">
        <f>VLOOKUP($C263,'Daily_BU설비데이터 '!$C$20:$T$1000,11,0)</f>
        <v>#N/A</v>
      </c>
      <c r="N263" s="68" t="e">
        <f>VLOOKUP($C263,'Daily_BU설비데이터 '!$C$20:$T$1000,12,0)</f>
        <v>#N/A</v>
      </c>
      <c r="O263" s="68" t="e">
        <f>VLOOKUP($C263,'Daily_BU설비데이터 '!$C$20:$T$1000,13,0)</f>
        <v>#N/A</v>
      </c>
      <c r="P263" s="68" t="e">
        <f>VLOOKUP($C263,'Daily_BU설비데이터 '!$C$20:$T$1000,14,0)</f>
        <v>#N/A</v>
      </c>
      <c r="Q263" s="99" t="e">
        <f t="shared" si="40"/>
        <v>#N/A</v>
      </c>
      <c r="R263" s="100" t="e">
        <f t="shared" si="41"/>
        <v>#N/A</v>
      </c>
      <c r="S263" s="83" t="e">
        <f>VLOOKUP($C263,'Daily_BU설비데이터 '!$C$20:$T$1000,17,0)</f>
        <v>#N/A</v>
      </c>
      <c r="T263" s="83" t="e">
        <f>VLOOKUP($C263,'Daily_BU설비데이터 '!$C$20:$T$1000,18,0)</f>
        <v>#N/A</v>
      </c>
      <c r="U263" s="101" t="e">
        <f t="shared" si="42"/>
        <v>#N/A</v>
      </c>
      <c r="V263" s="45"/>
      <c r="W263" s="45"/>
      <c r="X263" s="45"/>
      <c r="Y263" s="45"/>
      <c r="Z263" s="45"/>
      <c r="AA263" s="45"/>
      <c r="AY263" s="66"/>
      <c r="AZ263" s="66"/>
      <c r="BA263" s="66"/>
      <c r="BB263" s="22"/>
    </row>
    <row r="264" spans="2:54" x14ac:dyDescent="0.45">
      <c r="B264" s="45" t="s">
        <v>648</v>
      </c>
      <c r="C264" s="90"/>
      <c r="D264" s="56"/>
      <c r="E264" s="80"/>
      <c r="F264" s="58" t="e">
        <f>VLOOKUP($C264,'Daily_BU설비데이터 '!$C$20:$T$1000,4,0)</f>
        <v>#N/A</v>
      </c>
      <c r="G264" s="58" t="e">
        <f>VLOOKUP($C264,'Daily_BU설비데이터 '!$C$20:$T$1000,5,0)</f>
        <v>#N/A</v>
      </c>
      <c r="H264" s="58" t="e">
        <f>VLOOKUP($C264,'Daily_BU설비데이터 '!$C$20:$T$1000,6,0)</f>
        <v>#N/A</v>
      </c>
      <c r="I264" s="58" t="e">
        <f>VLOOKUP($C264,'Daily_BU설비데이터 '!$C$20:$T$1000,7,0)</f>
        <v>#N/A</v>
      </c>
      <c r="J264" s="58" t="e">
        <f>VLOOKUP($C264,'Daily_BU설비데이터 '!$C$20:$T$1000,8,0)</f>
        <v>#N/A</v>
      </c>
      <c r="K264" s="58" t="e">
        <f>VLOOKUP($C264,'Daily_BU설비데이터 '!$C$20:$T$1000,9,0)</f>
        <v>#N/A</v>
      </c>
      <c r="L264" s="59" t="e">
        <f t="shared" si="39"/>
        <v>#N/A</v>
      </c>
      <c r="M264" s="68" t="e">
        <f>VLOOKUP($C264,'Daily_BU설비데이터 '!$C$20:$T$1000,11,0)</f>
        <v>#N/A</v>
      </c>
      <c r="N264" s="68" t="e">
        <f>VLOOKUP($C264,'Daily_BU설비데이터 '!$C$20:$T$1000,12,0)</f>
        <v>#N/A</v>
      </c>
      <c r="O264" s="68" t="e">
        <f>VLOOKUP($C264,'Daily_BU설비데이터 '!$C$20:$T$1000,13,0)</f>
        <v>#N/A</v>
      </c>
      <c r="P264" s="68" t="e">
        <f>VLOOKUP($C264,'Daily_BU설비데이터 '!$C$20:$T$1000,14,0)</f>
        <v>#N/A</v>
      </c>
      <c r="Q264" s="99" t="e">
        <f t="shared" si="40"/>
        <v>#N/A</v>
      </c>
      <c r="R264" s="100" t="e">
        <f t="shared" si="41"/>
        <v>#N/A</v>
      </c>
      <c r="S264" s="83" t="e">
        <f>VLOOKUP($C264,'Daily_BU설비데이터 '!$C$20:$T$1000,17,0)</f>
        <v>#N/A</v>
      </c>
      <c r="T264" s="83" t="e">
        <f>VLOOKUP($C264,'Daily_BU설비데이터 '!$C$20:$T$1000,18,0)</f>
        <v>#N/A</v>
      </c>
      <c r="U264" s="101" t="e">
        <f t="shared" si="42"/>
        <v>#N/A</v>
      </c>
      <c r="V264" s="45"/>
      <c r="W264" s="45"/>
      <c r="X264" s="45"/>
      <c r="Y264" s="45"/>
      <c r="Z264" s="45"/>
      <c r="AA264" s="45"/>
      <c r="AY264" s="66"/>
      <c r="AZ264" s="66"/>
      <c r="BA264" s="66"/>
      <c r="BB264" s="22"/>
    </row>
    <row r="265" spans="2:54" x14ac:dyDescent="0.45">
      <c r="B265" s="45" t="s">
        <v>649</v>
      </c>
      <c r="C265" s="90"/>
      <c r="D265" s="56"/>
      <c r="E265" s="84"/>
      <c r="F265" s="58" t="e">
        <f>VLOOKUP($C265,'Daily_BU설비데이터 '!$C$20:$T$1000,4,0)</f>
        <v>#N/A</v>
      </c>
      <c r="G265" s="58" t="e">
        <f>VLOOKUP($C265,'Daily_BU설비데이터 '!$C$20:$T$1000,5,0)</f>
        <v>#N/A</v>
      </c>
      <c r="H265" s="58" t="e">
        <f>VLOOKUP($C265,'Daily_BU설비데이터 '!$C$20:$T$1000,6,0)</f>
        <v>#N/A</v>
      </c>
      <c r="I265" s="58" t="e">
        <f>VLOOKUP($C265,'Daily_BU설비데이터 '!$C$20:$T$1000,7,0)</f>
        <v>#N/A</v>
      </c>
      <c r="J265" s="58" t="e">
        <f>VLOOKUP($C265,'Daily_BU설비데이터 '!$C$20:$T$1000,8,0)</f>
        <v>#N/A</v>
      </c>
      <c r="K265" s="58" t="e">
        <f>VLOOKUP($C265,'Daily_BU설비데이터 '!$C$20:$T$1000,9,0)</f>
        <v>#N/A</v>
      </c>
      <c r="L265" s="59" t="e">
        <f t="shared" si="39"/>
        <v>#N/A</v>
      </c>
      <c r="M265" s="68" t="e">
        <f>VLOOKUP($C265,'Daily_BU설비데이터 '!$C$20:$T$1000,11,0)</f>
        <v>#N/A</v>
      </c>
      <c r="N265" s="68" t="e">
        <f>VLOOKUP($C265,'Daily_BU설비데이터 '!$C$20:$T$1000,12,0)</f>
        <v>#N/A</v>
      </c>
      <c r="O265" s="68" t="e">
        <f>VLOOKUP($C265,'Daily_BU설비데이터 '!$C$20:$T$1000,13,0)</f>
        <v>#N/A</v>
      </c>
      <c r="P265" s="68" t="e">
        <f>VLOOKUP($C265,'Daily_BU설비데이터 '!$C$20:$T$1000,14,0)</f>
        <v>#N/A</v>
      </c>
      <c r="Q265" s="99" t="e">
        <f t="shared" si="40"/>
        <v>#N/A</v>
      </c>
      <c r="R265" s="100" t="e">
        <f t="shared" si="41"/>
        <v>#N/A</v>
      </c>
      <c r="S265" s="83" t="e">
        <f>VLOOKUP($C265,'Daily_BU설비데이터 '!$C$20:$T$1000,17,0)</f>
        <v>#N/A</v>
      </c>
      <c r="T265" s="83" t="e">
        <f>VLOOKUP($C265,'Daily_BU설비데이터 '!$C$20:$T$1000,18,0)</f>
        <v>#N/A</v>
      </c>
      <c r="U265" s="101" t="e">
        <f t="shared" si="42"/>
        <v>#N/A</v>
      </c>
      <c r="V265" s="45"/>
      <c r="W265" s="45"/>
      <c r="X265" s="45"/>
      <c r="Y265" s="45"/>
      <c r="Z265" s="45"/>
      <c r="AA265" s="45"/>
      <c r="AY265" s="66"/>
      <c r="AZ265" s="66"/>
      <c r="BA265" s="66"/>
      <c r="BB265" s="22"/>
    </row>
    <row r="266" spans="2:54" x14ac:dyDescent="0.45">
      <c r="B266" s="45" t="s">
        <v>650</v>
      </c>
      <c r="C266" s="90"/>
      <c r="D266" s="56"/>
      <c r="E266" s="57"/>
      <c r="F266" s="58" t="e">
        <f>VLOOKUP($C266,'Daily_BU설비데이터 '!$C$20:$T$1000,4,0)</f>
        <v>#N/A</v>
      </c>
      <c r="G266" s="58" t="e">
        <f>VLOOKUP($C266,'Daily_BU설비데이터 '!$C$20:$T$1000,5,0)</f>
        <v>#N/A</v>
      </c>
      <c r="H266" s="58" t="e">
        <f>VLOOKUP($C266,'Daily_BU설비데이터 '!$C$20:$T$1000,6,0)</f>
        <v>#N/A</v>
      </c>
      <c r="I266" s="58" t="e">
        <f>VLOOKUP($C266,'Daily_BU설비데이터 '!$C$20:$T$1000,7,0)</f>
        <v>#N/A</v>
      </c>
      <c r="J266" s="58" t="e">
        <f>VLOOKUP($C266,'Daily_BU설비데이터 '!$C$20:$T$1000,8,0)</f>
        <v>#N/A</v>
      </c>
      <c r="K266" s="58" t="e">
        <f>VLOOKUP($C266,'Daily_BU설비데이터 '!$C$20:$T$1000,9,0)</f>
        <v>#N/A</v>
      </c>
      <c r="L266" s="59" t="e">
        <f t="shared" si="39"/>
        <v>#N/A</v>
      </c>
      <c r="M266" s="68" t="e">
        <f>VLOOKUP($C266,'Daily_BU설비데이터 '!$C$20:$T$1000,11,0)</f>
        <v>#N/A</v>
      </c>
      <c r="N266" s="68" t="e">
        <f>VLOOKUP($C266,'Daily_BU설비데이터 '!$C$20:$T$1000,12,0)</f>
        <v>#N/A</v>
      </c>
      <c r="O266" s="68" t="e">
        <f>VLOOKUP($C266,'Daily_BU설비데이터 '!$C$20:$T$1000,13,0)</f>
        <v>#N/A</v>
      </c>
      <c r="P266" s="68" t="e">
        <f>VLOOKUP($C266,'Daily_BU설비데이터 '!$C$20:$T$1000,14,0)</f>
        <v>#N/A</v>
      </c>
      <c r="Q266" s="99" t="e">
        <f t="shared" si="40"/>
        <v>#N/A</v>
      </c>
      <c r="R266" s="100" t="e">
        <f t="shared" si="41"/>
        <v>#N/A</v>
      </c>
      <c r="S266" s="83" t="e">
        <f>VLOOKUP($C266,'Daily_BU설비데이터 '!$C$20:$T$1000,17,0)</f>
        <v>#N/A</v>
      </c>
      <c r="T266" s="83" t="e">
        <f>VLOOKUP($C266,'Daily_BU설비데이터 '!$C$20:$T$1000,18,0)</f>
        <v>#N/A</v>
      </c>
      <c r="U266" s="101" t="e">
        <f t="shared" si="42"/>
        <v>#N/A</v>
      </c>
      <c r="V266" s="45"/>
      <c r="W266" s="45"/>
      <c r="X266" s="45"/>
      <c r="Y266" s="45"/>
      <c r="Z266" s="45"/>
      <c r="AA266" s="45"/>
      <c r="AY266" s="66"/>
      <c r="AZ266" s="66"/>
      <c r="BA266" s="66"/>
      <c r="BB266" s="22"/>
    </row>
    <row r="267" spans="2:54" x14ac:dyDescent="0.45">
      <c r="B267" s="45" t="s">
        <v>651</v>
      </c>
      <c r="C267" s="90"/>
      <c r="D267" s="56"/>
      <c r="E267" s="80"/>
      <c r="F267" s="58" t="e">
        <f>VLOOKUP($C267,'Daily_BU설비데이터 '!$C$20:$T$1000,4,0)</f>
        <v>#N/A</v>
      </c>
      <c r="G267" s="58" t="e">
        <f>VLOOKUP($C267,'Daily_BU설비데이터 '!$C$20:$T$1000,5,0)</f>
        <v>#N/A</v>
      </c>
      <c r="H267" s="58" t="e">
        <f>VLOOKUP($C267,'Daily_BU설비데이터 '!$C$20:$T$1000,6,0)</f>
        <v>#N/A</v>
      </c>
      <c r="I267" s="58" t="e">
        <f>VLOOKUP($C267,'Daily_BU설비데이터 '!$C$20:$T$1000,7,0)</f>
        <v>#N/A</v>
      </c>
      <c r="J267" s="58" t="e">
        <f>VLOOKUP($C267,'Daily_BU설비데이터 '!$C$20:$T$1000,8,0)</f>
        <v>#N/A</v>
      </c>
      <c r="K267" s="58" t="e">
        <f>VLOOKUP($C267,'Daily_BU설비데이터 '!$C$20:$T$1000,9,0)</f>
        <v>#N/A</v>
      </c>
      <c r="L267" s="59" t="e">
        <f t="shared" si="39"/>
        <v>#N/A</v>
      </c>
      <c r="M267" s="68" t="e">
        <f>VLOOKUP($C267,'Daily_BU설비데이터 '!$C$20:$T$1000,11,0)</f>
        <v>#N/A</v>
      </c>
      <c r="N267" s="68" t="e">
        <f>VLOOKUP($C267,'Daily_BU설비데이터 '!$C$20:$T$1000,12,0)</f>
        <v>#N/A</v>
      </c>
      <c r="O267" s="68" t="e">
        <f>VLOOKUP($C267,'Daily_BU설비데이터 '!$C$20:$T$1000,13,0)</f>
        <v>#N/A</v>
      </c>
      <c r="P267" s="68" t="e">
        <f>VLOOKUP($C267,'Daily_BU설비데이터 '!$C$20:$T$1000,14,0)</f>
        <v>#N/A</v>
      </c>
      <c r="Q267" s="99" t="e">
        <f t="shared" si="40"/>
        <v>#N/A</v>
      </c>
      <c r="R267" s="100" t="e">
        <f t="shared" si="41"/>
        <v>#N/A</v>
      </c>
      <c r="S267" s="83" t="e">
        <f>VLOOKUP($C267,'Daily_BU설비데이터 '!$C$20:$T$1000,17,0)</f>
        <v>#N/A</v>
      </c>
      <c r="T267" s="83" t="e">
        <f>VLOOKUP($C267,'Daily_BU설비데이터 '!$C$20:$T$1000,18,0)</f>
        <v>#N/A</v>
      </c>
      <c r="U267" s="101" t="e">
        <f t="shared" si="42"/>
        <v>#N/A</v>
      </c>
      <c r="V267" s="45"/>
      <c r="W267" s="45"/>
      <c r="X267" s="45"/>
      <c r="Y267" s="45"/>
      <c r="Z267" s="45"/>
      <c r="AA267" s="45"/>
      <c r="AY267" s="66"/>
      <c r="AZ267" s="66"/>
      <c r="BA267" s="66"/>
      <c r="BB267" s="22"/>
    </row>
    <row r="268" spans="2:54" x14ac:dyDescent="0.45">
      <c r="B268" s="45" t="s">
        <v>652</v>
      </c>
      <c r="C268" s="90"/>
      <c r="D268" s="56"/>
      <c r="E268" s="84"/>
      <c r="F268" s="58" t="e">
        <f>VLOOKUP($C268,'Daily_BU설비데이터 '!$C$20:$T$1000,4,0)</f>
        <v>#N/A</v>
      </c>
      <c r="G268" s="58" t="e">
        <f>VLOOKUP($C268,'Daily_BU설비데이터 '!$C$20:$T$1000,5,0)</f>
        <v>#N/A</v>
      </c>
      <c r="H268" s="58" t="e">
        <f>VLOOKUP($C268,'Daily_BU설비데이터 '!$C$20:$T$1000,6,0)</f>
        <v>#N/A</v>
      </c>
      <c r="I268" s="58" t="e">
        <f>VLOOKUP($C268,'Daily_BU설비데이터 '!$C$20:$T$1000,7,0)</f>
        <v>#N/A</v>
      </c>
      <c r="J268" s="58" t="e">
        <f>VLOOKUP($C268,'Daily_BU설비데이터 '!$C$20:$T$1000,8,0)</f>
        <v>#N/A</v>
      </c>
      <c r="K268" s="58" t="e">
        <f>VLOOKUP($C268,'Daily_BU설비데이터 '!$C$20:$T$1000,9,0)</f>
        <v>#N/A</v>
      </c>
      <c r="L268" s="59" t="e">
        <f t="shared" si="39"/>
        <v>#N/A</v>
      </c>
      <c r="M268" s="68" t="e">
        <f>VLOOKUP($C268,'Daily_BU설비데이터 '!$C$20:$T$1000,11,0)</f>
        <v>#N/A</v>
      </c>
      <c r="N268" s="68" t="e">
        <f>VLOOKUP($C268,'Daily_BU설비데이터 '!$C$20:$T$1000,12,0)</f>
        <v>#N/A</v>
      </c>
      <c r="O268" s="68" t="e">
        <f>VLOOKUP($C268,'Daily_BU설비데이터 '!$C$20:$T$1000,13,0)</f>
        <v>#N/A</v>
      </c>
      <c r="P268" s="68" t="e">
        <f>VLOOKUP($C268,'Daily_BU설비데이터 '!$C$20:$T$1000,14,0)</f>
        <v>#N/A</v>
      </c>
      <c r="Q268" s="99" t="e">
        <f t="shared" si="40"/>
        <v>#N/A</v>
      </c>
      <c r="R268" s="100" t="e">
        <f t="shared" si="41"/>
        <v>#N/A</v>
      </c>
      <c r="S268" s="83" t="e">
        <f>VLOOKUP($C268,'Daily_BU설비데이터 '!$C$20:$T$1000,17,0)</f>
        <v>#N/A</v>
      </c>
      <c r="T268" s="83" t="e">
        <f>VLOOKUP($C268,'Daily_BU설비데이터 '!$C$20:$T$1000,18,0)</f>
        <v>#N/A</v>
      </c>
      <c r="U268" s="101" t="e">
        <f t="shared" si="42"/>
        <v>#N/A</v>
      </c>
      <c r="V268" s="45"/>
      <c r="W268" s="45"/>
      <c r="X268" s="45"/>
      <c r="Y268" s="45"/>
      <c r="Z268" s="45"/>
      <c r="AA268" s="45"/>
      <c r="AY268" s="66"/>
      <c r="AZ268" s="66"/>
      <c r="BA268" s="66"/>
      <c r="BB268" s="22"/>
    </row>
    <row r="269" spans="2:54" x14ac:dyDescent="0.45">
      <c r="B269" s="45" t="s">
        <v>653</v>
      </c>
      <c r="C269" s="90"/>
      <c r="D269" s="56"/>
      <c r="E269" s="57"/>
      <c r="F269" s="58" t="e">
        <f>VLOOKUP($C269,'Daily_BU설비데이터 '!$C$20:$T$1000,4,0)</f>
        <v>#N/A</v>
      </c>
      <c r="G269" s="58" t="e">
        <f>VLOOKUP($C269,'Daily_BU설비데이터 '!$C$20:$T$1000,5,0)</f>
        <v>#N/A</v>
      </c>
      <c r="H269" s="58" t="e">
        <f>VLOOKUP($C269,'Daily_BU설비데이터 '!$C$20:$T$1000,6,0)</f>
        <v>#N/A</v>
      </c>
      <c r="I269" s="58" t="e">
        <f>VLOOKUP($C269,'Daily_BU설비데이터 '!$C$20:$T$1000,7,0)</f>
        <v>#N/A</v>
      </c>
      <c r="J269" s="58" t="e">
        <f>VLOOKUP($C269,'Daily_BU설비데이터 '!$C$20:$T$1000,8,0)</f>
        <v>#N/A</v>
      </c>
      <c r="K269" s="58" t="e">
        <f>VLOOKUP($C269,'Daily_BU설비데이터 '!$C$20:$T$1000,9,0)</f>
        <v>#N/A</v>
      </c>
      <c r="L269" s="59" t="e">
        <f t="shared" si="39"/>
        <v>#N/A</v>
      </c>
      <c r="M269" s="68" t="e">
        <f>VLOOKUP($C269,'Daily_BU설비데이터 '!$C$20:$T$1000,11,0)</f>
        <v>#N/A</v>
      </c>
      <c r="N269" s="68" t="e">
        <f>VLOOKUP($C269,'Daily_BU설비데이터 '!$C$20:$T$1000,12,0)</f>
        <v>#N/A</v>
      </c>
      <c r="O269" s="68" t="e">
        <f>VLOOKUP($C269,'Daily_BU설비데이터 '!$C$20:$T$1000,13,0)</f>
        <v>#N/A</v>
      </c>
      <c r="P269" s="68" t="e">
        <f>VLOOKUP($C269,'Daily_BU설비데이터 '!$C$20:$T$1000,14,0)</f>
        <v>#N/A</v>
      </c>
      <c r="Q269" s="99" t="e">
        <f t="shared" si="40"/>
        <v>#N/A</v>
      </c>
      <c r="R269" s="100" t="e">
        <f t="shared" si="41"/>
        <v>#N/A</v>
      </c>
      <c r="S269" s="83" t="e">
        <f>VLOOKUP($C269,'Daily_BU설비데이터 '!$C$20:$T$1000,17,0)</f>
        <v>#N/A</v>
      </c>
      <c r="T269" s="83" t="e">
        <f>VLOOKUP($C269,'Daily_BU설비데이터 '!$C$20:$T$1000,18,0)</f>
        <v>#N/A</v>
      </c>
      <c r="U269" s="101" t="e">
        <f t="shared" si="42"/>
        <v>#N/A</v>
      </c>
      <c r="V269" s="45"/>
      <c r="W269" s="45"/>
      <c r="X269" s="45"/>
      <c r="Y269" s="45"/>
      <c r="Z269" s="45"/>
      <c r="AA269" s="45"/>
      <c r="AY269" s="66"/>
      <c r="AZ269" s="66"/>
      <c r="BA269" s="66"/>
      <c r="BB269" s="22"/>
    </row>
    <row r="270" spans="2:54" x14ac:dyDescent="0.45">
      <c r="B270" s="45" t="s">
        <v>654</v>
      </c>
      <c r="C270" s="90"/>
      <c r="D270" s="56"/>
      <c r="E270" s="80"/>
      <c r="F270" s="58" t="e">
        <f>VLOOKUP($C270,'Daily_BU설비데이터 '!$C$20:$T$1000,4,0)</f>
        <v>#N/A</v>
      </c>
      <c r="G270" s="58" t="e">
        <f>VLOOKUP($C270,'Daily_BU설비데이터 '!$C$20:$T$1000,5,0)</f>
        <v>#N/A</v>
      </c>
      <c r="H270" s="58" t="e">
        <f>VLOOKUP($C270,'Daily_BU설비데이터 '!$C$20:$T$1000,6,0)</f>
        <v>#N/A</v>
      </c>
      <c r="I270" s="58" t="e">
        <f>VLOOKUP($C270,'Daily_BU설비데이터 '!$C$20:$T$1000,7,0)</f>
        <v>#N/A</v>
      </c>
      <c r="J270" s="58" t="e">
        <f>VLOOKUP($C270,'Daily_BU설비데이터 '!$C$20:$T$1000,8,0)</f>
        <v>#N/A</v>
      </c>
      <c r="K270" s="58" t="e">
        <f>VLOOKUP($C270,'Daily_BU설비데이터 '!$C$20:$T$1000,9,0)</f>
        <v>#N/A</v>
      </c>
      <c r="L270" s="59" t="e">
        <f t="shared" si="39"/>
        <v>#N/A</v>
      </c>
      <c r="M270" s="68" t="e">
        <f>VLOOKUP($C270,'Daily_BU설비데이터 '!$C$20:$T$1000,11,0)</f>
        <v>#N/A</v>
      </c>
      <c r="N270" s="68" t="e">
        <f>VLOOKUP($C270,'Daily_BU설비데이터 '!$C$20:$T$1000,12,0)</f>
        <v>#N/A</v>
      </c>
      <c r="O270" s="68" t="e">
        <f>VLOOKUP($C270,'Daily_BU설비데이터 '!$C$20:$T$1000,13,0)</f>
        <v>#N/A</v>
      </c>
      <c r="P270" s="68" t="e">
        <f>VLOOKUP($C270,'Daily_BU설비데이터 '!$C$20:$T$1000,14,0)</f>
        <v>#N/A</v>
      </c>
      <c r="Q270" s="99" t="e">
        <f t="shared" si="40"/>
        <v>#N/A</v>
      </c>
      <c r="R270" s="100" t="e">
        <f t="shared" si="41"/>
        <v>#N/A</v>
      </c>
      <c r="S270" s="83" t="e">
        <f>VLOOKUP($C270,'Daily_BU설비데이터 '!$C$20:$T$1000,17,0)</f>
        <v>#N/A</v>
      </c>
      <c r="T270" s="83" t="e">
        <f>VLOOKUP($C270,'Daily_BU설비데이터 '!$C$20:$T$1000,18,0)</f>
        <v>#N/A</v>
      </c>
      <c r="U270" s="101" t="e">
        <f t="shared" si="42"/>
        <v>#N/A</v>
      </c>
      <c r="V270" s="45"/>
      <c r="W270" s="45"/>
      <c r="X270" s="45"/>
      <c r="Y270" s="45"/>
      <c r="Z270" s="45"/>
      <c r="AA270" s="45"/>
      <c r="AY270" s="66"/>
      <c r="AZ270" s="66"/>
      <c r="BA270" s="66"/>
      <c r="BB270" s="22"/>
    </row>
    <row r="271" spans="2:54" x14ac:dyDescent="0.45">
      <c r="B271" s="45" t="s">
        <v>655</v>
      </c>
      <c r="C271" s="90"/>
      <c r="D271" s="56"/>
      <c r="E271" s="84"/>
      <c r="F271" s="58" t="e">
        <f>VLOOKUP($C271,'Daily_BU설비데이터 '!$C$20:$T$1000,4,0)</f>
        <v>#N/A</v>
      </c>
      <c r="G271" s="58" t="e">
        <f>VLOOKUP($C271,'Daily_BU설비데이터 '!$C$20:$T$1000,5,0)</f>
        <v>#N/A</v>
      </c>
      <c r="H271" s="58" t="e">
        <f>VLOOKUP($C271,'Daily_BU설비데이터 '!$C$20:$T$1000,6,0)</f>
        <v>#N/A</v>
      </c>
      <c r="I271" s="58" t="e">
        <f>VLOOKUP($C271,'Daily_BU설비데이터 '!$C$20:$T$1000,7,0)</f>
        <v>#N/A</v>
      </c>
      <c r="J271" s="58" t="e">
        <f>VLOOKUP($C271,'Daily_BU설비데이터 '!$C$20:$T$1000,8,0)</f>
        <v>#N/A</v>
      </c>
      <c r="K271" s="58" t="e">
        <f>VLOOKUP($C271,'Daily_BU설비데이터 '!$C$20:$T$1000,9,0)</f>
        <v>#N/A</v>
      </c>
      <c r="L271" s="59" t="e">
        <f t="shared" si="39"/>
        <v>#N/A</v>
      </c>
      <c r="M271" s="68" t="e">
        <f>VLOOKUP($C271,'Daily_BU설비데이터 '!$C$20:$T$1000,11,0)</f>
        <v>#N/A</v>
      </c>
      <c r="N271" s="68" t="e">
        <f>VLOOKUP($C271,'Daily_BU설비데이터 '!$C$20:$T$1000,12,0)</f>
        <v>#N/A</v>
      </c>
      <c r="O271" s="68" t="e">
        <f>VLOOKUP($C271,'Daily_BU설비데이터 '!$C$20:$T$1000,13,0)</f>
        <v>#N/A</v>
      </c>
      <c r="P271" s="68" t="e">
        <f>VLOOKUP($C271,'Daily_BU설비데이터 '!$C$20:$T$1000,14,0)</f>
        <v>#N/A</v>
      </c>
      <c r="Q271" s="99" t="e">
        <f t="shared" si="40"/>
        <v>#N/A</v>
      </c>
      <c r="R271" s="100" t="e">
        <f t="shared" si="41"/>
        <v>#N/A</v>
      </c>
      <c r="S271" s="83" t="e">
        <f>VLOOKUP($C271,'Daily_BU설비데이터 '!$C$20:$T$1000,17,0)</f>
        <v>#N/A</v>
      </c>
      <c r="T271" s="83" t="e">
        <f>VLOOKUP($C271,'Daily_BU설비데이터 '!$C$20:$T$1000,18,0)</f>
        <v>#N/A</v>
      </c>
      <c r="U271" s="101" t="e">
        <f t="shared" si="42"/>
        <v>#N/A</v>
      </c>
      <c r="V271" s="45"/>
      <c r="W271" s="45"/>
      <c r="X271" s="45"/>
      <c r="Y271" s="45"/>
      <c r="Z271" s="45"/>
      <c r="AA271" s="45"/>
      <c r="AY271" s="66"/>
      <c r="AZ271" s="66"/>
      <c r="BA271" s="66"/>
      <c r="BB271" s="22"/>
    </row>
    <row r="272" spans="2:54" x14ac:dyDescent="0.45">
      <c r="B272" s="45" t="s">
        <v>656</v>
      </c>
      <c r="C272" s="90"/>
      <c r="D272" s="56"/>
      <c r="E272" s="57"/>
      <c r="F272" s="58" t="e">
        <f>VLOOKUP($C272,'Daily_BU설비데이터 '!$C$20:$T$1000,4,0)</f>
        <v>#N/A</v>
      </c>
      <c r="G272" s="58" t="e">
        <f>VLOOKUP($C272,'Daily_BU설비데이터 '!$C$20:$T$1000,5,0)</f>
        <v>#N/A</v>
      </c>
      <c r="H272" s="58" t="e">
        <f>VLOOKUP($C272,'Daily_BU설비데이터 '!$C$20:$T$1000,6,0)</f>
        <v>#N/A</v>
      </c>
      <c r="I272" s="58" t="e">
        <f>VLOOKUP($C272,'Daily_BU설비데이터 '!$C$20:$T$1000,7,0)</f>
        <v>#N/A</v>
      </c>
      <c r="J272" s="58" t="e">
        <f>VLOOKUP($C272,'Daily_BU설비데이터 '!$C$20:$T$1000,8,0)</f>
        <v>#N/A</v>
      </c>
      <c r="K272" s="58" t="e">
        <f>VLOOKUP($C272,'Daily_BU설비데이터 '!$C$20:$T$1000,9,0)</f>
        <v>#N/A</v>
      </c>
      <c r="L272" s="59" t="e">
        <f t="shared" si="39"/>
        <v>#N/A</v>
      </c>
      <c r="M272" s="68" t="e">
        <f>VLOOKUP($C272,'Daily_BU설비데이터 '!$C$20:$T$1000,11,0)</f>
        <v>#N/A</v>
      </c>
      <c r="N272" s="68" t="e">
        <f>VLOOKUP($C272,'Daily_BU설비데이터 '!$C$20:$T$1000,12,0)</f>
        <v>#N/A</v>
      </c>
      <c r="O272" s="68" t="e">
        <f>VLOOKUP($C272,'Daily_BU설비데이터 '!$C$20:$T$1000,13,0)</f>
        <v>#N/A</v>
      </c>
      <c r="P272" s="68" t="e">
        <f>VLOOKUP($C272,'Daily_BU설비데이터 '!$C$20:$T$1000,14,0)</f>
        <v>#N/A</v>
      </c>
      <c r="Q272" s="99" t="e">
        <f t="shared" si="40"/>
        <v>#N/A</v>
      </c>
      <c r="R272" s="100" t="e">
        <f t="shared" si="41"/>
        <v>#N/A</v>
      </c>
      <c r="S272" s="83" t="e">
        <f>VLOOKUP($C272,'Daily_BU설비데이터 '!$C$20:$T$1000,17,0)</f>
        <v>#N/A</v>
      </c>
      <c r="T272" s="83" t="e">
        <f>VLOOKUP($C272,'Daily_BU설비데이터 '!$C$20:$T$1000,18,0)</f>
        <v>#N/A</v>
      </c>
      <c r="U272" s="101" t="e">
        <f t="shared" si="42"/>
        <v>#N/A</v>
      </c>
      <c r="V272" s="45"/>
      <c r="W272" s="45"/>
      <c r="X272" s="45"/>
      <c r="Y272" s="45"/>
      <c r="Z272" s="45"/>
      <c r="AA272" s="45"/>
      <c r="AY272" s="66"/>
      <c r="AZ272" s="66"/>
      <c r="BA272" s="66"/>
      <c r="BB272" s="22"/>
    </row>
    <row r="273" spans="2:54" x14ac:dyDescent="0.45">
      <c r="B273" s="45" t="s">
        <v>657</v>
      </c>
      <c r="C273" s="90"/>
      <c r="D273" s="56"/>
      <c r="E273" s="80"/>
      <c r="F273" s="58" t="e">
        <f>VLOOKUP($C273,'Daily_BU설비데이터 '!$C$20:$T$1000,4,0)</f>
        <v>#N/A</v>
      </c>
      <c r="G273" s="58" t="e">
        <f>VLOOKUP($C273,'Daily_BU설비데이터 '!$C$20:$T$1000,5,0)</f>
        <v>#N/A</v>
      </c>
      <c r="H273" s="58" t="e">
        <f>VLOOKUP($C273,'Daily_BU설비데이터 '!$C$20:$T$1000,6,0)</f>
        <v>#N/A</v>
      </c>
      <c r="I273" s="58" t="e">
        <f>VLOOKUP($C273,'Daily_BU설비데이터 '!$C$20:$T$1000,7,0)</f>
        <v>#N/A</v>
      </c>
      <c r="J273" s="58" t="e">
        <f>VLOOKUP($C273,'Daily_BU설비데이터 '!$C$20:$T$1000,8,0)</f>
        <v>#N/A</v>
      </c>
      <c r="K273" s="58" t="e">
        <f>VLOOKUP($C273,'Daily_BU설비데이터 '!$C$20:$T$1000,9,0)</f>
        <v>#N/A</v>
      </c>
      <c r="L273" s="59" t="e">
        <f t="shared" si="39"/>
        <v>#N/A</v>
      </c>
      <c r="M273" s="68" t="e">
        <f>VLOOKUP($C273,'Daily_BU설비데이터 '!$C$20:$T$1000,11,0)</f>
        <v>#N/A</v>
      </c>
      <c r="N273" s="68" t="e">
        <f>VLOOKUP($C273,'Daily_BU설비데이터 '!$C$20:$T$1000,12,0)</f>
        <v>#N/A</v>
      </c>
      <c r="O273" s="68" t="e">
        <f>VLOOKUP($C273,'Daily_BU설비데이터 '!$C$20:$T$1000,13,0)</f>
        <v>#N/A</v>
      </c>
      <c r="P273" s="68" t="e">
        <f>VLOOKUP($C273,'Daily_BU설비데이터 '!$C$20:$T$1000,14,0)</f>
        <v>#N/A</v>
      </c>
      <c r="Q273" s="99" t="e">
        <f t="shared" si="40"/>
        <v>#N/A</v>
      </c>
      <c r="R273" s="100" t="e">
        <f t="shared" si="41"/>
        <v>#N/A</v>
      </c>
      <c r="S273" s="83" t="e">
        <f>VLOOKUP($C273,'Daily_BU설비데이터 '!$C$20:$T$1000,17,0)</f>
        <v>#N/A</v>
      </c>
      <c r="T273" s="83" t="e">
        <f>VLOOKUP($C273,'Daily_BU설비데이터 '!$C$20:$T$1000,18,0)</f>
        <v>#N/A</v>
      </c>
      <c r="U273" s="101" t="e">
        <f t="shared" si="42"/>
        <v>#N/A</v>
      </c>
      <c r="V273" s="45"/>
      <c r="W273" s="45"/>
      <c r="X273" s="45"/>
      <c r="Y273" s="45"/>
      <c r="Z273" s="45"/>
      <c r="AA273" s="45"/>
      <c r="AY273" s="66"/>
      <c r="AZ273" s="66"/>
      <c r="BA273" s="66"/>
      <c r="BB273" s="22"/>
    </row>
    <row r="274" spans="2:54" x14ac:dyDescent="0.45">
      <c r="B274" s="45" t="s">
        <v>658</v>
      </c>
      <c r="C274" s="90"/>
      <c r="D274" s="56"/>
      <c r="E274" s="84"/>
      <c r="F274" s="58" t="e">
        <f>VLOOKUP($C274,'Daily_BU설비데이터 '!$C$20:$T$1000,4,0)</f>
        <v>#N/A</v>
      </c>
      <c r="G274" s="58" t="e">
        <f>VLOOKUP($C274,'Daily_BU설비데이터 '!$C$20:$T$1000,5,0)</f>
        <v>#N/A</v>
      </c>
      <c r="H274" s="58" t="e">
        <f>VLOOKUP($C274,'Daily_BU설비데이터 '!$C$20:$T$1000,6,0)</f>
        <v>#N/A</v>
      </c>
      <c r="I274" s="58" t="e">
        <f>VLOOKUP($C274,'Daily_BU설비데이터 '!$C$20:$T$1000,7,0)</f>
        <v>#N/A</v>
      </c>
      <c r="J274" s="58" t="e">
        <f>VLOOKUP($C274,'Daily_BU설비데이터 '!$C$20:$T$1000,8,0)</f>
        <v>#N/A</v>
      </c>
      <c r="K274" s="58" t="e">
        <f>VLOOKUP($C274,'Daily_BU설비데이터 '!$C$20:$T$1000,9,0)</f>
        <v>#N/A</v>
      </c>
      <c r="L274" s="59" t="e">
        <f t="shared" ref="L274:L337" si="43">1/2*((F274*I274+H274*K274+J274*G274)-(G274*H274+I274*J274+K274*F274))/0.1582*100</f>
        <v>#N/A</v>
      </c>
      <c r="M274" s="68" t="e">
        <f>VLOOKUP($C274,'Daily_BU설비데이터 '!$C$20:$T$1000,11,0)</f>
        <v>#N/A</v>
      </c>
      <c r="N274" s="68" t="e">
        <f>VLOOKUP($C274,'Daily_BU설비데이터 '!$C$20:$T$1000,12,0)</f>
        <v>#N/A</v>
      </c>
      <c r="O274" s="68" t="e">
        <f>VLOOKUP($C274,'Daily_BU설비데이터 '!$C$20:$T$1000,13,0)</f>
        <v>#N/A</v>
      </c>
      <c r="P274" s="68" t="e">
        <f>VLOOKUP($C274,'Daily_BU설비데이터 '!$C$20:$T$1000,14,0)</f>
        <v>#N/A</v>
      </c>
      <c r="Q274" s="99" t="e">
        <f t="shared" ref="Q274:Q337" si="44">O274/P274</f>
        <v>#N/A</v>
      </c>
      <c r="R274" s="100" t="e">
        <f t="shared" ref="R274:R337" si="45">SQRT(POWER(M274-$M$12,2)+POWER(N274-$N$12,2))</f>
        <v>#N/A</v>
      </c>
      <c r="S274" s="83" t="e">
        <f>VLOOKUP($C274,'Daily_BU설비데이터 '!$C$20:$T$1000,17,0)</f>
        <v>#N/A</v>
      </c>
      <c r="T274" s="83" t="e">
        <f>VLOOKUP($C274,'Daily_BU설비데이터 '!$C$20:$T$1000,18,0)</f>
        <v>#N/A</v>
      </c>
      <c r="U274" s="101" t="e">
        <f t="shared" ref="U274:U337" si="46">(-449*((M274-0.332)/(N274-0.1858))^3)+(3525*((M274-0.332)/(N274-0.1858))^2)+(-6823.3*(M274-0.332)/(N274-0.1858))+5520.33</f>
        <v>#N/A</v>
      </c>
      <c r="V274" s="45"/>
      <c r="W274" s="45"/>
      <c r="X274" s="45"/>
      <c r="Y274" s="45"/>
      <c r="Z274" s="45"/>
      <c r="AA274" s="45"/>
      <c r="AY274" s="66"/>
      <c r="AZ274" s="66"/>
      <c r="BA274" s="66"/>
      <c r="BB274" s="22"/>
    </row>
    <row r="275" spans="2:54" x14ac:dyDescent="0.45">
      <c r="B275" s="45" t="s">
        <v>659</v>
      </c>
      <c r="C275" s="90"/>
      <c r="D275" s="56"/>
      <c r="E275" s="57"/>
      <c r="F275" s="58" t="e">
        <f>VLOOKUP($C275,'Daily_BU설비데이터 '!$C$20:$T$1000,4,0)</f>
        <v>#N/A</v>
      </c>
      <c r="G275" s="58" t="e">
        <f>VLOOKUP($C275,'Daily_BU설비데이터 '!$C$20:$T$1000,5,0)</f>
        <v>#N/A</v>
      </c>
      <c r="H275" s="58" t="e">
        <f>VLOOKUP($C275,'Daily_BU설비데이터 '!$C$20:$T$1000,6,0)</f>
        <v>#N/A</v>
      </c>
      <c r="I275" s="58" t="e">
        <f>VLOOKUP($C275,'Daily_BU설비데이터 '!$C$20:$T$1000,7,0)</f>
        <v>#N/A</v>
      </c>
      <c r="J275" s="58" t="e">
        <f>VLOOKUP($C275,'Daily_BU설비데이터 '!$C$20:$T$1000,8,0)</f>
        <v>#N/A</v>
      </c>
      <c r="K275" s="58" t="e">
        <f>VLOOKUP($C275,'Daily_BU설비데이터 '!$C$20:$T$1000,9,0)</f>
        <v>#N/A</v>
      </c>
      <c r="L275" s="59" t="e">
        <f t="shared" si="43"/>
        <v>#N/A</v>
      </c>
      <c r="M275" s="68" t="e">
        <f>VLOOKUP($C275,'Daily_BU설비데이터 '!$C$20:$T$1000,11,0)</f>
        <v>#N/A</v>
      </c>
      <c r="N275" s="68" t="e">
        <f>VLOOKUP($C275,'Daily_BU설비데이터 '!$C$20:$T$1000,12,0)</f>
        <v>#N/A</v>
      </c>
      <c r="O275" s="68" t="e">
        <f>VLOOKUP($C275,'Daily_BU설비데이터 '!$C$20:$T$1000,13,0)</f>
        <v>#N/A</v>
      </c>
      <c r="P275" s="68" t="e">
        <f>VLOOKUP($C275,'Daily_BU설비데이터 '!$C$20:$T$1000,14,0)</f>
        <v>#N/A</v>
      </c>
      <c r="Q275" s="99" t="e">
        <f t="shared" si="44"/>
        <v>#N/A</v>
      </c>
      <c r="R275" s="100" t="e">
        <f t="shared" si="45"/>
        <v>#N/A</v>
      </c>
      <c r="S275" s="83" t="e">
        <f>VLOOKUP($C275,'Daily_BU설비데이터 '!$C$20:$T$1000,17,0)</f>
        <v>#N/A</v>
      </c>
      <c r="T275" s="83" t="e">
        <f>VLOOKUP($C275,'Daily_BU설비데이터 '!$C$20:$T$1000,18,0)</f>
        <v>#N/A</v>
      </c>
      <c r="U275" s="101" t="e">
        <f t="shared" si="46"/>
        <v>#N/A</v>
      </c>
      <c r="V275" s="45"/>
      <c r="W275" s="45"/>
      <c r="X275" s="45"/>
      <c r="Y275" s="45"/>
      <c r="Z275" s="45"/>
      <c r="AA275" s="45"/>
      <c r="AY275" s="66"/>
      <c r="AZ275" s="66"/>
      <c r="BA275" s="66"/>
      <c r="BB275" s="22"/>
    </row>
    <row r="276" spans="2:54" x14ac:dyDescent="0.45">
      <c r="B276" s="45" t="s">
        <v>660</v>
      </c>
      <c r="C276" s="90"/>
      <c r="D276" s="56"/>
      <c r="E276" s="80"/>
      <c r="F276" s="58" t="e">
        <f>VLOOKUP($C276,'Daily_BU설비데이터 '!$C$20:$T$1000,4,0)</f>
        <v>#N/A</v>
      </c>
      <c r="G276" s="58" t="e">
        <f>VLOOKUP($C276,'Daily_BU설비데이터 '!$C$20:$T$1000,5,0)</f>
        <v>#N/A</v>
      </c>
      <c r="H276" s="58" t="e">
        <f>VLOOKUP($C276,'Daily_BU설비데이터 '!$C$20:$T$1000,6,0)</f>
        <v>#N/A</v>
      </c>
      <c r="I276" s="58" t="e">
        <f>VLOOKUP($C276,'Daily_BU설비데이터 '!$C$20:$T$1000,7,0)</f>
        <v>#N/A</v>
      </c>
      <c r="J276" s="58" t="e">
        <f>VLOOKUP($C276,'Daily_BU설비데이터 '!$C$20:$T$1000,8,0)</f>
        <v>#N/A</v>
      </c>
      <c r="K276" s="58" t="e">
        <f>VLOOKUP($C276,'Daily_BU설비데이터 '!$C$20:$T$1000,9,0)</f>
        <v>#N/A</v>
      </c>
      <c r="L276" s="59" t="e">
        <f t="shared" si="43"/>
        <v>#N/A</v>
      </c>
      <c r="M276" s="68" t="e">
        <f>VLOOKUP($C276,'Daily_BU설비데이터 '!$C$20:$T$1000,11,0)</f>
        <v>#N/A</v>
      </c>
      <c r="N276" s="68" t="e">
        <f>VLOOKUP($C276,'Daily_BU설비데이터 '!$C$20:$T$1000,12,0)</f>
        <v>#N/A</v>
      </c>
      <c r="O276" s="68" t="e">
        <f>VLOOKUP($C276,'Daily_BU설비데이터 '!$C$20:$T$1000,13,0)</f>
        <v>#N/A</v>
      </c>
      <c r="P276" s="68" t="e">
        <f>VLOOKUP($C276,'Daily_BU설비데이터 '!$C$20:$T$1000,14,0)</f>
        <v>#N/A</v>
      </c>
      <c r="Q276" s="99" t="e">
        <f t="shared" si="44"/>
        <v>#N/A</v>
      </c>
      <c r="R276" s="100" t="e">
        <f t="shared" si="45"/>
        <v>#N/A</v>
      </c>
      <c r="S276" s="83" t="e">
        <f>VLOOKUP($C276,'Daily_BU설비데이터 '!$C$20:$T$1000,17,0)</f>
        <v>#N/A</v>
      </c>
      <c r="T276" s="83" t="e">
        <f>VLOOKUP($C276,'Daily_BU설비데이터 '!$C$20:$T$1000,18,0)</f>
        <v>#N/A</v>
      </c>
      <c r="U276" s="101" t="e">
        <f t="shared" si="46"/>
        <v>#N/A</v>
      </c>
      <c r="V276" s="45"/>
      <c r="W276" s="45"/>
      <c r="X276" s="45"/>
      <c r="Y276" s="45"/>
      <c r="Z276" s="45"/>
      <c r="AA276" s="45"/>
      <c r="AY276" s="66"/>
      <c r="AZ276" s="66"/>
      <c r="BA276" s="66"/>
      <c r="BB276" s="22"/>
    </row>
    <row r="277" spans="2:54" x14ac:dyDescent="0.45">
      <c r="B277" s="45" t="s">
        <v>661</v>
      </c>
      <c r="C277" s="90"/>
      <c r="D277" s="56"/>
      <c r="E277" s="84"/>
      <c r="F277" s="58" t="e">
        <f>VLOOKUP($C277,'Daily_BU설비데이터 '!$C$20:$T$1000,4,0)</f>
        <v>#N/A</v>
      </c>
      <c r="G277" s="58" t="e">
        <f>VLOOKUP($C277,'Daily_BU설비데이터 '!$C$20:$T$1000,5,0)</f>
        <v>#N/A</v>
      </c>
      <c r="H277" s="58" t="e">
        <f>VLOOKUP($C277,'Daily_BU설비데이터 '!$C$20:$T$1000,6,0)</f>
        <v>#N/A</v>
      </c>
      <c r="I277" s="58" t="e">
        <f>VLOOKUP($C277,'Daily_BU설비데이터 '!$C$20:$T$1000,7,0)</f>
        <v>#N/A</v>
      </c>
      <c r="J277" s="58" t="e">
        <f>VLOOKUP($C277,'Daily_BU설비데이터 '!$C$20:$T$1000,8,0)</f>
        <v>#N/A</v>
      </c>
      <c r="K277" s="58" t="e">
        <f>VLOOKUP($C277,'Daily_BU설비데이터 '!$C$20:$T$1000,9,0)</f>
        <v>#N/A</v>
      </c>
      <c r="L277" s="59" t="e">
        <f t="shared" si="43"/>
        <v>#N/A</v>
      </c>
      <c r="M277" s="68" t="e">
        <f>VLOOKUP($C277,'Daily_BU설비데이터 '!$C$20:$T$1000,11,0)</f>
        <v>#N/A</v>
      </c>
      <c r="N277" s="68" t="e">
        <f>VLOOKUP($C277,'Daily_BU설비데이터 '!$C$20:$T$1000,12,0)</f>
        <v>#N/A</v>
      </c>
      <c r="O277" s="68" t="e">
        <f>VLOOKUP($C277,'Daily_BU설비데이터 '!$C$20:$T$1000,13,0)</f>
        <v>#N/A</v>
      </c>
      <c r="P277" s="68" t="e">
        <f>VLOOKUP($C277,'Daily_BU설비데이터 '!$C$20:$T$1000,14,0)</f>
        <v>#N/A</v>
      </c>
      <c r="Q277" s="99" t="e">
        <f t="shared" si="44"/>
        <v>#N/A</v>
      </c>
      <c r="R277" s="100" t="e">
        <f t="shared" si="45"/>
        <v>#N/A</v>
      </c>
      <c r="S277" s="83" t="e">
        <f>VLOOKUP($C277,'Daily_BU설비데이터 '!$C$20:$T$1000,17,0)</f>
        <v>#N/A</v>
      </c>
      <c r="T277" s="83" t="e">
        <f>VLOOKUP($C277,'Daily_BU설비데이터 '!$C$20:$T$1000,18,0)</f>
        <v>#N/A</v>
      </c>
      <c r="U277" s="101" t="e">
        <f t="shared" si="46"/>
        <v>#N/A</v>
      </c>
      <c r="V277" s="45"/>
      <c r="W277" s="45"/>
      <c r="X277" s="45"/>
      <c r="Y277" s="45"/>
      <c r="Z277" s="45"/>
      <c r="AA277" s="45"/>
      <c r="AY277" s="66"/>
      <c r="AZ277" s="66"/>
      <c r="BA277" s="66"/>
      <c r="BB277" s="22"/>
    </row>
    <row r="278" spans="2:54" x14ac:dyDescent="0.45">
      <c r="B278" s="45" t="s">
        <v>662</v>
      </c>
      <c r="C278" s="90"/>
      <c r="D278" s="56"/>
      <c r="E278" s="57"/>
      <c r="F278" s="58" t="e">
        <f>VLOOKUP($C278,'Daily_BU설비데이터 '!$C$20:$T$1000,4,0)</f>
        <v>#N/A</v>
      </c>
      <c r="G278" s="58" t="e">
        <f>VLOOKUP($C278,'Daily_BU설비데이터 '!$C$20:$T$1000,5,0)</f>
        <v>#N/A</v>
      </c>
      <c r="H278" s="58" t="e">
        <f>VLOOKUP($C278,'Daily_BU설비데이터 '!$C$20:$T$1000,6,0)</f>
        <v>#N/A</v>
      </c>
      <c r="I278" s="58" t="e">
        <f>VLOOKUP($C278,'Daily_BU설비데이터 '!$C$20:$T$1000,7,0)</f>
        <v>#N/A</v>
      </c>
      <c r="J278" s="58" t="e">
        <f>VLOOKUP($C278,'Daily_BU설비데이터 '!$C$20:$T$1000,8,0)</f>
        <v>#N/A</v>
      </c>
      <c r="K278" s="58" t="e">
        <f>VLOOKUP($C278,'Daily_BU설비데이터 '!$C$20:$T$1000,9,0)</f>
        <v>#N/A</v>
      </c>
      <c r="L278" s="59" t="e">
        <f t="shared" si="43"/>
        <v>#N/A</v>
      </c>
      <c r="M278" s="68" t="e">
        <f>VLOOKUP($C278,'Daily_BU설비데이터 '!$C$20:$T$1000,11,0)</f>
        <v>#N/A</v>
      </c>
      <c r="N278" s="68" t="e">
        <f>VLOOKUP($C278,'Daily_BU설비데이터 '!$C$20:$T$1000,12,0)</f>
        <v>#N/A</v>
      </c>
      <c r="O278" s="68" t="e">
        <f>VLOOKUP($C278,'Daily_BU설비데이터 '!$C$20:$T$1000,13,0)</f>
        <v>#N/A</v>
      </c>
      <c r="P278" s="68" t="e">
        <f>VLOOKUP($C278,'Daily_BU설비데이터 '!$C$20:$T$1000,14,0)</f>
        <v>#N/A</v>
      </c>
      <c r="Q278" s="99" t="e">
        <f t="shared" si="44"/>
        <v>#N/A</v>
      </c>
      <c r="R278" s="100" t="e">
        <f t="shared" si="45"/>
        <v>#N/A</v>
      </c>
      <c r="S278" s="83" t="e">
        <f>VLOOKUP($C278,'Daily_BU설비데이터 '!$C$20:$T$1000,17,0)</f>
        <v>#N/A</v>
      </c>
      <c r="T278" s="83" t="e">
        <f>VLOOKUP($C278,'Daily_BU설비데이터 '!$C$20:$T$1000,18,0)</f>
        <v>#N/A</v>
      </c>
      <c r="U278" s="101" t="e">
        <f t="shared" si="46"/>
        <v>#N/A</v>
      </c>
      <c r="V278" s="45"/>
      <c r="W278" s="45"/>
      <c r="X278" s="45"/>
      <c r="Y278" s="45"/>
      <c r="Z278" s="45"/>
      <c r="AA278" s="45"/>
      <c r="AY278" s="66"/>
      <c r="AZ278" s="66"/>
      <c r="BA278" s="66"/>
      <c r="BB278" s="22"/>
    </row>
    <row r="279" spans="2:54" x14ac:dyDescent="0.45">
      <c r="B279" s="45" t="s">
        <v>663</v>
      </c>
      <c r="C279" s="90"/>
      <c r="D279" s="56"/>
      <c r="E279" s="80"/>
      <c r="F279" s="58" t="e">
        <f>VLOOKUP($C279,'Daily_BU설비데이터 '!$C$20:$T$1000,4,0)</f>
        <v>#N/A</v>
      </c>
      <c r="G279" s="58" t="e">
        <f>VLOOKUP($C279,'Daily_BU설비데이터 '!$C$20:$T$1000,5,0)</f>
        <v>#N/A</v>
      </c>
      <c r="H279" s="58" t="e">
        <f>VLOOKUP($C279,'Daily_BU설비데이터 '!$C$20:$T$1000,6,0)</f>
        <v>#N/A</v>
      </c>
      <c r="I279" s="58" t="e">
        <f>VLOOKUP($C279,'Daily_BU설비데이터 '!$C$20:$T$1000,7,0)</f>
        <v>#N/A</v>
      </c>
      <c r="J279" s="58" t="e">
        <f>VLOOKUP($C279,'Daily_BU설비데이터 '!$C$20:$T$1000,8,0)</f>
        <v>#N/A</v>
      </c>
      <c r="K279" s="58" t="e">
        <f>VLOOKUP($C279,'Daily_BU설비데이터 '!$C$20:$T$1000,9,0)</f>
        <v>#N/A</v>
      </c>
      <c r="L279" s="59" t="e">
        <f t="shared" si="43"/>
        <v>#N/A</v>
      </c>
      <c r="M279" s="68" t="e">
        <f>VLOOKUP($C279,'Daily_BU설비데이터 '!$C$20:$T$1000,11,0)</f>
        <v>#N/A</v>
      </c>
      <c r="N279" s="68" t="e">
        <f>VLOOKUP($C279,'Daily_BU설비데이터 '!$C$20:$T$1000,12,0)</f>
        <v>#N/A</v>
      </c>
      <c r="O279" s="68" t="e">
        <f>VLOOKUP($C279,'Daily_BU설비데이터 '!$C$20:$T$1000,13,0)</f>
        <v>#N/A</v>
      </c>
      <c r="P279" s="68" t="e">
        <f>VLOOKUP($C279,'Daily_BU설비데이터 '!$C$20:$T$1000,14,0)</f>
        <v>#N/A</v>
      </c>
      <c r="Q279" s="99" t="e">
        <f t="shared" si="44"/>
        <v>#N/A</v>
      </c>
      <c r="R279" s="100" t="e">
        <f t="shared" si="45"/>
        <v>#N/A</v>
      </c>
      <c r="S279" s="83" t="e">
        <f>VLOOKUP($C279,'Daily_BU설비데이터 '!$C$20:$T$1000,17,0)</f>
        <v>#N/A</v>
      </c>
      <c r="T279" s="83" t="e">
        <f>VLOOKUP($C279,'Daily_BU설비데이터 '!$C$20:$T$1000,18,0)</f>
        <v>#N/A</v>
      </c>
      <c r="U279" s="101" t="e">
        <f t="shared" si="46"/>
        <v>#N/A</v>
      </c>
      <c r="V279" s="45"/>
      <c r="W279" s="45"/>
      <c r="X279" s="45"/>
      <c r="Y279" s="45"/>
      <c r="Z279" s="45"/>
      <c r="AA279" s="45"/>
      <c r="AY279" s="66"/>
      <c r="AZ279" s="66"/>
      <c r="BA279" s="66"/>
      <c r="BB279" s="22"/>
    </row>
    <row r="280" spans="2:54" x14ac:dyDescent="0.45">
      <c r="B280" s="45" t="s">
        <v>664</v>
      </c>
      <c r="C280" s="90"/>
      <c r="D280" s="56"/>
      <c r="E280" s="84"/>
      <c r="F280" s="58" t="e">
        <f>VLOOKUP($C280,'Daily_BU설비데이터 '!$C$20:$T$1000,4,0)</f>
        <v>#N/A</v>
      </c>
      <c r="G280" s="58" t="e">
        <f>VLOOKUP($C280,'Daily_BU설비데이터 '!$C$20:$T$1000,5,0)</f>
        <v>#N/A</v>
      </c>
      <c r="H280" s="58" t="e">
        <f>VLOOKUP($C280,'Daily_BU설비데이터 '!$C$20:$T$1000,6,0)</f>
        <v>#N/A</v>
      </c>
      <c r="I280" s="58" t="e">
        <f>VLOOKUP($C280,'Daily_BU설비데이터 '!$C$20:$T$1000,7,0)</f>
        <v>#N/A</v>
      </c>
      <c r="J280" s="58" t="e">
        <f>VLOOKUP($C280,'Daily_BU설비데이터 '!$C$20:$T$1000,8,0)</f>
        <v>#N/A</v>
      </c>
      <c r="K280" s="58" t="e">
        <f>VLOOKUP($C280,'Daily_BU설비데이터 '!$C$20:$T$1000,9,0)</f>
        <v>#N/A</v>
      </c>
      <c r="L280" s="59" t="e">
        <f t="shared" si="43"/>
        <v>#N/A</v>
      </c>
      <c r="M280" s="68" t="e">
        <f>VLOOKUP($C280,'Daily_BU설비데이터 '!$C$20:$T$1000,11,0)</f>
        <v>#N/A</v>
      </c>
      <c r="N280" s="68" t="e">
        <f>VLOOKUP($C280,'Daily_BU설비데이터 '!$C$20:$T$1000,12,0)</f>
        <v>#N/A</v>
      </c>
      <c r="O280" s="68" t="e">
        <f>VLOOKUP($C280,'Daily_BU설비데이터 '!$C$20:$T$1000,13,0)</f>
        <v>#N/A</v>
      </c>
      <c r="P280" s="68" t="e">
        <f>VLOOKUP($C280,'Daily_BU설비데이터 '!$C$20:$T$1000,14,0)</f>
        <v>#N/A</v>
      </c>
      <c r="Q280" s="99" t="e">
        <f t="shared" si="44"/>
        <v>#N/A</v>
      </c>
      <c r="R280" s="100" t="e">
        <f t="shared" si="45"/>
        <v>#N/A</v>
      </c>
      <c r="S280" s="83" t="e">
        <f>VLOOKUP($C280,'Daily_BU설비데이터 '!$C$20:$T$1000,17,0)</f>
        <v>#N/A</v>
      </c>
      <c r="T280" s="83" t="e">
        <f>VLOOKUP($C280,'Daily_BU설비데이터 '!$C$20:$T$1000,18,0)</f>
        <v>#N/A</v>
      </c>
      <c r="U280" s="101" t="e">
        <f t="shared" si="46"/>
        <v>#N/A</v>
      </c>
      <c r="V280" s="45"/>
      <c r="W280" s="45"/>
      <c r="X280" s="45"/>
      <c r="Y280" s="45"/>
      <c r="Z280" s="45"/>
      <c r="AA280" s="45"/>
      <c r="AY280" s="66"/>
      <c r="AZ280" s="66"/>
      <c r="BA280" s="66"/>
      <c r="BB280" s="22"/>
    </row>
    <row r="281" spans="2:54" x14ac:dyDescent="0.45">
      <c r="B281" s="45" t="s">
        <v>665</v>
      </c>
      <c r="C281" s="90"/>
      <c r="D281" s="56"/>
      <c r="E281" s="57"/>
      <c r="F281" s="58" t="e">
        <f>VLOOKUP($C281,'Daily_BU설비데이터 '!$C$20:$T$1000,4,0)</f>
        <v>#N/A</v>
      </c>
      <c r="G281" s="58" t="e">
        <f>VLOOKUP($C281,'Daily_BU설비데이터 '!$C$20:$T$1000,5,0)</f>
        <v>#N/A</v>
      </c>
      <c r="H281" s="58" t="e">
        <f>VLOOKUP($C281,'Daily_BU설비데이터 '!$C$20:$T$1000,6,0)</f>
        <v>#N/A</v>
      </c>
      <c r="I281" s="58" t="e">
        <f>VLOOKUP($C281,'Daily_BU설비데이터 '!$C$20:$T$1000,7,0)</f>
        <v>#N/A</v>
      </c>
      <c r="J281" s="58" t="e">
        <f>VLOOKUP($C281,'Daily_BU설비데이터 '!$C$20:$T$1000,8,0)</f>
        <v>#N/A</v>
      </c>
      <c r="K281" s="58" t="e">
        <f>VLOOKUP($C281,'Daily_BU설비데이터 '!$C$20:$T$1000,9,0)</f>
        <v>#N/A</v>
      </c>
      <c r="L281" s="59" t="e">
        <f t="shared" si="43"/>
        <v>#N/A</v>
      </c>
      <c r="M281" s="68" t="e">
        <f>VLOOKUP($C281,'Daily_BU설비데이터 '!$C$20:$T$1000,11,0)</f>
        <v>#N/A</v>
      </c>
      <c r="N281" s="68" t="e">
        <f>VLOOKUP($C281,'Daily_BU설비데이터 '!$C$20:$T$1000,12,0)</f>
        <v>#N/A</v>
      </c>
      <c r="O281" s="68" t="e">
        <f>VLOOKUP($C281,'Daily_BU설비데이터 '!$C$20:$T$1000,13,0)</f>
        <v>#N/A</v>
      </c>
      <c r="P281" s="68" t="e">
        <f>VLOOKUP($C281,'Daily_BU설비데이터 '!$C$20:$T$1000,14,0)</f>
        <v>#N/A</v>
      </c>
      <c r="Q281" s="99" t="e">
        <f t="shared" si="44"/>
        <v>#N/A</v>
      </c>
      <c r="R281" s="100" t="e">
        <f t="shared" si="45"/>
        <v>#N/A</v>
      </c>
      <c r="S281" s="83" t="e">
        <f>VLOOKUP($C281,'Daily_BU설비데이터 '!$C$20:$T$1000,17,0)</f>
        <v>#N/A</v>
      </c>
      <c r="T281" s="83" t="e">
        <f>VLOOKUP($C281,'Daily_BU설비데이터 '!$C$20:$T$1000,18,0)</f>
        <v>#N/A</v>
      </c>
      <c r="U281" s="101" t="e">
        <f t="shared" si="46"/>
        <v>#N/A</v>
      </c>
      <c r="V281" s="45"/>
      <c r="W281" s="45"/>
      <c r="X281" s="45"/>
      <c r="Y281" s="45"/>
      <c r="Z281" s="45"/>
      <c r="AA281" s="45"/>
      <c r="AY281" s="66"/>
      <c r="AZ281" s="66"/>
      <c r="BA281" s="66"/>
      <c r="BB281" s="22"/>
    </row>
    <row r="282" spans="2:54" x14ac:dyDescent="0.45">
      <c r="B282" s="45" t="s">
        <v>666</v>
      </c>
      <c r="C282" s="90"/>
      <c r="D282" s="56"/>
      <c r="E282" s="80"/>
      <c r="F282" s="58" t="e">
        <f>VLOOKUP($C282,'Daily_BU설비데이터 '!$C$20:$T$1000,4,0)</f>
        <v>#N/A</v>
      </c>
      <c r="G282" s="58" t="e">
        <f>VLOOKUP($C282,'Daily_BU설비데이터 '!$C$20:$T$1000,5,0)</f>
        <v>#N/A</v>
      </c>
      <c r="H282" s="58" t="e">
        <f>VLOOKUP($C282,'Daily_BU설비데이터 '!$C$20:$T$1000,6,0)</f>
        <v>#N/A</v>
      </c>
      <c r="I282" s="58" t="e">
        <f>VLOOKUP($C282,'Daily_BU설비데이터 '!$C$20:$T$1000,7,0)</f>
        <v>#N/A</v>
      </c>
      <c r="J282" s="58" t="e">
        <f>VLOOKUP($C282,'Daily_BU설비데이터 '!$C$20:$T$1000,8,0)</f>
        <v>#N/A</v>
      </c>
      <c r="K282" s="58" t="e">
        <f>VLOOKUP($C282,'Daily_BU설비데이터 '!$C$20:$T$1000,9,0)</f>
        <v>#N/A</v>
      </c>
      <c r="L282" s="59" t="e">
        <f t="shared" si="43"/>
        <v>#N/A</v>
      </c>
      <c r="M282" s="68" t="e">
        <f>VLOOKUP($C282,'Daily_BU설비데이터 '!$C$20:$T$1000,11,0)</f>
        <v>#N/A</v>
      </c>
      <c r="N282" s="68" t="e">
        <f>VLOOKUP($C282,'Daily_BU설비데이터 '!$C$20:$T$1000,12,0)</f>
        <v>#N/A</v>
      </c>
      <c r="O282" s="68" t="e">
        <f>VLOOKUP($C282,'Daily_BU설비데이터 '!$C$20:$T$1000,13,0)</f>
        <v>#N/A</v>
      </c>
      <c r="P282" s="68" t="e">
        <f>VLOOKUP($C282,'Daily_BU설비데이터 '!$C$20:$T$1000,14,0)</f>
        <v>#N/A</v>
      </c>
      <c r="Q282" s="99" t="e">
        <f t="shared" si="44"/>
        <v>#N/A</v>
      </c>
      <c r="R282" s="100" t="e">
        <f t="shared" si="45"/>
        <v>#N/A</v>
      </c>
      <c r="S282" s="83" t="e">
        <f>VLOOKUP($C282,'Daily_BU설비데이터 '!$C$20:$T$1000,17,0)</f>
        <v>#N/A</v>
      </c>
      <c r="T282" s="83" t="e">
        <f>VLOOKUP($C282,'Daily_BU설비데이터 '!$C$20:$T$1000,18,0)</f>
        <v>#N/A</v>
      </c>
      <c r="U282" s="101" t="e">
        <f t="shared" si="46"/>
        <v>#N/A</v>
      </c>
      <c r="V282" s="45"/>
      <c r="W282" s="45"/>
      <c r="X282" s="45"/>
      <c r="Y282" s="45"/>
      <c r="Z282" s="45"/>
      <c r="AA282" s="45"/>
      <c r="AY282" s="66"/>
      <c r="AZ282" s="66"/>
      <c r="BA282" s="66"/>
      <c r="BB282" s="22"/>
    </row>
    <row r="283" spans="2:54" x14ac:dyDescent="0.45">
      <c r="B283" s="45" t="s">
        <v>667</v>
      </c>
      <c r="C283" s="90"/>
      <c r="D283" s="56"/>
      <c r="E283" s="84"/>
      <c r="F283" s="58" t="e">
        <f>VLOOKUP($C283,'Daily_BU설비데이터 '!$C$20:$T$1000,4,0)</f>
        <v>#N/A</v>
      </c>
      <c r="G283" s="58" t="e">
        <f>VLOOKUP($C283,'Daily_BU설비데이터 '!$C$20:$T$1000,5,0)</f>
        <v>#N/A</v>
      </c>
      <c r="H283" s="58" t="e">
        <f>VLOOKUP($C283,'Daily_BU설비데이터 '!$C$20:$T$1000,6,0)</f>
        <v>#N/A</v>
      </c>
      <c r="I283" s="58" t="e">
        <f>VLOOKUP($C283,'Daily_BU설비데이터 '!$C$20:$T$1000,7,0)</f>
        <v>#N/A</v>
      </c>
      <c r="J283" s="58" t="e">
        <f>VLOOKUP($C283,'Daily_BU설비데이터 '!$C$20:$T$1000,8,0)</f>
        <v>#N/A</v>
      </c>
      <c r="K283" s="58" t="e">
        <f>VLOOKUP($C283,'Daily_BU설비데이터 '!$C$20:$T$1000,9,0)</f>
        <v>#N/A</v>
      </c>
      <c r="L283" s="59" t="e">
        <f t="shared" si="43"/>
        <v>#N/A</v>
      </c>
      <c r="M283" s="68" t="e">
        <f>VLOOKUP($C283,'Daily_BU설비데이터 '!$C$20:$T$1000,11,0)</f>
        <v>#N/A</v>
      </c>
      <c r="N283" s="68" t="e">
        <f>VLOOKUP($C283,'Daily_BU설비데이터 '!$C$20:$T$1000,12,0)</f>
        <v>#N/A</v>
      </c>
      <c r="O283" s="68" t="e">
        <f>VLOOKUP($C283,'Daily_BU설비데이터 '!$C$20:$T$1000,13,0)</f>
        <v>#N/A</v>
      </c>
      <c r="P283" s="68" t="e">
        <f>VLOOKUP($C283,'Daily_BU설비데이터 '!$C$20:$T$1000,14,0)</f>
        <v>#N/A</v>
      </c>
      <c r="Q283" s="99" t="e">
        <f t="shared" si="44"/>
        <v>#N/A</v>
      </c>
      <c r="R283" s="100" t="e">
        <f t="shared" si="45"/>
        <v>#N/A</v>
      </c>
      <c r="S283" s="83" t="e">
        <f>VLOOKUP($C283,'Daily_BU설비데이터 '!$C$20:$T$1000,17,0)</f>
        <v>#N/A</v>
      </c>
      <c r="T283" s="83" t="e">
        <f>VLOOKUP($C283,'Daily_BU설비데이터 '!$C$20:$T$1000,18,0)</f>
        <v>#N/A</v>
      </c>
      <c r="U283" s="101" t="e">
        <f t="shared" si="46"/>
        <v>#N/A</v>
      </c>
      <c r="V283" s="45"/>
      <c r="W283" s="45"/>
      <c r="X283" s="45"/>
      <c r="Y283" s="45"/>
      <c r="Z283" s="45"/>
      <c r="AA283" s="45"/>
      <c r="AY283" s="66"/>
      <c r="AZ283" s="66"/>
      <c r="BA283" s="66"/>
      <c r="BB283" s="22"/>
    </row>
    <row r="284" spans="2:54" x14ac:dyDescent="0.45">
      <c r="B284" s="45" t="s">
        <v>668</v>
      </c>
      <c r="C284" s="90"/>
      <c r="D284" s="56"/>
      <c r="E284" s="57"/>
      <c r="F284" s="58" t="e">
        <f>VLOOKUP($C284,'Daily_BU설비데이터 '!$C$20:$T$1000,4,0)</f>
        <v>#N/A</v>
      </c>
      <c r="G284" s="58" t="e">
        <f>VLOOKUP($C284,'Daily_BU설비데이터 '!$C$20:$T$1000,5,0)</f>
        <v>#N/A</v>
      </c>
      <c r="H284" s="58" t="e">
        <f>VLOOKUP($C284,'Daily_BU설비데이터 '!$C$20:$T$1000,6,0)</f>
        <v>#N/A</v>
      </c>
      <c r="I284" s="58" t="e">
        <f>VLOOKUP($C284,'Daily_BU설비데이터 '!$C$20:$T$1000,7,0)</f>
        <v>#N/A</v>
      </c>
      <c r="J284" s="58" t="e">
        <f>VLOOKUP($C284,'Daily_BU설비데이터 '!$C$20:$T$1000,8,0)</f>
        <v>#N/A</v>
      </c>
      <c r="K284" s="58" t="e">
        <f>VLOOKUP($C284,'Daily_BU설비데이터 '!$C$20:$T$1000,9,0)</f>
        <v>#N/A</v>
      </c>
      <c r="L284" s="59" t="e">
        <f t="shared" si="43"/>
        <v>#N/A</v>
      </c>
      <c r="M284" s="68" t="e">
        <f>VLOOKUP($C284,'Daily_BU설비데이터 '!$C$20:$T$1000,11,0)</f>
        <v>#N/A</v>
      </c>
      <c r="N284" s="68" t="e">
        <f>VLOOKUP($C284,'Daily_BU설비데이터 '!$C$20:$T$1000,12,0)</f>
        <v>#N/A</v>
      </c>
      <c r="O284" s="68" t="e">
        <f>VLOOKUP($C284,'Daily_BU설비데이터 '!$C$20:$T$1000,13,0)</f>
        <v>#N/A</v>
      </c>
      <c r="P284" s="68" t="e">
        <f>VLOOKUP($C284,'Daily_BU설비데이터 '!$C$20:$T$1000,14,0)</f>
        <v>#N/A</v>
      </c>
      <c r="Q284" s="99" t="e">
        <f t="shared" si="44"/>
        <v>#N/A</v>
      </c>
      <c r="R284" s="100" t="e">
        <f t="shared" si="45"/>
        <v>#N/A</v>
      </c>
      <c r="S284" s="83" t="e">
        <f>VLOOKUP($C284,'Daily_BU설비데이터 '!$C$20:$T$1000,17,0)</f>
        <v>#N/A</v>
      </c>
      <c r="T284" s="83" t="e">
        <f>VLOOKUP($C284,'Daily_BU설비데이터 '!$C$20:$T$1000,18,0)</f>
        <v>#N/A</v>
      </c>
      <c r="U284" s="101" t="e">
        <f t="shared" si="46"/>
        <v>#N/A</v>
      </c>
      <c r="V284" s="45"/>
      <c r="W284" s="45"/>
      <c r="X284" s="45"/>
      <c r="Y284" s="45"/>
      <c r="Z284" s="45"/>
      <c r="AA284" s="45"/>
      <c r="AY284" s="66"/>
      <c r="AZ284" s="66"/>
      <c r="BA284" s="66"/>
      <c r="BB284" s="22"/>
    </row>
    <row r="285" spans="2:54" x14ac:dyDescent="0.45">
      <c r="B285" s="45" t="s">
        <v>669</v>
      </c>
      <c r="C285" s="90"/>
      <c r="D285" s="56"/>
      <c r="E285" s="80"/>
      <c r="F285" s="58" t="e">
        <f>VLOOKUP($C285,'Daily_BU설비데이터 '!$C$20:$T$1000,4,0)</f>
        <v>#N/A</v>
      </c>
      <c r="G285" s="58" t="e">
        <f>VLOOKUP($C285,'Daily_BU설비데이터 '!$C$20:$T$1000,5,0)</f>
        <v>#N/A</v>
      </c>
      <c r="H285" s="58" t="e">
        <f>VLOOKUP($C285,'Daily_BU설비데이터 '!$C$20:$T$1000,6,0)</f>
        <v>#N/A</v>
      </c>
      <c r="I285" s="58" t="e">
        <f>VLOOKUP($C285,'Daily_BU설비데이터 '!$C$20:$T$1000,7,0)</f>
        <v>#N/A</v>
      </c>
      <c r="J285" s="58" t="e">
        <f>VLOOKUP($C285,'Daily_BU설비데이터 '!$C$20:$T$1000,8,0)</f>
        <v>#N/A</v>
      </c>
      <c r="K285" s="58" t="e">
        <f>VLOOKUP($C285,'Daily_BU설비데이터 '!$C$20:$T$1000,9,0)</f>
        <v>#N/A</v>
      </c>
      <c r="L285" s="59" t="e">
        <f t="shared" si="43"/>
        <v>#N/A</v>
      </c>
      <c r="M285" s="68" t="e">
        <f>VLOOKUP($C285,'Daily_BU설비데이터 '!$C$20:$T$1000,11,0)</f>
        <v>#N/A</v>
      </c>
      <c r="N285" s="68" t="e">
        <f>VLOOKUP($C285,'Daily_BU설비데이터 '!$C$20:$T$1000,12,0)</f>
        <v>#N/A</v>
      </c>
      <c r="O285" s="68" t="e">
        <f>VLOOKUP($C285,'Daily_BU설비데이터 '!$C$20:$T$1000,13,0)</f>
        <v>#N/A</v>
      </c>
      <c r="P285" s="68" t="e">
        <f>VLOOKUP($C285,'Daily_BU설비데이터 '!$C$20:$T$1000,14,0)</f>
        <v>#N/A</v>
      </c>
      <c r="Q285" s="99" t="e">
        <f t="shared" si="44"/>
        <v>#N/A</v>
      </c>
      <c r="R285" s="100" t="e">
        <f t="shared" si="45"/>
        <v>#N/A</v>
      </c>
      <c r="S285" s="83" t="e">
        <f>VLOOKUP($C285,'Daily_BU설비데이터 '!$C$20:$T$1000,17,0)</f>
        <v>#N/A</v>
      </c>
      <c r="T285" s="83" t="e">
        <f>VLOOKUP($C285,'Daily_BU설비데이터 '!$C$20:$T$1000,18,0)</f>
        <v>#N/A</v>
      </c>
      <c r="U285" s="101" t="e">
        <f t="shared" si="46"/>
        <v>#N/A</v>
      </c>
      <c r="V285" s="45"/>
      <c r="W285" s="45"/>
      <c r="X285" s="45"/>
      <c r="Y285" s="45"/>
      <c r="Z285" s="45"/>
      <c r="AA285" s="45"/>
      <c r="AY285" s="66"/>
      <c r="AZ285" s="66"/>
      <c r="BA285" s="66"/>
      <c r="BB285" s="22"/>
    </row>
    <row r="286" spans="2:54" x14ac:dyDescent="0.45">
      <c r="B286" s="45" t="s">
        <v>670</v>
      </c>
      <c r="C286" s="90"/>
      <c r="D286" s="56"/>
      <c r="E286" s="84"/>
      <c r="F286" s="58" t="e">
        <f>VLOOKUP($C286,'Daily_BU설비데이터 '!$C$20:$T$1000,4,0)</f>
        <v>#N/A</v>
      </c>
      <c r="G286" s="58" t="e">
        <f>VLOOKUP($C286,'Daily_BU설비데이터 '!$C$20:$T$1000,5,0)</f>
        <v>#N/A</v>
      </c>
      <c r="H286" s="58" t="e">
        <f>VLOOKUP($C286,'Daily_BU설비데이터 '!$C$20:$T$1000,6,0)</f>
        <v>#N/A</v>
      </c>
      <c r="I286" s="58" t="e">
        <f>VLOOKUP($C286,'Daily_BU설비데이터 '!$C$20:$T$1000,7,0)</f>
        <v>#N/A</v>
      </c>
      <c r="J286" s="58" t="e">
        <f>VLOOKUP($C286,'Daily_BU설비데이터 '!$C$20:$T$1000,8,0)</f>
        <v>#N/A</v>
      </c>
      <c r="K286" s="58" t="e">
        <f>VLOOKUP($C286,'Daily_BU설비데이터 '!$C$20:$T$1000,9,0)</f>
        <v>#N/A</v>
      </c>
      <c r="L286" s="59" t="e">
        <f t="shared" si="43"/>
        <v>#N/A</v>
      </c>
      <c r="M286" s="68" t="e">
        <f>VLOOKUP($C286,'Daily_BU설비데이터 '!$C$20:$T$1000,11,0)</f>
        <v>#N/A</v>
      </c>
      <c r="N286" s="68" t="e">
        <f>VLOOKUP($C286,'Daily_BU설비데이터 '!$C$20:$T$1000,12,0)</f>
        <v>#N/A</v>
      </c>
      <c r="O286" s="68" t="e">
        <f>VLOOKUP($C286,'Daily_BU설비데이터 '!$C$20:$T$1000,13,0)</f>
        <v>#N/A</v>
      </c>
      <c r="P286" s="68" t="e">
        <f>VLOOKUP($C286,'Daily_BU설비데이터 '!$C$20:$T$1000,14,0)</f>
        <v>#N/A</v>
      </c>
      <c r="Q286" s="99" t="e">
        <f t="shared" si="44"/>
        <v>#N/A</v>
      </c>
      <c r="R286" s="100" t="e">
        <f t="shared" si="45"/>
        <v>#N/A</v>
      </c>
      <c r="S286" s="83" t="e">
        <f>VLOOKUP($C286,'Daily_BU설비데이터 '!$C$20:$T$1000,17,0)</f>
        <v>#N/A</v>
      </c>
      <c r="T286" s="83" t="e">
        <f>VLOOKUP($C286,'Daily_BU설비데이터 '!$C$20:$T$1000,18,0)</f>
        <v>#N/A</v>
      </c>
      <c r="U286" s="101" t="e">
        <f t="shared" si="46"/>
        <v>#N/A</v>
      </c>
      <c r="V286" s="45"/>
      <c r="W286" s="45"/>
      <c r="X286" s="45"/>
      <c r="Y286" s="45"/>
      <c r="Z286" s="45"/>
      <c r="AA286" s="45"/>
      <c r="AY286" s="66"/>
      <c r="AZ286" s="66"/>
      <c r="BA286" s="66"/>
      <c r="BB286" s="22"/>
    </row>
    <row r="287" spans="2:54" x14ac:dyDescent="0.45">
      <c r="B287" s="45" t="s">
        <v>671</v>
      </c>
      <c r="C287" s="90"/>
      <c r="D287" s="56"/>
      <c r="E287" s="57"/>
      <c r="F287" s="58" t="e">
        <f>VLOOKUP($C287,'Daily_BU설비데이터 '!$C$20:$T$1000,4,0)</f>
        <v>#N/A</v>
      </c>
      <c r="G287" s="58" t="e">
        <f>VLOOKUP($C287,'Daily_BU설비데이터 '!$C$20:$T$1000,5,0)</f>
        <v>#N/A</v>
      </c>
      <c r="H287" s="58" t="e">
        <f>VLOOKUP($C287,'Daily_BU설비데이터 '!$C$20:$T$1000,6,0)</f>
        <v>#N/A</v>
      </c>
      <c r="I287" s="58" t="e">
        <f>VLOOKUP($C287,'Daily_BU설비데이터 '!$C$20:$T$1000,7,0)</f>
        <v>#N/A</v>
      </c>
      <c r="J287" s="58" t="e">
        <f>VLOOKUP($C287,'Daily_BU설비데이터 '!$C$20:$T$1000,8,0)</f>
        <v>#N/A</v>
      </c>
      <c r="K287" s="58" t="e">
        <f>VLOOKUP($C287,'Daily_BU설비데이터 '!$C$20:$T$1000,9,0)</f>
        <v>#N/A</v>
      </c>
      <c r="L287" s="59" t="e">
        <f t="shared" si="43"/>
        <v>#N/A</v>
      </c>
      <c r="M287" s="68" t="e">
        <f>VLOOKUP($C287,'Daily_BU설비데이터 '!$C$20:$T$1000,11,0)</f>
        <v>#N/A</v>
      </c>
      <c r="N287" s="68" t="e">
        <f>VLOOKUP($C287,'Daily_BU설비데이터 '!$C$20:$T$1000,12,0)</f>
        <v>#N/A</v>
      </c>
      <c r="O287" s="68" t="e">
        <f>VLOOKUP($C287,'Daily_BU설비데이터 '!$C$20:$T$1000,13,0)</f>
        <v>#N/A</v>
      </c>
      <c r="P287" s="68" t="e">
        <f>VLOOKUP($C287,'Daily_BU설비데이터 '!$C$20:$T$1000,14,0)</f>
        <v>#N/A</v>
      </c>
      <c r="Q287" s="99" t="e">
        <f t="shared" si="44"/>
        <v>#N/A</v>
      </c>
      <c r="R287" s="100" t="e">
        <f t="shared" si="45"/>
        <v>#N/A</v>
      </c>
      <c r="S287" s="83" t="e">
        <f>VLOOKUP($C287,'Daily_BU설비데이터 '!$C$20:$T$1000,17,0)</f>
        <v>#N/A</v>
      </c>
      <c r="T287" s="83" t="e">
        <f>VLOOKUP($C287,'Daily_BU설비데이터 '!$C$20:$T$1000,18,0)</f>
        <v>#N/A</v>
      </c>
      <c r="U287" s="101" t="e">
        <f t="shared" si="46"/>
        <v>#N/A</v>
      </c>
      <c r="V287" s="45"/>
      <c r="W287" s="45"/>
      <c r="X287" s="45"/>
      <c r="Y287" s="45"/>
      <c r="Z287" s="45"/>
      <c r="AA287" s="45"/>
      <c r="AY287" s="66"/>
      <c r="AZ287" s="66"/>
      <c r="BA287" s="66"/>
      <c r="BB287" s="22"/>
    </row>
    <row r="288" spans="2:54" x14ac:dyDescent="0.45">
      <c r="B288" s="45" t="s">
        <v>672</v>
      </c>
      <c r="C288" s="90"/>
      <c r="D288" s="56"/>
      <c r="E288" s="80"/>
      <c r="F288" s="58" t="e">
        <f>VLOOKUP($C288,'Daily_BU설비데이터 '!$C$20:$T$1000,4,0)</f>
        <v>#N/A</v>
      </c>
      <c r="G288" s="58" t="e">
        <f>VLOOKUP($C288,'Daily_BU설비데이터 '!$C$20:$T$1000,5,0)</f>
        <v>#N/A</v>
      </c>
      <c r="H288" s="58" t="e">
        <f>VLOOKUP($C288,'Daily_BU설비데이터 '!$C$20:$T$1000,6,0)</f>
        <v>#N/A</v>
      </c>
      <c r="I288" s="58" t="e">
        <f>VLOOKUP($C288,'Daily_BU설비데이터 '!$C$20:$T$1000,7,0)</f>
        <v>#N/A</v>
      </c>
      <c r="J288" s="58" t="e">
        <f>VLOOKUP($C288,'Daily_BU설비데이터 '!$C$20:$T$1000,8,0)</f>
        <v>#N/A</v>
      </c>
      <c r="K288" s="58" t="e">
        <f>VLOOKUP($C288,'Daily_BU설비데이터 '!$C$20:$T$1000,9,0)</f>
        <v>#N/A</v>
      </c>
      <c r="L288" s="59" t="e">
        <f t="shared" si="43"/>
        <v>#N/A</v>
      </c>
      <c r="M288" s="68" t="e">
        <f>VLOOKUP($C288,'Daily_BU설비데이터 '!$C$20:$T$1000,11,0)</f>
        <v>#N/A</v>
      </c>
      <c r="N288" s="68" t="e">
        <f>VLOOKUP($C288,'Daily_BU설비데이터 '!$C$20:$T$1000,12,0)</f>
        <v>#N/A</v>
      </c>
      <c r="O288" s="68" t="e">
        <f>VLOOKUP($C288,'Daily_BU설비데이터 '!$C$20:$T$1000,13,0)</f>
        <v>#N/A</v>
      </c>
      <c r="P288" s="68" t="e">
        <f>VLOOKUP($C288,'Daily_BU설비데이터 '!$C$20:$T$1000,14,0)</f>
        <v>#N/A</v>
      </c>
      <c r="Q288" s="99" t="e">
        <f t="shared" si="44"/>
        <v>#N/A</v>
      </c>
      <c r="R288" s="100" t="e">
        <f t="shared" si="45"/>
        <v>#N/A</v>
      </c>
      <c r="S288" s="83" t="e">
        <f>VLOOKUP($C288,'Daily_BU설비데이터 '!$C$20:$T$1000,17,0)</f>
        <v>#N/A</v>
      </c>
      <c r="T288" s="83" t="e">
        <f>VLOOKUP($C288,'Daily_BU설비데이터 '!$C$20:$T$1000,18,0)</f>
        <v>#N/A</v>
      </c>
      <c r="U288" s="101" t="e">
        <f t="shared" si="46"/>
        <v>#N/A</v>
      </c>
      <c r="V288" s="45"/>
      <c r="W288" s="45"/>
      <c r="X288" s="45"/>
      <c r="Y288" s="45"/>
      <c r="Z288" s="45"/>
      <c r="AA288" s="45"/>
      <c r="AY288" s="66"/>
      <c r="AZ288" s="66"/>
      <c r="BA288" s="66"/>
      <c r="BB288" s="22"/>
    </row>
    <row r="289" spans="2:54" x14ac:dyDescent="0.45">
      <c r="B289" s="45" t="s">
        <v>673</v>
      </c>
      <c r="C289" s="90"/>
      <c r="D289" s="56"/>
      <c r="E289" s="84"/>
      <c r="F289" s="58" t="e">
        <f>VLOOKUP($C289,'Daily_BU설비데이터 '!$C$20:$T$1000,4,0)</f>
        <v>#N/A</v>
      </c>
      <c r="G289" s="58" t="e">
        <f>VLOOKUP($C289,'Daily_BU설비데이터 '!$C$20:$T$1000,5,0)</f>
        <v>#N/A</v>
      </c>
      <c r="H289" s="58" t="e">
        <f>VLOOKUP($C289,'Daily_BU설비데이터 '!$C$20:$T$1000,6,0)</f>
        <v>#N/A</v>
      </c>
      <c r="I289" s="58" t="e">
        <f>VLOOKUP($C289,'Daily_BU설비데이터 '!$C$20:$T$1000,7,0)</f>
        <v>#N/A</v>
      </c>
      <c r="J289" s="58" t="e">
        <f>VLOOKUP($C289,'Daily_BU설비데이터 '!$C$20:$T$1000,8,0)</f>
        <v>#N/A</v>
      </c>
      <c r="K289" s="58" t="e">
        <f>VLOOKUP($C289,'Daily_BU설비데이터 '!$C$20:$T$1000,9,0)</f>
        <v>#N/A</v>
      </c>
      <c r="L289" s="59" t="e">
        <f t="shared" si="43"/>
        <v>#N/A</v>
      </c>
      <c r="M289" s="68" t="e">
        <f>VLOOKUP($C289,'Daily_BU설비데이터 '!$C$20:$T$1000,11,0)</f>
        <v>#N/A</v>
      </c>
      <c r="N289" s="68" t="e">
        <f>VLOOKUP($C289,'Daily_BU설비데이터 '!$C$20:$T$1000,12,0)</f>
        <v>#N/A</v>
      </c>
      <c r="O289" s="68" t="e">
        <f>VLOOKUP($C289,'Daily_BU설비데이터 '!$C$20:$T$1000,13,0)</f>
        <v>#N/A</v>
      </c>
      <c r="P289" s="68" t="e">
        <f>VLOOKUP($C289,'Daily_BU설비데이터 '!$C$20:$T$1000,14,0)</f>
        <v>#N/A</v>
      </c>
      <c r="Q289" s="99" t="e">
        <f t="shared" si="44"/>
        <v>#N/A</v>
      </c>
      <c r="R289" s="100" t="e">
        <f t="shared" si="45"/>
        <v>#N/A</v>
      </c>
      <c r="S289" s="83" t="e">
        <f>VLOOKUP($C289,'Daily_BU설비데이터 '!$C$20:$T$1000,17,0)</f>
        <v>#N/A</v>
      </c>
      <c r="T289" s="83" t="e">
        <f>VLOOKUP($C289,'Daily_BU설비데이터 '!$C$20:$T$1000,18,0)</f>
        <v>#N/A</v>
      </c>
      <c r="U289" s="101" t="e">
        <f t="shared" si="46"/>
        <v>#N/A</v>
      </c>
      <c r="V289" s="45"/>
      <c r="W289" s="45"/>
      <c r="X289" s="45"/>
      <c r="Y289" s="45"/>
      <c r="Z289" s="45"/>
      <c r="AA289" s="45"/>
      <c r="AY289" s="66"/>
      <c r="AZ289" s="66"/>
      <c r="BA289" s="66"/>
      <c r="BB289" s="22"/>
    </row>
    <row r="290" spans="2:54" x14ac:dyDescent="0.45">
      <c r="B290" s="45" t="s">
        <v>674</v>
      </c>
      <c r="C290" s="90"/>
      <c r="D290" s="56"/>
      <c r="E290" s="57"/>
      <c r="F290" s="58" t="e">
        <f>VLOOKUP($C290,'Daily_BU설비데이터 '!$C$20:$T$1000,4,0)</f>
        <v>#N/A</v>
      </c>
      <c r="G290" s="58" t="e">
        <f>VLOOKUP($C290,'Daily_BU설비데이터 '!$C$20:$T$1000,5,0)</f>
        <v>#N/A</v>
      </c>
      <c r="H290" s="58" t="e">
        <f>VLOOKUP($C290,'Daily_BU설비데이터 '!$C$20:$T$1000,6,0)</f>
        <v>#N/A</v>
      </c>
      <c r="I290" s="58" t="e">
        <f>VLOOKUP($C290,'Daily_BU설비데이터 '!$C$20:$T$1000,7,0)</f>
        <v>#N/A</v>
      </c>
      <c r="J290" s="58" t="e">
        <f>VLOOKUP($C290,'Daily_BU설비데이터 '!$C$20:$T$1000,8,0)</f>
        <v>#N/A</v>
      </c>
      <c r="K290" s="58" t="e">
        <f>VLOOKUP($C290,'Daily_BU설비데이터 '!$C$20:$T$1000,9,0)</f>
        <v>#N/A</v>
      </c>
      <c r="L290" s="59" t="e">
        <f t="shared" si="43"/>
        <v>#N/A</v>
      </c>
      <c r="M290" s="68" t="e">
        <f>VLOOKUP($C290,'Daily_BU설비데이터 '!$C$20:$T$1000,11,0)</f>
        <v>#N/A</v>
      </c>
      <c r="N290" s="68" t="e">
        <f>VLOOKUP($C290,'Daily_BU설비데이터 '!$C$20:$T$1000,12,0)</f>
        <v>#N/A</v>
      </c>
      <c r="O290" s="68" t="e">
        <f>VLOOKUP($C290,'Daily_BU설비데이터 '!$C$20:$T$1000,13,0)</f>
        <v>#N/A</v>
      </c>
      <c r="P290" s="68" t="e">
        <f>VLOOKUP($C290,'Daily_BU설비데이터 '!$C$20:$T$1000,14,0)</f>
        <v>#N/A</v>
      </c>
      <c r="Q290" s="99" t="e">
        <f t="shared" si="44"/>
        <v>#N/A</v>
      </c>
      <c r="R290" s="100" t="e">
        <f t="shared" si="45"/>
        <v>#N/A</v>
      </c>
      <c r="S290" s="83" t="e">
        <f>VLOOKUP($C290,'Daily_BU설비데이터 '!$C$20:$T$1000,17,0)</f>
        <v>#N/A</v>
      </c>
      <c r="T290" s="83" t="e">
        <f>VLOOKUP($C290,'Daily_BU설비데이터 '!$C$20:$T$1000,18,0)</f>
        <v>#N/A</v>
      </c>
      <c r="U290" s="101" t="e">
        <f t="shared" si="46"/>
        <v>#N/A</v>
      </c>
      <c r="V290" s="45"/>
      <c r="W290" s="45"/>
      <c r="X290" s="45"/>
      <c r="Y290" s="45"/>
      <c r="Z290" s="45"/>
      <c r="AA290" s="45"/>
      <c r="AY290" s="66"/>
      <c r="AZ290" s="66"/>
      <c r="BA290" s="66"/>
      <c r="BB290" s="22"/>
    </row>
    <row r="291" spans="2:54" x14ac:dyDescent="0.45">
      <c r="B291" s="45" t="s">
        <v>675</v>
      </c>
      <c r="C291" s="90"/>
      <c r="D291" s="56"/>
      <c r="E291" s="80"/>
      <c r="F291" s="58" t="e">
        <f>VLOOKUP($C291,'Daily_BU설비데이터 '!$C$20:$T$1000,4,0)</f>
        <v>#N/A</v>
      </c>
      <c r="G291" s="58" t="e">
        <f>VLOOKUP($C291,'Daily_BU설비데이터 '!$C$20:$T$1000,5,0)</f>
        <v>#N/A</v>
      </c>
      <c r="H291" s="58" t="e">
        <f>VLOOKUP($C291,'Daily_BU설비데이터 '!$C$20:$T$1000,6,0)</f>
        <v>#N/A</v>
      </c>
      <c r="I291" s="58" t="e">
        <f>VLOOKUP($C291,'Daily_BU설비데이터 '!$C$20:$T$1000,7,0)</f>
        <v>#N/A</v>
      </c>
      <c r="J291" s="58" t="e">
        <f>VLOOKUP($C291,'Daily_BU설비데이터 '!$C$20:$T$1000,8,0)</f>
        <v>#N/A</v>
      </c>
      <c r="K291" s="58" t="e">
        <f>VLOOKUP($C291,'Daily_BU설비데이터 '!$C$20:$T$1000,9,0)</f>
        <v>#N/A</v>
      </c>
      <c r="L291" s="59" t="e">
        <f t="shared" si="43"/>
        <v>#N/A</v>
      </c>
      <c r="M291" s="68" t="e">
        <f>VLOOKUP($C291,'Daily_BU설비데이터 '!$C$20:$T$1000,11,0)</f>
        <v>#N/A</v>
      </c>
      <c r="N291" s="68" t="e">
        <f>VLOOKUP($C291,'Daily_BU설비데이터 '!$C$20:$T$1000,12,0)</f>
        <v>#N/A</v>
      </c>
      <c r="O291" s="68" t="e">
        <f>VLOOKUP($C291,'Daily_BU설비데이터 '!$C$20:$T$1000,13,0)</f>
        <v>#N/A</v>
      </c>
      <c r="P291" s="68" t="e">
        <f>VLOOKUP($C291,'Daily_BU설비데이터 '!$C$20:$T$1000,14,0)</f>
        <v>#N/A</v>
      </c>
      <c r="Q291" s="99" t="e">
        <f t="shared" si="44"/>
        <v>#N/A</v>
      </c>
      <c r="R291" s="100" t="e">
        <f t="shared" si="45"/>
        <v>#N/A</v>
      </c>
      <c r="S291" s="83" t="e">
        <f>VLOOKUP($C291,'Daily_BU설비데이터 '!$C$20:$T$1000,17,0)</f>
        <v>#N/A</v>
      </c>
      <c r="T291" s="83" t="e">
        <f>VLOOKUP($C291,'Daily_BU설비데이터 '!$C$20:$T$1000,18,0)</f>
        <v>#N/A</v>
      </c>
      <c r="U291" s="101" t="e">
        <f t="shared" si="46"/>
        <v>#N/A</v>
      </c>
      <c r="V291" s="45"/>
      <c r="W291" s="45"/>
      <c r="X291" s="45"/>
      <c r="Y291" s="45"/>
      <c r="Z291" s="45"/>
      <c r="AA291" s="45"/>
      <c r="AY291" s="66"/>
      <c r="AZ291" s="66"/>
      <c r="BA291" s="66"/>
      <c r="BB291" s="22"/>
    </row>
    <row r="292" spans="2:54" x14ac:dyDescent="0.45">
      <c r="B292" s="45" t="s">
        <v>676</v>
      </c>
      <c r="C292" s="90"/>
      <c r="D292" s="56"/>
      <c r="E292" s="84"/>
      <c r="F292" s="58" t="e">
        <f>VLOOKUP($C292,'Daily_BU설비데이터 '!$C$20:$T$1000,4,0)</f>
        <v>#N/A</v>
      </c>
      <c r="G292" s="58" t="e">
        <f>VLOOKUP($C292,'Daily_BU설비데이터 '!$C$20:$T$1000,5,0)</f>
        <v>#N/A</v>
      </c>
      <c r="H292" s="58" t="e">
        <f>VLOOKUP($C292,'Daily_BU설비데이터 '!$C$20:$T$1000,6,0)</f>
        <v>#N/A</v>
      </c>
      <c r="I292" s="58" t="e">
        <f>VLOOKUP($C292,'Daily_BU설비데이터 '!$C$20:$T$1000,7,0)</f>
        <v>#N/A</v>
      </c>
      <c r="J292" s="58" t="e">
        <f>VLOOKUP($C292,'Daily_BU설비데이터 '!$C$20:$T$1000,8,0)</f>
        <v>#N/A</v>
      </c>
      <c r="K292" s="58" t="e">
        <f>VLOOKUP($C292,'Daily_BU설비데이터 '!$C$20:$T$1000,9,0)</f>
        <v>#N/A</v>
      </c>
      <c r="L292" s="59" t="e">
        <f t="shared" si="43"/>
        <v>#N/A</v>
      </c>
      <c r="M292" s="68" t="e">
        <f>VLOOKUP($C292,'Daily_BU설비데이터 '!$C$20:$T$1000,11,0)</f>
        <v>#N/A</v>
      </c>
      <c r="N292" s="68" t="e">
        <f>VLOOKUP($C292,'Daily_BU설비데이터 '!$C$20:$T$1000,12,0)</f>
        <v>#N/A</v>
      </c>
      <c r="O292" s="68" t="e">
        <f>VLOOKUP($C292,'Daily_BU설비데이터 '!$C$20:$T$1000,13,0)</f>
        <v>#N/A</v>
      </c>
      <c r="P292" s="68" t="e">
        <f>VLOOKUP($C292,'Daily_BU설비데이터 '!$C$20:$T$1000,14,0)</f>
        <v>#N/A</v>
      </c>
      <c r="Q292" s="99" t="e">
        <f t="shared" si="44"/>
        <v>#N/A</v>
      </c>
      <c r="R292" s="100" t="e">
        <f t="shared" si="45"/>
        <v>#N/A</v>
      </c>
      <c r="S292" s="83" t="e">
        <f>VLOOKUP($C292,'Daily_BU설비데이터 '!$C$20:$T$1000,17,0)</f>
        <v>#N/A</v>
      </c>
      <c r="T292" s="83" t="e">
        <f>VLOOKUP($C292,'Daily_BU설비데이터 '!$C$20:$T$1000,18,0)</f>
        <v>#N/A</v>
      </c>
      <c r="U292" s="101" t="e">
        <f t="shared" si="46"/>
        <v>#N/A</v>
      </c>
      <c r="V292" s="45"/>
      <c r="W292" s="45"/>
      <c r="X292" s="45"/>
      <c r="Y292" s="45"/>
      <c r="Z292" s="45"/>
      <c r="AA292" s="45"/>
      <c r="AY292" s="66"/>
      <c r="AZ292" s="66"/>
      <c r="BA292" s="66"/>
      <c r="BB292" s="22"/>
    </row>
    <row r="293" spans="2:54" x14ac:dyDescent="0.45">
      <c r="B293" s="45" t="s">
        <v>677</v>
      </c>
      <c r="C293" s="90"/>
      <c r="D293" s="56"/>
      <c r="E293" s="57"/>
      <c r="F293" s="58" t="e">
        <f>VLOOKUP($C293,'Daily_BU설비데이터 '!$C$20:$T$1000,4,0)</f>
        <v>#N/A</v>
      </c>
      <c r="G293" s="58" t="e">
        <f>VLOOKUP($C293,'Daily_BU설비데이터 '!$C$20:$T$1000,5,0)</f>
        <v>#N/A</v>
      </c>
      <c r="H293" s="58" t="e">
        <f>VLOOKUP($C293,'Daily_BU설비데이터 '!$C$20:$T$1000,6,0)</f>
        <v>#N/A</v>
      </c>
      <c r="I293" s="58" t="e">
        <f>VLOOKUP($C293,'Daily_BU설비데이터 '!$C$20:$T$1000,7,0)</f>
        <v>#N/A</v>
      </c>
      <c r="J293" s="58" t="e">
        <f>VLOOKUP($C293,'Daily_BU설비데이터 '!$C$20:$T$1000,8,0)</f>
        <v>#N/A</v>
      </c>
      <c r="K293" s="58" t="e">
        <f>VLOOKUP($C293,'Daily_BU설비데이터 '!$C$20:$T$1000,9,0)</f>
        <v>#N/A</v>
      </c>
      <c r="L293" s="59" t="e">
        <f t="shared" si="43"/>
        <v>#N/A</v>
      </c>
      <c r="M293" s="68" t="e">
        <f>VLOOKUP($C293,'Daily_BU설비데이터 '!$C$20:$T$1000,11,0)</f>
        <v>#N/A</v>
      </c>
      <c r="N293" s="68" t="e">
        <f>VLOOKUP($C293,'Daily_BU설비데이터 '!$C$20:$T$1000,12,0)</f>
        <v>#N/A</v>
      </c>
      <c r="O293" s="68" t="e">
        <f>VLOOKUP($C293,'Daily_BU설비데이터 '!$C$20:$T$1000,13,0)</f>
        <v>#N/A</v>
      </c>
      <c r="P293" s="68" t="e">
        <f>VLOOKUP($C293,'Daily_BU설비데이터 '!$C$20:$T$1000,14,0)</f>
        <v>#N/A</v>
      </c>
      <c r="Q293" s="99" t="e">
        <f t="shared" si="44"/>
        <v>#N/A</v>
      </c>
      <c r="R293" s="100" t="e">
        <f t="shared" si="45"/>
        <v>#N/A</v>
      </c>
      <c r="S293" s="83" t="e">
        <f>VLOOKUP($C293,'Daily_BU설비데이터 '!$C$20:$T$1000,17,0)</f>
        <v>#N/A</v>
      </c>
      <c r="T293" s="83" t="e">
        <f>VLOOKUP($C293,'Daily_BU설비데이터 '!$C$20:$T$1000,18,0)</f>
        <v>#N/A</v>
      </c>
      <c r="U293" s="101" t="e">
        <f t="shared" si="46"/>
        <v>#N/A</v>
      </c>
      <c r="V293" s="45"/>
      <c r="W293" s="45"/>
      <c r="X293" s="45"/>
      <c r="Y293" s="45"/>
      <c r="Z293" s="45"/>
      <c r="AA293" s="45"/>
      <c r="AY293" s="66"/>
      <c r="AZ293" s="66"/>
      <c r="BA293" s="66"/>
      <c r="BB293" s="22"/>
    </row>
    <row r="294" spans="2:54" x14ac:dyDescent="0.45">
      <c r="B294" s="45" t="s">
        <v>678</v>
      </c>
      <c r="C294" s="90"/>
      <c r="D294" s="56"/>
      <c r="E294" s="80"/>
      <c r="F294" s="58" t="e">
        <f>VLOOKUP($C294,'Daily_BU설비데이터 '!$C$20:$T$1000,4,0)</f>
        <v>#N/A</v>
      </c>
      <c r="G294" s="58" t="e">
        <f>VLOOKUP($C294,'Daily_BU설비데이터 '!$C$20:$T$1000,5,0)</f>
        <v>#N/A</v>
      </c>
      <c r="H294" s="58" t="e">
        <f>VLOOKUP($C294,'Daily_BU설비데이터 '!$C$20:$T$1000,6,0)</f>
        <v>#N/A</v>
      </c>
      <c r="I294" s="58" t="e">
        <f>VLOOKUP($C294,'Daily_BU설비데이터 '!$C$20:$T$1000,7,0)</f>
        <v>#N/A</v>
      </c>
      <c r="J294" s="58" t="e">
        <f>VLOOKUP($C294,'Daily_BU설비데이터 '!$C$20:$T$1000,8,0)</f>
        <v>#N/A</v>
      </c>
      <c r="K294" s="58" t="e">
        <f>VLOOKUP($C294,'Daily_BU설비데이터 '!$C$20:$T$1000,9,0)</f>
        <v>#N/A</v>
      </c>
      <c r="L294" s="59" t="e">
        <f t="shared" si="43"/>
        <v>#N/A</v>
      </c>
      <c r="M294" s="68" t="e">
        <f>VLOOKUP($C294,'Daily_BU설비데이터 '!$C$20:$T$1000,11,0)</f>
        <v>#N/A</v>
      </c>
      <c r="N294" s="68" t="e">
        <f>VLOOKUP($C294,'Daily_BU설비데이터 '!$C$20:$T$1000,12,0)</f>
        <v>#N/A</v>
      </c>
      <c r="O294" s="68" t="e">
        <f>VLOOKUP($C294,'Daily_BU설비데이터 '!$C$20:$T$1000,13,0)</f>
        <v>#N/A</v>
      </c>
      <c r="P294" s="68" t="e">
        <f>VLOOKUP($C294,'Daily_BU설비데이터 '!$C$20:$T$1000,14,0)</f>
        <v>#N/A</v>
      </c>
      <c r="Q294" s="99" t="e">
        <f t="shared" si="44"/>
        <v>#N/A</v>
      </c>
      <c r="R294" s="100" t="e">
        <f t="shared" si="45"/>
        <v>#N/A</v>
      </c>
      <c r="S294" s="83" t="e">
        <f>VLOOKUP($C294,'Daily_BU설비데이터 '!$C$20:$T$1000,17,0)</f>
        <v>#N/A</v>
      </c>
      <c r="T294" s="83" t="e">
        <f>VLOOKUP($C294,'Daily_BU설비데이터 '!$C$20:$T$1000,18,0)</f>
        <v>#N/A</v>
      </c>
      <c r="U294" s="101" t="e">
        <f t="shared" si="46"/>
        <v>#N/A</v>
      </c>
      <c r="V294" s="45"/>
      <c r="W294" s="45"/>
      <c r="X294" s="45"/>
      <c r="Y294" s="45"/>
      <c r="Z294" s="45"/>
      <c r="AA294" s="45"/>
      <c r="AY294" s="66"/>
      <c r="AZ294" s="66"/>
      <c r="BA294" s="66"/>
      <c r="BB294" s="22"/>
    </row>
    <row r="295" spans="2:54" x14ac:dyDescent="0.45">
      <c r="B295" s="45" t="s">
        <v>679</v>
      </c>
      <c r="C295" s="90"/>
      <c r="D295" s="56"/>
      <c r="E295" s="84"/>
      <c r="F295" s="58" t="e">
        <f>VLOOKUP($C295,'Daily_BU설비데이터 '!$C$20:$T$1000,4,0)</f>
        <v>#N/A</v>
      </c>
      <c r="G295" s="58" t="e">
        <f>VLOOKUP($C295,'Daily_BU설비데이터 '!$C$20:$T$1000,5,0)</f>
        <v>#N/A</v>
      </c>
      <c r="H295" s="58" t="e">
        <f>VLOOKUP($C295,'Daily_BU설비데이터 '!$C$20:$T$1000,6,0)</f>
        <v>#N/A</v>
      </c>
      <c r="I295" s="58" t="e">
        <f>VLOOKUP($C295,'Daily_BU설비데이터 '!$C$20:$T$1000,7,0)</f>
        <v>#N/A</v>
      </c>
      <c r="J295" s="58" t="e">
        <f>VLOOKUP($C295,'Daily_BU설비데이터 '!$C$20:$T$1000,8,0)</f>
        <v>#N/A</v>
      </c>
      <c r="K295" s="58" t="e">
        <f>VLOOKUP($C295,'Daily_BU설비데이터 '!$C$20:$T$1000,9,0)</f>
        <v>#N/A</v>
      </c>
      <c r="L295" s="59" t="e">
        <f t="shared" si="43"/>
        <v>#N/A</v>
      </c>
      <c r="M295" s="68" t="e">
        <f>VLOOKUP($C295,'Daily_BU설비데이터 '!$C$20:$T$1000,11,0)</f>
        <v>#N/A</v>
      </c>
      <c r="N295" s="68" t="e">
        <f>VLOOKUP($C295,'Daily_BU설비데이터 '!$C$20:$T$1000,12,0)</f>
        <v>#N/A</v>
      </c>
      <c r="O295" s="68" t="e">
        <f>VLOOKUP($C295,'Daily_BU설비데이터 '!$C$20:$T$1000,13,0)</f>
        <v>#N/A</v>
      </c>
      <c r="P295" s="68" t="e">
        <f>VLOOKUP($C295,'Daily_BU설비데이터 '!$C$20:$T$1000,14,0)</f>
        <v>#N/A</v>
      </c>
      <c r="Q295" s="99" t="e">
        <f t="shared" si="44"/>
        <v>#N/A</v>
      </c>
      <c r="R295" s="100" t="e">
        <f t="shared" si="45"/>
        <v>#N/A</v>
      </c>
      <c r="S295" s="83" t="e">
        <f>VLOOKUP($C295,'Daily_BU설비데이터 '!$C$20:$T$1000,17,0)</f>
        <v>#N/A</v>
      </c>
      <c r="T295" s="83" t="e">
        <f>VLOOKUP($C295,'Daily_BU설비데이터 '!$C$20:$T$1000,18,0)</f>
        <v>#N/A</v>
      </c>
      <c r="U295" s="101" t="e">
        <f t="shared" si="46"/>
        <v>#N/A</v>
      </c>
      <c r="V295" s="45"/>
      <c r="W295" s="45"/>
      <c r="X295" s="45"/>
      <c r="Y295" s="45"/>
      <c r="Z295" s="45"/>
      <c r="AA295" s="45"/>
      <c r="AY295" s="66"/>
      <c r="AZ295" s="66"/>
      <c r="BA295" s="66"/>
      <c r="BB295" s="22"/>
    </row>
    <row r="296" spans="2:54" x14ac:dyDescent="0.45">
      <c r="B296" s="45" t="s">
        <v>680</v>
      </c>
      <c r="C296" s="90"/>
      <c r="D296" s="56"/>
      <c r="E296" s="57"/>
      <c r="F296" s="58" t="e">
        <f>VLOOKUP($C296,'Daily_BU설비데이터 '!$C$20:$T$1000,4,0)</f>
        <v>#N/A</v>
      </c>
      <c r="G296" s="58" t="e">
        <f>VLOOKUP($C296,'Daily_BU설비데이터 '!$C$20:$T$1000,5,0)</f>
        <v>#N/A</v>
      </c>
      <c r="H296" s="58" t="e">
        <f>VLOOKUP($C296,'Daily_BU설비데이터 '!$C$20:$T$1000,6,0)</f>
        <v>#N/A</v>
      </c>
      <c r="I296" s="58" t="e">
        <f>VLOOKUP($C296,'Daily_BU설비데이터 '!$C$20:$T$1000,7,0)</f>
        <v>#N/A</v>
      </c>
      <c r="J296" s="58" t="e">
        <f>VLOOKUP($C296,'Daily_BU설비데이터 '!$C$20:$T$1000,8,0)</f>
        <v>#N/A</v>
      </c>
      <c r="K296" s="58" t="e">
        <f>VLOOKUP($C296,'Daily_BU설비데이터 '!$C$20:$T$1000,9,0)</f>
        <v>#N/A</v>
      </c>
      <c r="L296" s="59" t="e">
        <f t="shared" si="43"/>
        <v>#N/A</v>
      </c>
      <c r="M296" s="68" t="e">
        <f>VLOOKUP($C296,'Daily_BU설비데이터 '!$C$20:$T$1000,11,0)</f>
        <v>#N/A</v>
      </c>
      <c r="N296" s="68" t="e">
        <f>VLOOKUP($C296,'Daily_BU설비데이터 '!$C$20:$T$1000,12,0)</f>
        <v>#N/A</v>
      </c>
      <c r="O296" s="68" t="e">
        <f>VLOOKUP($C296,'Daily_BU설비데이터 '!$C$20:$T$1000,13,0)</f>
        <v>#N/A</v>
      </c>
      <c r="P296" s="68" t="e">
        <f>VLOOKUP($C296,'Daily_BU설비데이터 '!$C$20:$T$1000,14,0)</f>
        <v>#N/A</v>
      </c>
      <c r="Q296" s="99" t="e">
        <f t="shared" si="44"/>
        <v>#N/A</v>
      </c>
      <c r="R296" s="100" t="e">
        <f t="shared" si="45"/>
        <v>#N/A</v>
      </c>
      <c r="S296" s="83" t="e">
        <f>VLOOKUP($C296,'Daily_BU설비데이터 '!$C$20:$T$1000,17,0)</f>
        <v>#N/A</v>
      </c>
      <c r="T296" s="83" t="e">
        <f>VLOOKUP($C296,'Daily_BU설비데이터 '!$C$20:$T$1000,18,0)</f>
        <v>#N/A</v>
      </c>
      <c r="U296" s="101" t="e">
        <f t="shared" si="46"/>
        <v>#N/A</v>
      </c>
      <c r="V296" s="45"/>
      <c r="W296" s="45"/>
      <c r="X296" s="45"/>
      <c r="Y296" s="45"/>
      <c r="Z296" s="45"/>
      <c r="AA296" s="45"/>
      <c r="AY296" s="66"/>
      <c r="AZ296" s="66"/>
      <c r="BA296" s="66"/>
      <c r="BB296" s="22"/>
    </row>
    <row r="297" spans="2:54" x14ac:dyDescent="0.45">
      <c r="B297" s="45" t="s">
        <v>681</v>
      </c>
      <c r="C297" s="90"/>
      <c r="D297" s="56"/>
      <c r="E297" s="80"/>
      <c r="F297" s="58" t="e">
        <f>VLOOKUP($C297,'Daily_BU설비데이터 '!$C$20:$T$1000,4,0)</f>
        <v>#N/A</v>
      </c>
      <c r="G297" s="58" t="e">
        <f>VLOOKUP($C297,'Daily_BU설비데이터 '!$C$20:$T$1000,5,0)</f>
        <v>#N/A</v>
      </c>
      <c r="H297" s="58" t="e">
        <f>VLOOKUP($C297,'Daily_BU설비데이터 '!$C$20:$T$1000,6,0)</f>
        <v>#N/A</v>
      </c>
      <c r="I297" s="58" t="e">
        <f>VLOOKUP($C297,'Daily_BU설비데이터 '!$C$20:$T$1000,7,0)</f>
        <v>#N/A</v>
      </c>
      <c r="J297" s="58" t="e">
        <f>VLOOKUP($C297,'Daily_BU설비데이터 '!$C$20:$T$1000,8,0)</f>
        <v>#N/A</v>
      </c>
      <c r="K297" s="58" t="e">
        <f>VLOOKUP($C297,'Daily_BU설비데이터 '!$C$20:$T$1000,9,0)</f>
        <v>#N/A</v>
      </c>
      <c r="L297" s="59" t="e">
        <f t="shared" si="43"/>
        <v>#N/A</v>
      </c>
      <c r="M297" s="68" t="e">
        <f>VLOOKUP($C297,'Daily_BU설비데이터 '!$C$20:$T$1000,11,0)</f>
        <v>#N/A</v>
      </c>
      <c r="N297" s="68" t="e">
        <f>VLOOKUP($C297,'Daily_BU설비데이터 '!$C$20:$T$1000,12,0)</f>
        <v>#N/A</v>
      </c>
      <c r="O297" s="68" t="e">
        <f>VLOOKUP($C297,'Daily_BU설비데이터 '!$C$20:$T$1000,13,0)</f>
        <v>#N/A</v>
      </c>
      <c r="P297" s="68" t="e">
        <f>VLOOKUP($C297,'Daily_BU설비데이터 '!$C$20:$T$1000,14,0)</f>
        <v>#N/A</v>
      </c>
      <c r="Q297" s="99" t="e">
        <f t="shared" si="44"/>
        <v>#N/A</v>
      </c>
      <c r="R297" s="100" t="e">
        <f t="shared" si="45"/>
        <v>#N/A</v>
      </c>
      <c r="S297" s="83" t="e">
        <f>VLOOKUP($C297,'Daily_BU설비데이터 '!$C$20:$T$1000,17,0)</f>
        <v>#N/A</v>
      </c>
      <c r="T297" s="83" t="e">
        <f>VLOOKUP($C297,'Daily_BU설비데이터 '!$C$20:$T$1000,18,0)</f>
        <v>#N/A</v>
      </c>
      <c r="U297" s="101" t="e">
        <f t="shared" si="46"/>
        <v>#N/A</v>
      </c>
      <c r="V297" s="45"/>
      <c r="W297" s="45"/>
      <c r="X297" s="45"/>
      <c r="Y297" s="45"/>
      <c r="Z297" s="45"/>
      <c r="AA297" s="45"/>
      <c r="AY297" s="66"/>
      <c r="AZ297" s="66"/>
      <c r="BA297" s="66"/>
      <c r="BB297" s="22"/>
    </row>
    <row r="298" spans="2:54" x14ac:dyDescent="0.45">
      <c r="B298" s="45" t="s">
        <v>682</v>
      </c>
      <c r="C298" s="90"/>
      <c r="D298" s="56"/>
      <c r="E298" s="84"/>
      <c r="F298" s="58" t="e">
        <f>VLOOKUP($C298,'Daily_BU설비데이터 '!$C$20:$T$1000,4,0)</f>
        <v>#N/A</v>
      </c>
      <c r="G298" s="58" t="e">
        <f>VLOOKUP($C298,'Daily_BU설비데이터 '!$C$20:$T$1000,5,0)</f>
        <v>#N/A</v>
      </c>
      <c r="H298" s="58" t="e">
        <f>VLOOKUP($C298,'Daily_BU설비데이터 '!$C$20:$T$1000,6,0)</f>
        <v>#N/A</v>
      </c>
      <c r="I298" s="58" t="e">
        <f>VLOOKUP($C298,'Daily_BU설비데이터 '!$C$20:$T$1000,7,0)</f>
        <v>#N/A</v>
      </c>
      <c r="J298" s="58" t="e">
        <f>VLOOKUP($C298,'Daily_BU설비데이터 '!$C$20:$T$1000,8,0)</f>
        <v>#N/A</v>
      </c>
      <c r="K298" s="58" t="e">
        <f>VLOOKUP($C298,'Daily_BU설비데이터 '!$C$20:$T$1000,9,0)</f>
        <v>#N/A</v>
      </c>
      <c r="L298" s="59" t="e">
        <f t="shared" si="43"/>
        <v>#N/A</v>
      </c>
      <c r="M298" s="68" t="e">
        <f>VLOOKUP($C298,'Daily_BU설비데이터 '!$C$20:$T$1000,11,0)</f>
        <v>#N/A</v>
      </c>
      <c r="N298" s="68" t="e">
        <f>VLOOKUP($C298,'Daily_BU설비데이터 '!$C$20:$T$1000,12,0)</f>
        <v>#N/A</v>
      </c>
      <c r="O298" s="68" t="e">
        <f>VLOOKUP($C298,'Daily_BU설비데이터 '!$C$20:$T$1000,13,0)</f>
        <v>#N/A</v>
      </c>
      <c r="P298" s="68" t="e">
        <f>VLOOKUP($C298,'Daily_BU설비데이터 '!$C$20:$T$1000,14,0)</f>
        <v>#N/A</v>
      </c>
      <c r="Q298" s="99" t="e">
        <f t="shared" si="44"/>
        <v>#N/A</v>
      </c>
      <c r="R298" s="100" t="e">
        <f t="shared" si="45"/>
        <v>#N/A</v>
      </c>
      <c r="S298" s="83" t="e">
        <f>VLOOKUP($C298,'Daily_BU설비데이터 '!$C$20:$T$1000,17,0)</f>
        <v>#N/A</v>
      </c>
      <c r="T298" s="83" t="e">
        <f>VLOOKUP($C298,'Daily_BU설비데이터 '!$C$20:$T$1000,18,0)</f>
        <v>#N/A</v>
      </c>
      <c r="U298" s="101" t="e">
        <f t="shared" si="46"/>
        <v>#N/A</v>
      </c>
      <c r="V298" s="45"/>
      <c r="W298" s="45"/>
      <c r="X298" s="45"/>
      <c r="Y298" s="45"/>
      <c r="Z298" s="45"/>
      <c r="AA298" s="45"/>
      <c r="AY298" s="66"/>
      <c r="AZ298" s="66"/>
      <c r="BA298" s="66"/>
      <c r="BB298" s="22"/>
    </row>
    <row r="299" spans="2:54" x14ac:dyDescent="0.45">
      <c r="B299" s="45" t="s">
        <v>683</v>
      </c>
      <c r="C299" s="90"/>
      <c r="D299" s="56"/>
      <c r="E299" s="57"/>
      <c r="F299" s="58" t="e">
        <f>VLOOKUP($C299,'Daily_BU설비데이터 '!$C$20:$T$1000,4,0)</f>
        <v>#N/A</v>
      </c>
      <c r="G299" s="58" t="e">
        <f>VLOOKUP($C299,'Daily_BU설비데이터 '!$C$20:$T$1000,5,0)</f>
        <v>#N/A</v>
      </c>
      <c r="H299" s="58" t="e">
        <f>VLOOKUP($C299,'Daily_BU설비데이터 '!$C$20:$T$1000,6,0)</f>
        <v>#N/A</v>
      </c>
      <c r="I299" s="58" t="e">
        <f>VLOOKUP($C299,'Daily_BU설비데이터 '!$C$20:$T$1000,7,0)</f>
        <v>#N/A</v>
      </c>
      <c r="J299" s="58" t="e">
        <f>VLOOKUP($C299,'Daily_BU설비데이터 '!$C$20:$T$1000,8,0)</f>
        <v>#N/A</v>
      </c>
      <c r="K299" s="58" t="e">
        <f>VLOOKUP($C299,'Daily_BU설비데이터 '!$C$20:$T$1000,9,0)</f>
        <v>#N/A</v>
      </c>
      <c r="L299" s="59" t="e">
        <f t="shared" si="43"/>
        <v>#N/A</v>
      </c>
      <c r="M299" s="68" t="e">
        <f>VLOOKUP($C299,'Daily_BU설비데이터 '!$C$20:$T$1000,11,0)</f>
        <v>#N/A</v>
      </c>
      <c r="N299" s="68" t="e">
        <f>VLOOKUP($C299,'Daily_BU설비데이터 '!$C$20:$T$1000,12,0)</f>
        <v>#N/A</v>
      </c>
      <c r="O299" s="68" t="e">
        <f>VLOOKUP($C299,'Daily_BU설비데이터 '!$C$20:$T$1000,13,0)</f>
        <v>#N/A</v>
      </c>
      <c r="P299" s="68" t="e">
        <f>VLOOKUP($C299,'Daily_BU설비데이터 '!$C$20:$T$1000,14,0)</f>
        <v>#N/A</v>
      </c>
      <c r="Q299" s="99" t="e">
        <f t="shared" si="44"/>
        <v>#N/A</v>
      </c>
      <c r="R299" s="100" t="e">
        <f t="shared" si="45"/>
        <v>#N/A</v>
      </c>
      <c r="S299" s="83" t="e">
        <f>VLOOKUP($C299,'Daily_BU설비데이터 '!$C$20:$T$1000,17,0)</f>
        <v>#N/A</v>
      </c>
      <c r="T299" s="83" t="e">
        <f>VLOOKUP($C299,'Daily_BU설비데이터 '!$C$20:$T$1000,18,0)</f>
        <v>#N/A</v>
      </c>
      <c r="U299" s="101" t="e">
        <f t="shared" si="46"/>
        <v>#N/A</v>
      </c>
      <c r="V299" s="45"/>
      <c r="W299" s="45"/>
      <c r="X299" s="45"/>
      <c r="Y299" s="45"/>
      <c r="Z299" s="45"/>
      <c r="AA299" s="45"/>
      <c r="AY299" s="66"/>
      <c r="AZ299" s="66"/>
      <c r="BA299" s="66"/>
      <c r="BB299" s="22"/>
    </row>
    <row r="300" spans="2:54" x14ac:dyDescent="0.45">
      <c r="B300" s="45" t="s">
        <v>684</v>
      </c>
      <c r="C300" s="90"/>
      <c r="D300" s="56"/>
      <c r="E300" s="80"/>
      <c r="F300" s="58" t="e">
        <f>VLOOKUP($C300,'Daily_BU설비데이터 '!$C$20:$T$1000,4,0)</f>
        <v>#N/A</v>
      </c>
      <c r="G300" s="58" t="e">
        <f>VLOOKUP($C300,'Daily_BU설비데이터 '!$C$20:$T$1000,5,0)</f>
        <v>#N/A</v>
      </c>
      <c r="H300" s="58" t="e">
        <f>VLOOKUP($C300,'Daily_BU설비데이터 '!$C$20:$T$1000,6,0)</f>
        <v>#N/A</v>
      </c>
      <c r="I300" s="58" t="e">
        <f>VLOOKUP($C300,'Daily_BU설비데이터 '!$C$20:$T$1000,7,0)</f>
        <v>#N/A</v>
      </c>
      <c r="J300" s="58" t="e">
        <f>VLOOKUP($C300,'Daily_BU설비데이터 '!$C$20:$T$1000,8,0)</f>
        <v>#N/A</v>
      </c>
      <c r="K300" s="58" t="e">
        <f>VLOOKUP($C300,'Daily_BU설비데이터 '!$C$20:$T$1000,9,0)</f>
        <v>#N/A</v>
      </c>
      <c r="L300" s="59" t="e">
        <f t="shared" si="43"/>
        <v>#N/A</v>
      </c>
      <c r="M300" s="68" t="e">
        <f>VLOOKUP($C300,'Daily_BU설비데이터 '!$C$20:$T$1000,11,0)</f>
        <v>#N/A</v>
      </c>
      <c r="N300" s="68" t="e">
        <f>VLOOKUP($C300,'Daily_BU설비데이터 '!$C$20:$T$1000,12,0)</f>
        <v>#N/A</v>
      </c>
      <c r="O300" s="68" t="e">
        <f>VLOOKUP($C300,'Daily_BU설비데이터 '!$C$20:$T$1000,13,0)</f>
        <v>#N/A</v>
      </c>
      <c r="P300" s="68" t="e">
        <f>VLOOKUP($C300,'Daily_BU설비데이터 '!$C$20:$T$1000,14,0)</f>
        <v>#N/A</v>
      </c>
      <c r="Q300" s="99" t="e">
        <f t="shared" si="44"/>
        <v>#N/A</v>
      </c>
      <c r="R300" s="100" t="e">
        <f t="shared" si="45"/>
        <v>#N/A</v>
      </c>
      <c r="S300" s="83" t="e">
        <f>VLOOKUP($C300,'Daily_BU설비데이터 '!$C$20:$T$1000,17,0)</f>
        <v>#N/A</v>
      </c>
      <c r="T300" s="83" t="e">
        <f>VLOOKUP($C300,'Daily_BU설비데이터 '!$C$20:$T$1000,18,0)</f>
        <v>#N/A</v>
      </c>
      <c r="U300" s="101" t="e">
        <f t="shared" si="46"/>
        <v>#N/A</v>
      </c>
      <c r="V300" s="45"/>
      <c r="W300" s="45"/>
      <c r="X300" s="45"/>
      <c r="Y300" s="45"/>
      <c r="Z300" s="45"/>
      <c r="AA300" s="45"/>
      <c r="AY300" s="66"/>
      <c r="AZ300" s="66"/>
      <c r="BA300" s="66"/>
      <c r="BB300" s="22"/>
    </row>
    <row r="301" spans="2:54" x14ac:dyDescent="0.45">
      <c r="B301" s="45" t="s">
        <v>685</v>
      </c>
      <c r="C301" s="90"/>
      <c r="D301" s="56"/>
      <c r="E301" s="84"/>
      <c r="F301" s="58" t="e">
        <f>VLOOKUP($C301,'Daily_BU설비데이터 '!$C$20:$T$1000,4,0)</f>
        <v>#N/A</v>
      </c>
      <c r="G301" s="58" t="e">
        <f>VLOOKUP($C301,'Daily_BU설비데이터 '!$C$20:$T$1000,5,0)</f>
        <v>#N/A</v>
      </c>
      <c r="H301" s="58" t="e">
        <f>VLOOKUP($C301,'Daily_BU설비데이터 '!$C$20:$T$1000,6,0)</f>
        <v>#N/A</v>
      </c>
      <c r="I301" s="58" t="e">
        <f>VLOOKUP($C301,'Daily_BU설비데이터 '!$C$20:$T$1000,7,0)</f>
        <v>#N/A</v>
      </c>
      <c r="J301" s="58" t="e">
        <f>VLOOKUP($C301,'Daily_BU설비데이터 '!$C$20:$T$1000,8,0)</f>
        <v>#N/A</v>
      </c>
      <c r="K301" s="58" t="e">
        <f>VLOOKUP($C301,'Daily_BU설비데이터 '!$C$20:$T$1000,9,0)</f>
        <v>#N/A</v>
      </c>
      <c r="L301" s="59" t="e">
        <f t="shared" si="43"/>
        <v>#N/A</v>
      </c>
      <c r="M301" s="68" t="e">
        <f>VLOOKUP($C301,'Daily_BU설비데이터 '!$C$20:$T$1000,11,0)</f>
        <v>#N/A</v>
      </c>
      <c r="N301" s="68" t="e">
        <f>VLOOKUP($C301,'Daily_BU설비데이터 '!$C$20:$T$1000,12,0)</f>
        <v>#N/A</v>
      </c>
      <c r="O301" s="68" t="e">
        <f>VLOOKUP($C301,'Daily_BU설비데이터 '!$C$20:$T$1000,13,0)</f>
        <v>#N/A</v>
      </c>
      <c r="P301" s="68" t="e">
        <f>VLOOKUP($C301,'Daily_BU설비데이터 '!$C$20:$T$1000,14,0)</f>
        <v>#N/A</v>
      </c>
      <c r="Q301" s="99" t="e">
        <f t="shared" si="44"/>
        <v>#N/A</v>
      </c>
      <c r="R301" s="100" t="e">
        <f t="shared" si="45"/>
        <v>#N/A</v>
      </c>
      <c r="S301" s="83" t="e">
        <f>VLOOKUP($C301,'Daily_BU설비데이터 '!$C$20:$T$1000,17,0)</f>
        <v>#N/A</v>
      </c>
      <c r="T301" s="83" t="e">
        <f>VLOOKUP($C301,'Daily_BU설비데이터 '!$C$20:$T$1000,18,0)</f>
        <v>#N/A</v>
      </c>
      <c r="U301" s="101" t="e">
        <f t="shared" si="46"/>
        <v>#N/A</v>
      </c>
      <c r="V301" s="45"/>
      <c r="W301" s="45"/>
      <c r="X301" s="45"/>
      <c r="Y301" s="45"/>
      <c r="Z301" s="45"/>
      <c r="AA301" s="45"/>
      <c r="AY301" s="66"/>
      <c r="AZ301" s="66"/>
      <c r="BA301" s="66"/>
      <c r="BB301" s="22"/>
    </row>
    <row r="302" spans="2:54" x14ac:dyDescent="0.45">
      <c r="B302" s="45" t="s">
        <v>686</v>
      </c>
      <c r="C302" s="90"/>
      <c r="D302" s="56"/>
      <c r="E302" s="57"/>
      <c r="F302" s="58" t="e">
        <f>VLOOKUP($C302,'Daily_BU설비데이터 '!$C$20:$T$1000,4,0)</f>
        <v>#N/A</v>
      </c>
      <c r="G302" s="58" t="e">
        <f>VLOOKUP($C302,'Daily_BU설비데이터 '!$C$20:$T$1000,5,0)</f>
        <v>#N/A</v>
      </c>
      <c r="H302" s="58" t="e">
        <f>VLOOKUP($C302,'Daily_BU설비데이터 '!$C$20:$T$1000,6,0)</f>
        <v>#N/A</v>
      </c>
      <c r="I302" s="58" t="e">
        <f>VLOOKUP($C302,'Daily_BU설비데이터 '!$C$20:$T$1000,7,0)</f>
        <v>#N/A</v>
      </c>
      <c r="J302" s="58" t="e">
        <f>VLOOKUP($C302,'Daily_BU설비데이터 '!$C$20:$T$1000,8,0)</f>
        <v>#N/A</v>
      </c>
      <c r="K302" s="58" t="e">
        <f>VLOOKUP($C302,'Daily_BU설비데이터 '!$C$20:$T$1000,9,0)</f>
        <v>#N/A</v>
      </c>
      <c r="L302" s="59" t="e">
        <f t="shared" si="43"/>
        <v>#N/A</v>
      </c>
      <c r="M302" s="68" t="e">
        <f>VLOOKUP($C302,'Daily_BU설비데이터 '!$C$20:$T$1000,11,0)</f>
        <v>#N/A</v>
      </c>
      <c r="N302" s="68" t="e">
        <f>VLOOKUP($C302,'Daily_BU설비데이터 '!$C$20:$T$1000,12,0)</f>
        <v>#N/A</v>
      </c>
      <c r="O302" s="68" t="e">
        <f>VLOOKUP($C302,'Daily_BU설비데이터 '!$C$20:$T$1000,13,0)</f>
        <v>#N/A</v>
      </c>
      <c r="P302" s="68" t="e">
        <f>VLOOKUP($C302,'Daily_BU설비데이터 '!$C$20:$T$1000,14,0)</f>
        <v>#N/A</v>
      </c>
      <c r="Q302" s="99" t="e">
        <f t="shared" si="44"/>
        <v>#N/A</v>
      </c>
      <c r="R302" s="100" t="e">
        <f t="shared" si="45"/>
        <v>#N/A</v>
      </c>
      <c r="S302" s="83" t="e">
        <f>VLOOKUP($C302,'Daily_BU설비데이터 '!$C$20:$T$1000,17,0)</f>
        <v>#N/A</v>
      </c>
      <c r="T302" s="83" t="e">
        <f>VLOOKUP($C302,'Daily_BU설비데이터 '!$C$20:$T$1000,18,0)</f>
        <v>#N/A</v>
      </c>
      <c r="U302" s="101" t="e">
        <f t="shared" si="46"/>
        <v>#N/A</v>
      </c>
      <c r="V302" s="45"/>
      <c r="W302" s="45"/>
      <c r="X302" s="45"/>
      <c r="Y302" s="45"/>
      <c r="Z302" s="45"/>
      <c r="AA302" s="45"/>
      <c r="AY302" s="66"/>
      <c r="AZ302" s="66"/>
      <c r="BA302" s="66"/>
      <c r="BB302" s="22"/>
    </row>
    <row r="303" spans="2:54" x14ac:dyDescent="0.45">
      <c r="B303" s="45" t="s">
        <v>687</v>
      </c>
      <c r="C303" s="90"/>
      <c r="D303" s="56"/>
      <c r="E303" s="80"/>
      <c r="F303" s="58" t="e">
        <f>VLOOKUP($C303,'Daily_BU설비데이터 '!$C$20:$T$1000,4,0)</f>
        <v>#N/A</v>
      </c>
      <c r="G303" s="58" t="e">
        <f>VLOOKUP($C303,'Daily_BU설비데이터 '!$C$20:$T$1000,5,0)</f>
        <v>#N/A</v>
      </c>
      <c r="H303" s="58" t="e">
        <f>VLOOKUP($C303,'Daily_BU설비데이터 '!$C$20:$T$1000,6,0)</f>
        <v>#N/A</v>
      </c>
      <c r="I303" s="58" t="e">
        <f>VLOOKUP($C303,'Daily_BU설비데이터 '!$C$20:$T$1000,7,0)</f>
        <v>#N/A</v>
      </c>
      <c r="J303" s="58" t="e">
        <f>VLOOKUP($C303,'Daily_BU설비데이터 '!$C$20:$T$1000,8,0)</f>
        <v>#N/A</v>
      </c>
      <c r="K303" s="58" t="e">
        <f>VLOOKUP($C303,'Daily_BU설비데이터 '!$C$20:$T$1000,9,0)</f>
        <v>#N/A</v>
      </c>
      <c r="L303" s="59" t="e">
        <f t="shared" si="43"/>
        <v>#N/A</v>
      </c>
      <c r="M303" s="68" t="e">
        <f>VLOOKUP($C303,'Daily_BU설비데이터 '!$C$20:$T$1000,11,0)</f>
        <v>#N/A</v>
      </c>
      <c r="N303" s="68" t="e">
        <f>VLOOKUP($C303,'Daily_BU설비데이터 '!$C$20:$T$1000,12,0)</f>
        <v>#N/A</v>
      </c>
      <c r="O303" s="68" t="e">
        <f>VLOOKUP($C303,'Daily_BU설비데이터 '!$C$20:$T$1000,13,0)</f>
        <v>#N/A</v>
      </c>
      <c r="P303" s="68" t="e">
        <f>VLOOKUP($C303,'Daily_BU설비데이터 '!$C$20:$T$1000,14,0)</f>
        <v>#N/A</v>
      </c>
      <c r="Q303" s="99" t="e">
        <f t="shared" si="44"/>
        <v>#N/A</v>
      </c>
      <c r="R303" s="100" t="e">
        <f t="shared" si="45"/>
        <v>#N/A</v>
      </c>
      <c r="S303" s="83" t="e">
        <f>VLOOKUP($C303,'Daily_BU설비데이터 '!$C$20:$T$1000,17,0)</f>
        <v>#N/A</v>
      </c>
      <c r="T303" s="83" t="e">
        <f>VLOOKUP($C303,'Daily_BU설비데이터 '!$C$20:$T$1000,18,0)</f>
        <v>#N/A</v>
      </c>
      <c r="U303" s="101" t="e">
        <f t="shared" si="46"/>
        <v>#N/A</v>
      </c>
      <c r="V303" s="45"/>
      <c r="W303" s="45"/>
      <c r="X303" s="45"/>
      <c r="Y303" s="45"/>
      <c r="Z303" s="45"/>
      <c r="AA303" s="45"/>
      <c r="AY303" s="66"/>
      <c r="AZ303" s="66"/>
      <c r="BA303" s="66"/>
      <c r="BB303" s="22"/>
    </row>
    <row r="304" spans="2:54" x14ac:dyDescent="0.45">
      <c r="B304" s="45" t="s">
        <v>688</v>
      </c>
      <c r="C304" s="90"/>
      <c r="D304" s="56"/>
      <c r="E304" s="84"/>
      <c r="F304" s="58" t="e">
        <f>VLOOKUP($C304,'Daily_BU설비데이터 '!$C$20:$T$1000,4,0)</f>
        <v>#N/A</v>
      </c>
      <c r="G304" s="58" t="e">
        <f>VLOOKUP($C304,'Daily_BU설비데이터 '!$C$20:$T$1000,5,0)</f>
        <v>#N/A</v>
      </c>
      <c r="H304" s="58" t="e">
        <f>VLOOKUP($C304,'Daily_BU설비데이터 '!$C$20:$T$1000,6,0)</f>
        <v>#N/A</v>
      </c>
      <c r="I304" s="58" t="e">
        <f>VLOOKUP($C304,'Daily_BU설비데이터 '!$C$20:$T$1000,7,0)</f>
        <v>#N/A</v>
      </c>
      <c r="J304" s="58" t="e">
        <f>VLOOKUP($C304,'Daily_BU설비데이터 '!$C$20:$T$1000,8,0)</f>
        <v>#N/A</v>
      </c>
      <c r="K304" s="58" t="e">
        <f>VLOOKUP($C304,'Daily_BU설비데이터 '!$C$20:$T$1000,9,0)</f>
        <v>#N/A</v>
      </c>
      <c r="L304" s="59" t="e">
        <f t="shared" si="43"/>
        <v>#N/A</v>
      </c>
      <c r="M304" s="68" t="e">
        <f>VLOOKUP($C304,'Daily_BU설비데이터 '!$C$20:$T$1000,11,0)</f>
        <v>#N/A</v>
      </c>
      <c r="N304" s="68" t="e">
        <f>VLOOKUP($C304,'Daily_BU설비데이터 '!$C$20:$T$1000,12,0)</f>
        <v>#N/A</v>
      </c>
      <c r="O304" s="68" t="e">
        <f>VLOOKUP($C304,'Daily_BU설비데이터 '!$C$20:$T$1000,13,0)</f>
        <v>#N/A</v>
      </c>
      <c r="P304" s="68" t="e">
        <f>VLOOKUP($C304,'Daily_BU설비데이터 '!$C$20:$T$1000,14,0)</f>
        <v>#N/A</v>
      </c>
      <c r="Q304" s="99" t="e">
        <f t="shared" si="44"/>
        <v>#N/A</v>
      </c>
      <c r="R304" s="100" t="e">
        <f t="shared" si="45"/>
        <v>#N/A</v>
      </c>
      <c r="S304" s="83" t="e">
        <f>VLOOKUP($C304,'Daily_BU설비데이터 '!$C$20:$T$1000,17,0)</f>
        <v>#N/A</v>
      </c>
      <c r="T304" s="83" t="e">
        <f>VLOOKUP($C304,'Daily_BU설비데이터 '!$C$20:$T$1000,18,0)</f>
        <v>#N/A</v>
      </c>
      <c r="U304" s="101" t="e">
        <f t="shared" si="46"/>
        <v>#N/A</v>
      </c>
      <c r="V304" s="45"/>
      <c r="W304" s="45"/>
      <c r="X304" s="45"/>
      <c r="Y304" s="45"/>
      <c r="Z304" s="45"/>
      <c r="AA304" s="45"/>
      <c r="AY304" s="66"/>
      <c r="AZ304" s="66"/>
      <c r="BA304" s="66"/>
      <c r="BB304" s="22"/>
    </row>
    <row r="305" spans="2:54" x14ac:dyDescent="0.45">
      <c r="B305" s="45" t="s">
        <v>689</v>
      </c>
      <c r="C305" s="90"/>
      <c r="D305" s="56"/>
      <c r="E305" s="57"/>
      <c r="F305" s="58" t="e">
        <f>VLOOKUP($C305,'Daily_BU설비데이터 '!$C$20:$T$1000,4,0)</f>
        <v>#N/A</v>
      </c>
      <c r="G305" s="58" t="e">
        <f>VLOOKUP($C305,'Daily_BU설비데이터 '!$C$20:$T$1000,5,0)</f>
        <v>#N/A</v>
      </c>
      <c r="H305" s="58" t="e">
        <f>VLOOKUP($C305,'Daily_BU설비데이터 '!$C$20:$T$1000,6,0)</f>
        <v>#N/A</v>
      </c>
      <c r="I305" s="58" t="e">
        <f>VLOOKUP($C305,'Daily_BU설비데이터 '!$C$20:$T$1000,7,0)</f>
        <v>#N/A</v>
      </c>
      <c r="J305" s="58" t="e">
        <f>VLOOKUP($C305,'Daily_BU설비데이터 '!$C$20:$T$1000,8,0)</f>
        <v>#N/A</v>
      </c>
      <c r="K305" s="58" t="e">
        <f>VLOOKUP($C305,'Daily_BU설비데이터 '!$C$20:$T$1000,9,0)</f>
        <v>#N/A</v>
      </c>
      <c r="L305" s="59" t="e">
        <f t="shared" si="43"/>
        <v>#N/A</v>
      </c>
      <c r="M305" s="68" t="e">
        <f>VLOOKUP($C305,'Daily_BU설비데이터 '!$C$20:$T$1000,11,0)</f>
        <v>#N/A</v>
      </c>
      <c r="N305" s="68" t="e">
        <f>VLOOKUP($C305,'Daily_BU설비데이터 '!$C$20:$T$1000,12,0)</f>
        <v>#N/A</v>
      </c>
      <c r="O305" s="68" t="e">
        <f>VLOOKUP($C305,'Daily_BU설비데이터 '!$C$20:$T$1000,13,0)</f>
        <v>#N/A</v>
      </c>
      <c r="P305" s="68" t="e">
        <f>VLOOKUP($C305,'Daily_BU설비데이터 '!$C$20:$T$1000,14,0)</f>
        <v>#N/A</v>
      </c>
      <c r="Q305" s="99" t="e">
        <f t="shared" si="44"/>
        <v>#N/A</v>
      </c>
      <c r="R305" s="100" t="e">
        <f t="shared" si="45"/>
        <v>#N/A</v>
      </c>
      <c r="S305" s="83" t="e">
        <f>VLOOKUP($C305,'Daily_BU설비데이터 '!$C$20:$T$1000,17,0)</f>
        <v>#N/A</v>
      </c>
      <c r="T305" s="83" t="e">
        <f>VLOOKUP($C305,'Daily_BU설비데이터 '!$C$20:$T$1000,18,0)</f>
        <v>#N/A</v>
      </c>
      <c r="U305" s="101" t="e">
        <f t="shared" si="46"/>
        <v>#N/A</v>
      </c>
      <c r="V305" s="45"/>
      <c r="W305" s="45"/>
      <c r="X305" s="45"/>
      <c r="Y305" s="45"/>
      <c r="Z305" s="45"/>
      <c r="AA305" s="45"/>
      <c r="AY305" s="66"/>
      <c r="AZ305" s="66"/>
      <c r="BA305" s="66"/>
      <c r="BB305" s="22"/>
    </row>
    <row r="306" spans="2:54" x14ac:dyDescent="0.45">
      <c r="B306" s="45" t="s">
        <v>690</v>
      </c>
      <c r="C306" s="90"/>
      <c r="D306" s="56"/>
      <c r="E306" s="80"/>
      <c r="F306" s="58" t="e">
        <f>VLOOKUP($C306,'Daily_BU설비데이터 '!$C$20:$T$1000,4,0)</f>
        <v>#N/A</v>
      </c>
      <c r="G306" s="58" t="e">
        <f>VLOOKUP($C306,'Daily_BU설비데이터 '!$C$20:$T$1000,5,0)</f>
        <v>#N/A</v>
      </c>
      <c r="H306" s="58" t="e">
        <f>VLOOKUP($C306,'Daily_BU설비데이터 '!$C$20:$T$1000,6,0)</f>
        <v>#N/A</v>
      </c>
      <c r="I306" s="58" t="e">
        <f>VLOOKUP($C306,'Daily_BU설비데이터 '!$C$20:$T$1000,7,0)</f>
        <v>#N/A</v>
      </c>
      <c r="J306" s="58" t="e">
        <f>VLOOKUP($C306,'Daily_BU설비데이터 '!$C$20:$T$1000,8,0)</f>
        <v>#N/A</v>
      </c>
      <c r="K306" s="58" t="e">
        <f>VLOOKUP($C306,'Daily_BU설비데이터 '!$C$20:$T$1000,9,0)</f>
        <v>#N/A</v>
      </c>
      <c r="L306" s="59" t="e">
        <f t="shared" si="43"/>
        <v>#N/A</v>
      </c>
      <c r="M306" s="68" t="e">
        <f>VLOOKUP($C306,'Daily_BU설비데이터 '!$C$20:$T$1000,11,0)</f>
        <v>#N/A</v>
      </c>
      <c r="N306" s="68" t="e">
        <f>VLOOKUP($C306,'Daily_BU설비데이터 '!$C$20:$T$1000,12,0)</f>
        <v>#N/A</v>
      </c>
      <c r="O306" s="68" t="e">
        <f>VLOOKUP($C306,'Daily_BU설비데이터 '!$C$20:$T$1000,13,0)</f>
        <v>#N/A</v>
      </c>
      <c r="P306" s="68" t="e">
        <f>VLOOKUP($C306,'Daily_BU설비데이터 '!$C$20:$T$1000,14,0)</f>
        <v>#N/A</v>
      </c>
      <c r="Q306" s="99" t="e">
        <f t="shared" si="44"/>
        <v>#N/A</v>
      </c>
      <c r="R306" s="100" t="e">
        <f t="shared" si="45"/>
        <v>#N/A</v>
      </c>
      <c r="S306" s="83" t="e">
        <f>VLOOKUP($C306,'Daily_BU설비데이터 '!$C$20:$T$1000,17,0)</f>
        <v>#N/A</v>
      </c>
      <c r="T306" s="83" t="e">
        <f>VLOOKUP($C306,'Daily_BU설비데이터 '!$C$20:$T$1000,18,0)</f>
        <v>#N/A</v>
      </c>
      <c r="U306" s="101" t="e">
        <f t="shared" si="46"/>
        <v>#N/A</v>
      </c>
      <c r="V306" s="45"/>
      <c r="W306" s="45"/>
      <c r="X306" s="45"/>
      <c r="Y306" s="45"/>
      <c r="Z306" s="45"/>
      <c r="AA306" s="45"/>
      <c r="AY306" s="66"/>
      <c r="AZ306" s="66"/>
      <c r="BA306" s="66"/>
      <c r="BB306" s="22"/>
    </row>
    <row r="307" spans="2:54" x14ac:dyDescent="0.45">
      <c r="B307" s="45" t="s">
        <v>691</v>
      </c>
      <c r="C307" s="90"/>
      <c r="D307" s="56"/>
      <c r="E307" s="84"/>
      <c r="F307" s="58" t="e">
        <f>VLOOKUP($C307,'Daily_BU설비데이터 '!$C$20:$T$1000,4,0)</f>
        <v>#N/A</v>
      </c>
      <c r="G307" s="58" t="e">
        <f>VLOOKUP($C307,'Daily_BU설비데이터 '!$C$20:$T$1000,5,0)</f>
        <v>#N/A</v>
      </c>
      <c r="H307" s="58" t="e">
        <f>VLOOKUP($C307,'Daily_BU설비데이터 '!$C$20:$T$1000,6,0)</f>
        <v>#N/A</v>
      </c>
      <c r="I307" s="58" t="e">
        <f>VLOOKUP($C307,'Daily_BU설비데이터 '!$C$20:$T$1000,7,0)</f>
        <v>#N/A</v>
      </c>
      <c r="J307" s="58" t="e">
        <f>VLOOKUP($C307,'Daily_BU설비데이터 '!$C$20:$T$1000,8,0)</f>
        <v>#N/A</v>
      </c>
      <c r="K307" s="58" t="e">
        <f>VLOOKUP($C307,'Daily_BU설비데이터 '!$C$20:$T$1000,9,0)</f>
        <v>#N/A</v>
      </c>
      <c r="L307" s="59" t="e">
        <f t="shared" si="43"/>
        <v>#N/A</v>
      </c>
      <c r="M307" s="68" t="e">
        <f>VLOOKUP($C307,'Daily_BU설비데이터 '!$C$20:$T$1000,11,0)</f>
        <v>#N/A</v>
      </c>
      <c r="N307" s="68" t="e">
        <f>VLOOKUP($C307,'Daily_BU설비데이터 '!$C$20:$T$1000,12,0)</f>
        <v>#N/A</v>
      </c>
      <c r="O307" s="68" t="e">
        <f>VLOOKUP($C307,'Daily_BU설비데이터 '!$C$20:$T$1000,13,0)</f>
        <v>#N/A</v>
      </c>
      <c r="P307" s="68" t="e">
        <f>VLOOKUP($C307,'Daily_BU설비데이터 '!$C$20:$T$1000,14,0)</f>
        <v>#N/A</v>
      </c>
      <c r="Q307" s="99" t="e">
        <f t="shared" si="44"/>
        <v>#N/A</v>
      </c>
      <c r="R307" s="100" t="e">
        <f t="shared" si="45"/>
        <v>#N/A</v>
      </c>
      <c r="S307" s="83" t="e">
        <f>VLOOKUP($C307,'Daily_BU설비데이터 '!$C$20:$T$1000,17,0)</f>
        <v>#N/A</v>
      </c>
      <c r="T307" s="83" t="e">
        <f>VLOOKUP($C307,'Daily_BU설비데이터 '!$C$20:$T$1000,18,0)</f>
        <v>#N/A</v>
      </c>
      <c r="U307" s="101" t="e">
        <f t="shared" si="46"/>
        <v>#N/A</v>
      </c>
      <c r="V307" s="45"/>
      <c r="W307" s="45"/>
      <c r="X307" s="45"/>
      <c r="Y307" s="45"/>
      <c r="Z307" s="45"/>
      <c r="AA307" s="45"/>
      <c r="AY307" s="66"/>
      <c r="AZ307" s="66"/>
      <c r="BA307" s="66"/>
      <c r="BB307" s="22"/>
    </row>
    <row r="308" spans="2:54" x14ac:dyDescent="0.45">
      <c r="B308" s="45" t="s">
        <v>692</v>
      </c>
      <c r="C308" s="90"/>
      <c r="D308" s="56"/>
      <c r="E308" s="57"/>
      <c r="F308" s="58" t="e">
        <f>VLOOKUP($C308,'Daily_BU설비데이터 '!$C$20:$T$1000,4,0)</f>
        <v>#N/A</v>
      </c>
      <c r="G308" s="58" t="e">
        <f>VLOOKUP($C308,'Daily_BU설비데이터 '!$C$20:$T$1000,5,0)</f>
        <v>#N/A</v>
      </c>
      <c r="H308" s="58" t="e">
        <f>VLOOKUP($C308,'Daily_BU설비데이터 '!$C$20:$T$1000,6,0)</f>
        <v>#N/A</v>
      </c>
      <c r="I308" s="58" t="e">
        <f>VLOOKUP($C308,'Daily_BU설비데이터 '!$C$20:$T$1000,7,0)</f>
        <v>#N/A</v>
      </c>
      <c r="J308" s="58" t="e">
        <f>VLOOKUP($C308,'Daily_BU설비데이터 '!$C$20:$T$1000,8,0)</f>
        <v>#N/A</v>
      </c>
      <c r="K308" s="58" t="e">
        <f>VLOOKUP($C308,'Daily_BU설비데이터 '!$C$20:$T$1000,9,0)</f>
        <v>#N/A</v>
      </c>
      <c r="L308" s="59" t="e">
        <f t="shared" si="43"/>
        <v>#N/A</v>
      </c>
      <c r="M308" s="68" t="e">
        <f>VLOOKUP($C308,'Daily_BU설비데이터 '!$C$20:$T$1000,11,0)</f>
        <v>#N/A</v>
      </c>
      <c r="N308" s="68" t="e">
        <f>VLOOKUP($C308,'Daily_BU설비데이터 '!$C$20:$T$1000,12,0)</f>
        <v>#N/A</v>
      </c>
      <c r="O308" s="68" t="e">
        <f>VLOOKUP($C308,'Daily_BU설비데이터 '!$C$20:$T$1000,13,0)</f>
        <v>#N/A</v>
      </c>
      <c r="P308" s="68" t="e">
        <f>VLOOKUP($C308,'Daily_BU설비데이터 '!$C$20:$T$1000,14,0)</f>
        <v>#N/A</v>
      </c>
      <c r="Q308" s="99" t="e">
        <f t="shared" si="44"/>
        <v>#N/A</v>
      </c>
      <c r="R308" s="100" t="e">
        <f t="shared" si="45"/>
        <v>#N/A</v>
      </c>
      <c r="S308" s="83" t="e">
        <f>VLOOKUP($C308,'Daily_BU설비데이터 '!$C$20:$T$1000,17,0)</f>
        <v>#N/A</v>
      </c>
      <c r="T308" s="83" t="e">
        <f>VLOOKUP($C308,'Daily_BU설비데이터 '!$C$20:$T$1000,18,0)</f>
        <v>#N/A</v>
      </c>
      <c r="U308" s="101" t="e">
        <f t="shared" si="46"/>
        <v>#N/A</v>
      </c>
      <c r="V308" s="45"/>
      <c r="W308" s="45"/>
      <c r="X308" s="45"/>
      <c r="Y308" s="45"/>
      <c r="Z308" s="45"/>
      <c r="AA308" s="45"/>
      <c r="AY308" s="66"/>
      <c r="AZ308" s="66"/>
      <c r="BA308" s="66"/>
      <c r="BB308" s="22"/>
    </row>
    <row r="309" spans="2:54" x14ac:dyDescent="0.45">
      <c r="B309" s="45" t="s">
        <v>693</v>
      </c>
      <c r="C309" s="90"/>
      <c r="D309" s="56"/>
      <c r="E309" s="80"/>
      <c r="F309" s="58" t="e">
        <f>VLOOKUP($C309,'Daily_BU설비데이터 '!$C$20:$T$1000,4,0)</f>
        <v>#N/A</v>
      </c>
      <c r="G309" s="58" t="e">
        <f>VLOOKUP($C309,'Daily_BU설비데이터 '!$C$20:$T$1000,5,0)</f>
        <v>#N/A</v>
      </c>
      <c r="H309" s="58" t="e">
        <f>VLOOKUP($C309,'Daily_BU설비데이터 '!$C$20:$T$1000,6,0)</f>
        <v>#N/A</v>
      </c>
      <c r="I309" s="58" t="e">
        <f>VLOOKUP($C309,'Daily_BU설비데이터 '!$C$20:$T$1000,7,0)</f>
        <v>#N/A</v>
      </c>
      <c r="J309" s="58" t="e">
        <f>VLOOKUP($C309,'Daily_BU설비데이터 '!$C$20:$T$1000,8,0)</f>
        <v>#N/A</v>
      </c>
      <c r="K309" s="58" t="e">
        <f>VLOOKUP($C309,'Daily_BU설비데이터 '!$C$20:$T$1000,9,0)</f>
        <v>#N/A</v>
      </c>
      <c r="L309" s="59" t="e">
        <f t="shared" si="43"/>
        <v>#N/A</v>
      </c>
      <c r="M309" s="68" t="e">
        <f>VLOOKUP($C309,'Daily_BU설비데이터 '!$C$20:$T$1000,11,0)</f>
        <v>#N/A</v>
      </c>
      <c r="N309" s="68" t="e">
        <f>VLOOKUP($C309,'Daily_BU설비데이터 '!$C$20:$T$1000,12,0)</f>
        <v>#N/A</v>
      </c>
      <c r="O309" s="68" t="e">
        <f>VLOOKUP($C309,'Daily_BU설비데이터 '!$C$20:$T$1000,13,0)</f>
        <v>#N/A</v>
      </c>
      <c r="P309" s="68" t="e">
        <f>VLOOKUP($C309,'Daily_BU설비데이터 '!$C$20:$T$1000,14,0)</f>
        <v>#N/A</v>
      </c>
      <c r="Q309" s="99" t="e">
        <f t="shared" si="44"/>
        <v>#N/A</v>
      </c>
      <c r="R309" s="100" t="e">
        <f t="shared" si="45"/>
        <v>#N/A</v>
      </c>
      <c r="S309" s="83" t="e">
        <f>VLOOKUP($C309,'Daily_BU설비데이터 '!$C$20:$T$1000,17,0)</f>
        <v>#N/A</v>
      </c>
      <c r="T309" s="83" t="e">
        <f>VLOOKUP($C309,'Daily_BU설비데이터 '!$C$20:$T$1000,18,0)</f>
        <v>#N/A</v>
      </c>
      <c r="U309" s="101" t="e">
        <f t="shared" si="46"/>
        <v>#N/A</v>
      </c>
      <c r="V309" s="45"/>
      <c r="W309" s="45"/>
      <c r="X309" s="45"/>
      <c r="Y309" s="45"/>
      <c r="Z309" s="45"/>
      <c r="AA309" s="45"/>
      <c r="AY309" s="66"/>
      <c r="AZ309" s="66"/>
      <c r="BA309" s="66"/>
      <c r="BB309" s="22"/>
    </row>
    <row r="310" spans="2:54" x14ac:dyDescent="0.45">
      <c r="B310" s="45" t="s">
        <v>694</v>
      </c>
      <c r="C310" s="90"/>
      <c r="D310" s="56"/>
      <c r="E310" s="84"/>
      <c r="F310" s="58" t="e">
        <f>VLOOKUP($C310,'Daily_BU설비데이터 '!$C$20:$T$1000,4,0)</f>
        <v>#N/A</v>
      </c>
      <c r="G310" s="58" t="e">
        <f>VLOOKUP($C310,'Daily_BU설비데이터 '!$C$20:$T$1000,5,0)</f>
        <v>#N/A</v>
      </c>
      <c r="H310" s="58" t="e">
        <f>VLOOKUP($C310,'Daily_BU설비데이터 '!$C$20:$T$1000,6,0)</f>
        <v>#N/A</v>
      </c>
      <c r="I310" s="58" t="e">
        <f>VLOOKUP($C310,'Daily_BU설비데이터 '!$C$20:$T$1000,7,0)</f>
        <v>#N/A</v>
      </c>
      <c r="J310" s="58" t="e">
        <f>VLOOKUP($C310,'Daily_BU설비데이터 '!$C$20:$T$1000,8,0)</f>
        <v>#N/A</v>
      </c>
      <c r="K310" s="58" t="e">
        <f>VLOOKUP($C310,'Daily_BU설비데이터 '!$C$20:$T$1000,9,0)</f>
        <v>#N/A</v>
      </c>
      <c r="L310" s="59" t="e">
        <f t="shared" si="43"/>
        <v>#N/A</v>
      </c>
      <c r="M310" s="68" t="e">
        <f>VLOOKUP($C310,'Daily_BU설비데이터 '!$C$20:$T$1000,11,0)</f>
        <v>#N/A</v>
      </c>
      <c r="N310" s="68" t="e">
        <f>VLOOKUP($C310,'Daily_BU설비데이터 '!$C$20:$T$1000,12,0)</f>
        <v>#N/A</v>
      </c>
      <c r="O310" s="68" t="e">
        <f>VLOOKUP($C310,'Daily_BU설비데이터 '!$C$20:$T$1000,13,0)</f>
        <v>#N/A</v>
      </c>
      <c r="P310" s="68" t="e">
        <f>VLOOKUP($C310,'Daily_BU설비데이터 '!$C$20:$T$1000,14,0)</f>
        <v>#N/A</v>
      </c>
      <c r="Q310" s="99" t="e">
        <f t="shared" si="44"/>
        <v>#N/A</v>
      </c>
      <c r="R310" s="100" t="e">
        <f t="shared" si="45"/>
        <v>#N/A</v>
      </c>
      <c r="S310" s="83" t="e">
        <f>VLOOKUP($C310,'Daily_BU설비데이터 '!$C$20:$T$1000,17,0)</f>
        <v>#N/A</v>
      </c>
      <c r="T310" s="83" t="e">
        <f>VLOOKUP($C310,'Daily_BU설비데이터 '!$C$20:$T$1000,18,0)</f>
        <v>#N/A</v>
      </c>
      <c r="U310" s="101" t="e">
        <f t="shared" si="46"/>
        <v>#N/A</v>
      </c>
      <c r="V310" s="45"/>
      <c r="W310" s="45"/>
      <c r="X310" s="45"/>
      <c r="Y310" s="45"/>
      <c r="Z310" s="45"/>
      <c r="AA310" s="45"/>
      <c r="AY310" s="66"/>
      <c r="AZ310" s="66"/>
      <c r="BA310" s="66"/>
      <c r="BB310" s="22"/>
    </row>
    <row r="311" spans="2:54" x14ac:dyDescent="0.45">
      <c r="B311" s="45" t="s">
        <v>695</v>
      </c>
      <c r="C311" s="90"/>
      <c r="D311" s="56"/>
      <c r="E311" s="57"/>
      <c r="F311" s="58" t="e">
        <f>VLOOKUP($C311,'Daily_BU설비데이터 '!$C$20:$T$1000,4,0)</f>
        <v>#N/A</v>
      </c>
      <c r="G311" s="58" t="e">
        <f>VLOOKUP($C311,'Daily_BU설비데이터 '!$C$20:$T$1000,5,0)</f>
        <v>#N/A</v>
      </c>
      <c r="H311" s="58" t="e">
        <f>VLOOKUP($C311,'Daily_BU설비데이터 '!$C$20:$T$1000,6,0)</f>
        <v>#N/A</v>
      </c>
      <c r="I311" s="58" t="e">
        <f>VLOOKUP($C311,'Daily_BU설비데이터 '!$C$20:$T$1000,7,0)</f>
        <v>#N/A</v>
      </c>
      <c r="J311" s="58" t="e">
        <f>VLOOKUP($C311,'Daily_BU설비데이터 '!$C$20:$T$1000,8,0)</f>
        <v>#N/A</v>
      </c>
      <c r="K311" s="58" t="e">
        <f>VLOOKUP($C311,'Daily_BU설비데이터 '!$C$20:$T$1000,9,0)</f>
        <v>#N/A</v>
      </c>
      <c r="L311" s="59" t="e">
        <f t="shared" si="43"/>
        <v>#N/A</v>
      </c>
      <c r="M311" s="68" t="e">
        <f>VLOOKUP($C311,'Daily_BU설비데이터 '!$C$20:$T$1000,11,0)</f>
        <v>#N/A</v>
      </c>
      <c r="N311" s="68" t="e">
        <f>VLOOKUP($C311,'Daily_BU설비데이터 '!$C$20:$T$1000,12,0)</f>
        <v>#N/A</v>
      </c>
      <c r="O311" s="68" t="e">
        <f>VLOOKUP($C311,'Daily_BU설비데이터 '!$C$20:$T$1000,13,0)</f>
        <v>#N/A</v>
      </c>
      <c r="P311" s="68" t="e">
        <f>VLOOKUP($C311,'Daily_BU설비데이터 '!$C$20:$T$1000,14,0)</f>
        <v>#N/A</v>
      </c>
      <c r="Q311" s="99" t="e">
        <f t="shared" si="44"/>
        <v>#N/A</v>
      </c>
      <c r="R311" s="100" t="e">
        <f t="shared" si="45"/>
        <v>#N/A</v>
      </c>
      <c r="S311" s="83" t="e">
        <f>VLOOKUP($C311,'Daily_BU설비데이터 '!$C$20:$T$1000,17,0)</f>
        <v>#N/A</v>
      </c>
      <c r="T311" s="83" t="e">
        <f>VLOOKUP($C311,'Daily_BU설비데이터 '!$C$20:$T$1000,18,0)</f>
        <v>#N/A</v>
      </c>
      <c r="U311" s="101" t="e">
        <f t="shared" si="46"/>
        <v>#N/A</v>
      </c>
      <c r="V311" s="45"/>
      <c r="W311" s="45"/>
      <c r="X311" s="45"/>
      <c r="Y311" s="45"/>
      <c r="Z311" s="45"/>
      <c r="AA311" s="45"/>
      <c r="AY311" s="66"/>
      <c r="AZ311" s="66"/>
      <c r="BA311" s="66"/>
      <c r="BB311" s="22"/>
    </row>
    <row r="312" spans="2:54" x14ac:dyDescent="0.45">
      <c r="B312" s="45" t="s">
        <v>696</v>
      </c>
      <c r="C312" s="90"/>
      <c r="D312" s="56"/>
      <c r="E312" s="80"/>
      <c r="F312" s="58" t="e">
        <f>VLOOKUP($C312,'Daily_BU설비데이터 '!$C$20:$T$1000,4,0)</f>
        <v>#N/A</v>
      </c>
      <c r="G312" s="58" t="e">
        <f>VLOOKUP($C312,'Daily_BU설비데이터 '!$C$20:$T$1000,5,0)</f>
        <v>#N/A</v>
      </c>
      <c r="H312" s="58" t="e">
        <f>VLOOKUP($C312,'Daily_BU설비데이터 '!$C$20:$T$1000,6,0)</f>
        <v>#N/A</v>
      </c>
      <c r="I312" s="58" t="e">
        <f>VLOOKUP($C312,'Daily_BU설비데이터 '!$C$20:$T$1000,7,0)</f>
        <v>#N/A</v>
      </c>
      <c r="J312" s="58" t="e">
        <f>VLOOKUP($C312,'Daily_BU설비데이터 '!$C$20:$T$1000,8,0)</f>
        <v>#N/A</v>
      </c>
      <c r="K312" s="58" t="e">
        <f>VLOOKUP($C312,'Daily_BU설비데이터 '!$C$20:$T$1000,9,0)</f>
        <v>#N/A</v>
      </c>
      <c r="L312" s="59" t="e">
        <f t="shared" si="43"/>
        <v>#N/A</v>
      </c>
      <c r="M312" s="68" t="e">
        <f>VLOOKUP($C312,'Daily_BU설비데이터 '!$C$20:$T$1000,11,0)</f>
        <v>#N/A</v>
      </c>
      <c r="N312" s="68" t="e">
        <f>VLOOKUP($C312,'Daily_BU설비데이터 '!$C$20:$T$1000,12,0)</f>
        <v>#N/A</v>
      </c>
      <c r="O312" s="68" t="e">
        <f>VLOOKUP($C312,'Daily_BU설비데이터 '!$C$20:$T$1000,13,0)</f>
        <v>#N/A</v>
      </c>
      <c r="P312" s="68" t="e">
        <f>VLOOKUP($C312,'Daily_BU설비데이터 '!$C$20:$T$1000,14,0)</f>
        <v>#N/A</v>
      </c>
      <c r="Q312" s="99" t="e">
        <f t="shared" si="44"/>
        <v>#N/A</v>
      </c>
      <c r="R312" s="100" t="e">
        <f t="shared" si="45"/>
        <v>#N/A</v>
      </c>
      <c r="S312" s="83" t="e">
        <f>VLOOKUP($C312,'Daily_BU설비데이터 '!$C$20:$T$1000,17,0)</f>
        <v>#N/A</v>
      </c>
      <c r="T312" s="83" t="e">
        <f>VLOOKUP($C312,'Daily_BU설비데이터 '!$C$20:$T$1000,18,0)</f>
        <v>#N/A</v>
      </c>
      <c r="U312" s="101" t="e">
        <f t="shared" si="46"/>
        <v>#N/A</v>
      </c>
      <c r="V312" s="45"/>
      <c r="W312" s="45"/>
      <c r="X312" s="45"/>
      <c r="Y312" s="45"/>
      <c r="Z312" s="45"/>
      <c r="AA312" s="45"/>
      <c r="AY312" s="66"/>
      <c r="AZ312" s="66"/>
      <c r="BA312" s="66"/>
      <c r="BB312" s="22"/>
    </row>
    <row r="313" spans="2:54" x14ac:dyDescent="0.45">
      <c r="B313" s="45" t="s">
        <v>697</v>
      </c>
      <c r="C313" s="90"/>
      <c r="D313" s="56"/>
      <c r="E313" s="84"/>
      <c r="F313" s="58" t="e">
        <f>VLOOKUP($C313,'Daily_BU설비데이터 '!$C$20:$T$1000,4,0)</f>
        <v>#N/A</v>
      </c>
      <c r="G313" s="58" t="e">
        <f>VLOOKUP($C313,'Daily_BU설비데이터 '!$C$20:$T$1000,5,0)</f>
        <v>#N/A</v>
      </c>
      <c r="H313" s="58" t="e">
        <f>VLOOKUP($C313,'Daily_BU설비데이터 '!$C$20:$T$1000,6,0)</f>
        <v>#N/A</v>
      </c>
      <c r="I313" s="58" t="e">
        <f>VLOOKUP($C313,'Daily_BU설비데이터 '!$C$20:$T$1000,7,0)</f>
        <v>#N/A</v>
      </c>
      <c r="J313" s="58" t="e">
        <f>VLOOKUP($C313,'Daily_BU설비데이터 '!$C$20:$T$1000,8,0)</f>
        <v>#N/A</v>
      </c>
      <c r="K313" s="58" t="e">
        <f>VLOOKUP($C313,'Daily_BU설비데이터 '!$C$20:$T$1000,9,0)</f>
        <v>#N/A</v>
      </c>
      <c r="L313" s="59" t="e">
        <f t="shared" si="43"/>
        <v>#N/A</v>
      </c>
      <c r="M313" s="68" t="e">
        <f>VLOOKUP($C313,'Daily_BU설비데이터 '!$C$20:$T$1000,11,0)</f>
        <v>#N/A</v>
      </c>
      <c r="N313" s="68" t="e">
        <f>VLOOKUP($C313,'Daily_BU설비데이터 '!$C$20:$T$1000,12,0)</f>
        <v>#N/A</v>
      </c>
      <c r="O313" s="68" t="e">
        <f>VLOOKUP($C313,'Daily_BU설비데이터 '!$C$20:$T$1000,13,0)</f>
        <v>#N/A</v>
      </c>
      <c r="P313" s="68" t="e">
        <f>VLOOKUP($C313,'Daily_BU설비데이터 '!$C$20:$T$1000,14,0)</f>
        <v>#N/A</v>
      </c>
      <c r="Q313" s="99" t="e">
        <f t="shared" si="44"/>
        <v>#N/A</v>
      </c>
      <c r="R313" s="100" t="e">
        <f t="shared" si="45"/>
        <v>#N/A</v>
      </c>
      <c r="S313" s="83" t="e">
        <f>VLOOKUP($C313,'Daily_BU설비데이터 '!$C$20:$T$1000,17,0)</f>
        <v>#N/A</v>
      </c>
      <c r="T313" s="83" t="e">
        <f>VLOOKUP($C313,'Daily_BU설비데이터 '!$C$20:$T$1000,18,0)</f>
        <v>#N/A</v>
      </c>
      <c r="U313" s="101" t="e">
        <f t="shared" si="46"/>
        <v>#N/A</v>
      </c>
      <c r="V313" s="45"/>
      <c r="W313" s="45"/>
      <c r="X313" s="45"/>
      <c r="Y313" s="45"/>
      <c r="Z313" s="45"/>
      <c r="AA313" s="45"/>
      <c r="AY313" s="66"/>
      <c r="AZ313" s="66"/>
      <c r="BA313" s="66"/>
      <c r="BB313" s="22"/>
    </row>
    <row r="314" spans="2:54" x14ac:dyDescent="0.45">
      <c r="B314" s="45" t="s">
        <v>698</v>
      </c>
      <c r="C314" s="90"/>
      <c r="D314" s="56"/>
      <c r="E314" s="57"/>
      <c r="F314" s="58" t="e">
        <f>VLOOKUP($C314,'Daily_BU설비데이터 '!$C$20:$T$1000,4,0)</f>
        <v>#N/A</v>
      </c>
      <c r="G314" s="58" t="e">
        <f>VLOOKUP($C314,'Daily_BU설비데이터 '!$C$20:$T$1000,5,0)</f>
        <v>#N/A</v>
      </c>
      <c r="H314" s="58" t="e">
        <f>VLOOKUP($C314,'Daily_BU설비데이터 '!$C$20:$T$1000,6,0)</f>
        <v>#N/A</v>
      </c>
      <c r="I314" s="58" t="e">
        <f>VLOOKUP($C314,'Daily_BU설비데이터 '!$C$20:$T$1000,7,0)</f>
        <v>#N/A</v>
      </c>
      <c r="J314" s="58" t="e">
        <f>VLOOKUP($C314,'Daily_BU설비데이터 '!$C$20:$T$1000,8,0)</f>
        <v>#N/A</v>
      </c>
      <c r="K314" s="58" t="e">
        <f>VLOOKUP($C314,'Daily_BU설비데이터 '!$C$20:$T$1000,9,0)</f>
        <v>#N/A</v>
      </c>
      <c r="L314" s="59" t="e">
        <f t="shared" si="43"/>
        <v>#N/A</v>
      </c>
      <c r="M314" s="68" t="e">
        <f>VLOOKUP($C314,'Daily_BU설비데이터 '!$C$20:$T$1000,11,0)</f>
        <v>#N/A</v>
      </c>
      <c r="N314" s="68" t="e">
        <f>VLOOKUP($C314,'Daily_BU설비데이터 '!$C$20:$T$1000,12,0)</f>
        <v>#N/A</v>
      </c>
      <c r="O314" s="68" t="e">
        <f>VLOOKUP($C314,'Daily_BU설비데이터 '!$C$20:$T$1000,13,0)</f>
        <v>#N/A</v>
      </c>
      <c r="P314" s="68" t="e">
        <f>VLOOKUP($C314,'Daily_BU설비데이터 '!$C$20:$T$1000,14,0)</f>
        <v>#N/A</v>
      </c>
      <c r="Q314" s="99" t="e">
        <f t="shared" si="44"/>
        <v>#N/A</v>
      </c>
      <c r="R314" s="100" t="e">
        <f t="shared" si="45"/>
        <v>#N/A</v>
      </c>
      <c r="S314" s="83" t="e">
        <f>VLOOKUP($C314,'Daily_BU설비데이터 '!$C$20:$T$1000,17,0)</f>
        <v>#N/A</v>
      </c>
      <c r="T314" s="83" t="e">
        <f>VLOOKUP($C314,'Daily_BU설비데이터 '!$C$20:$T$1000,18,0)</f>
        <v>#N/A</v>
      </c>
      <c r="U314" s="101" t="e">
        <f t="shared" si="46"/>
        <v>#N/A</v>
      </c>
      <c r="V314" s="45"/>
      <c r="W314" s="45"/>
      <c r="X314" s="45"/>
      <c r="Y314" s="45"/>
      <c r="Z314" s="45"/>
      <c r="AA314" s="45"/>
      <c r="AY314" s="66"/>
      <c r="AZ314" s="66"/>
      <c r="BA314" s="66"/>
      <c r="BB314" s="22"/>
    </row>
    <row r="315" spans="2:54" x14ac:dyDescent="0.45">
      <c r="B315" s="45" t="s">
        <v>699</v>
      </c>
      <c r="C315" s="90"/>
      <c r="D315" s="56"/>
      <c r="E315" s="80"/>
      <c r="F315" s="58" t="e">
        <f>VLOOKUP($C315,'Daily_BU설비데이터 '!$C$20:$T$1000,4,0)</f>
        <v>#N/A</v>
      </c>
      <c r="G315" s="58" t="e">
        <f>VLOOKUP($C315,'Daily_BU설비데이터 '!$C$20:$T$1000,5,0)</f>
        <v>#N/A</v>
      </c>
      <c r="H315" s="58" t="e">
        <f>VLOOKUP($C315,'Daily_BU설비데이터 '!$C$20:$T$1000,6,0)</f>
        <v>#N/A</v>
      </c>
      <c r="I315" s="58" t="e">
        <f>VLOOKUP($C315,'Daily_BU설비데이터 '!$C$20:$T$1000,7,0)</f>
        <v>#N/A</v>
      </c>
      <c r="J315" s="58" t="e">
        <f>VLOOKUP($C315,'Daily_BU설비데이터 '!$C$20:$T$1000,8,0)</f>
        <v>#N/A</v>
      </c>
      <c r="K315" s="58" t="e">
        <f>VLOOKUP($C315,'Daily_BU설비데이터 '!$C$20:$T$1000,9,0)</f>
        <v>#N/A</v>
      </c>
      <c r="L315" s="59" t="e">
        <f t="shared" si="43"/>
        <v>#N/A</v>
      </c>
      <c r="M315" s="68" t="e">
        <f>VLOOKUP($C315,'Daily_BU설비데이터 '!$C$20:$T$1000,11,0)</f>
        <v>#N/A</v>
      </c>
      <c r="N315" s="68" t="e">
        <f>VLOOKUP($C315,'Daily_BU설비데이터 '!$C$20:$T$1000,12,0)</f>
        <v>#N/A</v>
      </c>
      <c r="O315" s="68" t="e">
        <f>VLOOKUP($C315,'Daily_BU설비데이터 '!$C$20:$T$1000,13,0)</f>
        <v>#N/A</v>
      </c>
      <c r="P315" s="68" t="e">
        <f>VLOOKUP($C315,'Daily_BU설비데이터 '!$C$20:$T$1000,14,0)</f>
        <v>#N/A</v>
      </c>
      <c r="Q315" s="99" t="e">
        <f t="shared" si="44"/>
        <v>#N/A</v>
      </c>
      <c r="R315" s="100" t="e">
        <f t="shared" si="45"/>
        <v>#N/A</v>
      </c>
      <c r="S315" s="83" t="e">
        <f>VLOOKUP($C315,'Daily_BU설비데이터 '!$C$20:$T$1000,17,0)</f>
        <v>#N/A</v>
      </c>
      <c r="T315" s="83" t="e">
        <f>VLOOKUP($C315,'Daily_BU설비데이터 '!$C$20:$T$1000,18,0)</f>
        <v>#N/A</v>
      </c>
      <c r="U315" s="101" t="e">
        <f t="shared" si="46"/>
        <v>#N/A</v>
      </c>
      <c r="V315" s="45"/>
      <c r="W315" s="45"/>
      <c r="X315" s="45"/>
      <c r="Y315" s="45"/>
      <c r="Z315" s="45"/>
      <c r="AA315" s="45"/>
      <c r="AY315" s="66"/>
      <c r="AZ315" s="66"/>
      <c r="BA315" s="66"/>
      <c r="BB315" s="22"/>
    </row>
    <row r="316" spans="2:54" x14ac:dyDescent="0.45">
      <c r="B316" s="45" t="s">
        <v>700</v>
      </c>
      <c r="C316" s="90"/>
      <c r="D316" s="56"/>
      <c r="E316" s="84"/>
      <c r="F316" s="58" t="e">
        <f>VLOOKUP($C316,'Daily_BU설비데이터 '!$C$20:$T$1000,4,0)</f>
        <v>#N/A</v>
      </c>
      <c r="G316" s="58" t="e">
        <f>VLOOKUP($C316,'Daily_BU설비데이터 '!$C$20:$T$1000,5,0)</f>
        <v>#N/A</v>
      </c>
      <c r="H316" s="58" t="e">
        <f>VLOOKUP($C316,'Daily_BU설비데이터 '!$C$20:$T$1000,6,0)</f>
        <v>#N/A</v>
      </c>
      <c r="I316" s="58" t="e">
        <f>VLOOKUP($C316,'Daily_BU설비데이터 '!$C$20:$T$1000,7,0)</f>
        <v>#N/A</v>
      </c>
      <c r="J316" s="58" t="e">
        <f>VLOOKUP($C316,'Daily_BU설비데이터 '!$C$20:$T$1000,8,0)</f>
        <v>#N/A</v>
      </c>
      <c r="K316" s="58" t="e">
        <f>VLOOKUP($C316,'Daily_BU설비데이터 '!$C$20:$T$1000,9,0)</f>
        <v>#N/A</v>
      </c>
      <c r="L316" s="59" t="e">
        <f t="shared" si="43"/>
        <v>#N/A</v>
      </c>
      <c r="M316" s="68" t="e">
        <f>VLOOKUP($C316,'Daily_BU설비데이터 '!$C$20:$T$1000,11,0)</f>
        <v>#N/A</v>
      </c>
      <c r="N316" s="68" t="e">
        <f>VLOOKUP($C316,'Daily_BU설비데이터 '!$C$20:$T$1000,12,0)</f>
        <v>#N/A</v>
      </c>
      <c r="O316" s="68" t="e">
        <f>VLOOKUP($C316,'Daily_BU설비데이터 '!$C$20:$T$1000,13,0)</f>
        <v>#N/A</v>
      </c>
      <c r="P316" s="68" t="e">
        <f>VLOOKUP($C316,'Daily_BU설비데이터 '!$C$20:$T$1000,14,0)</f>
        <v>#N/A</v>
      </c>
      <c r="Q316" s="99" t="e">
        <f t="shared" si="44"/>
        <v>#N/A</v>
      </c>
      <c r="R316" s="100" t="e">
        <f t="shared" si="45"/>
        <v>#N/A</v>
      </c>
      <c r="S316" s="83" t="e">
        <f>VLOOKUP($C316,'Daily_BU설비데이터 '!$C$20:$T$1000,17,0)</f>
        <v>#N/A</v>
      </c>
      <c r="T316" s="83" t="e">
        <f>VLOOKUP($C316,'Daily_BU설비데이터 '!$C$20:$T$1000,18,0)</f>
        <v>#N/A</v>
      </c>
      <c r="U316" s="101" t="e">
        <f t="shared" si="46"/>
        <v>#N/A</v>
      </c>
      <c r="V316" s="45"/>
      <c r="W316" s="45"/>
      <c r="X316" s="45"/>
      <c r="Y316" s="45"/>
      <c r="Z316" s="45"/>
      <c r="AA316" s="45"/>
      <c r="AY316" s="66"/>
      <c r="AZ316" s="66"/>
      <c r="BA316" s="66"/>
      <c r="BB316" s="22"/>
    </row>
    <row r="317" spans="2:54" x14ac:dyDescent="0.45">
      <c r="B317" s="45" t="s">
        <v>701</v>
      </c>
      <c r="C317" s="90"/>
      <c r="D317" s="56"/>
      <c r="E317" s="57"/>
      <c r="F317" s="58" t="e">
        <f>VLOOKUP($C317,'Daily_BU설비데이터 '!$C$20:$T$1000,4,0)</f>
        <v>#N/A</v>
      </c>
      <c r="G317" s="58" t="e">
        <f>VLOOKUP($C317,'Daily_BU설비데이터 '!$C$20:$T$1000,5,0)</f>
        <v>#N/A</v>
      </c>
      <c r="H317" s="58" t="e">
        <f>VLOOKUP($C317,'Daily_BU설비데이터 '!$C$20:$T$1000,6,0)</f>
        <v>#N/A</v>
      </c>
      <c r="I317" s="58" t="e">
        <f>VLOOKUP($C317,'Daily_BU설비데이터 '!$C$20:$T$1000,7,0)</f>
        <v>#N/A</v>
      </c>
      <c r="J317" s="58" t="e">
        <f>VLOOKUP($C317,'Daily_BU설비데이터 '!$C$20:$T$1000,8,0)</f>
        <v>#N/A</v>
      </c>
      <c r="K317" s="58" t="e">
        <f>VLOOKUP($C317,'Daily_BU설비데이터 '!$C$20:$T$1000,9,0)</f>
        <v>#N/A</v>
      </c>
      <c r="L317" s="59" t="e">
        <f t="shared" si="43"/>
        <v>#N/A</v>
      </c>
      <c r="M317" s="68" t="e">
        <f>VLOOKUP($C317,'Daily_BU설비데이터 '!$C$20:$T$1000,11,0)</f>
        <v>#N/A</v>
      </c>
      <c r="N317" s="68" t="e">
        <f>VLOOKUP($C317,'Daily_BU설비데이터 '!$C$20:$T$1000,12,0)</f>
        <v>#N/A</v>
      </c>
      <c r="O317" s="68" t="e">
        <f>VLOOKUP($C317,'Daily_BU설비데이터 '!$C$20:$T$1000,13,0)</f>
        <v>#N/A</v>
      </c>
      <c r="P317" s="68" t="e">
        <f>VLOOKUP($C317,'Daily_BU설비데이터 '!$C$20:$T$1000,14,0)</f>
        <v>#N/A</v>
      </c>
      <c r="Q317" s="99" t="e">
        <f t="shared" si="44"/>
        <v>#N/A</v>
      </c>
      <c r="R317" s="100" t="e">
        <f t="shared" si="45"/>
        <v>#N/A</v>
      </c>
      <c r="S317" s="83" t="e">
        <f>VLOOKUP($C317,'Daily_BU설비데이터 '!$C$20:$T$1000,17,0)</f>
        <v>#N/A</v>
      </c>
      <c r="T317" s="83" t="e">
        <f>VLOOKUP($C317,'Daily_BU설비데이터 '!$C$20:$T$1000,18,0)</f>
        <v>#N/A</v>
      </c>
      <c r="U317" s="101" t="e">
        <f t="shared" si="46"/>
        <v>#N/A</v>
      </c>
      <c r="V317" s="45"/>
      <c r="W317" s="45"/>
      <c r="X317" s="45"/>
      <c r="Y317" s="45"/>
      <c r="Z317" s="45"/>
      <c r="AA317" s="45"/>
      <c r="AY317" s="66"/>
      <c r="AZ317" s="66"/>
      <c r="BA317" s="66"/>
      <c r="BB317" s="22"/>
    </row>
    <row r="318" spans="2:54" x14ac:dyDescent="0.45">
      <c r="B318" s="45" t="s">
        <v>702</v>
      </c>
      <c r="C318" s="90"/>
      <c r="D318" s="56"/>
      <c r="E318" s="80"/>
      <c r="F318" s="58" t="e">
        <f>VLOOKUP($C318,'Daily_BU설비데이터 '!$C$20:$T$1000,4,0)</f>
        <v>#N/A</v>
      </c>
      <c r="G318" s="58" t="e">
        <f>VLOOKUP($C318,'Daily_BU설비데이터 '!$C$20:$T$1000,5,0)</f>
        <v>#N/A</v>
      </c>
      <c r="H318" s="58" t="e">
        <f>VLOOKUP($C318,'Daily_BU설비데이터 '!$C$20:$T$1000,6,0)</f>
        <v>#N/A</v>
      </c>
      <c r="I318" s="58" t="e">
        <f>VLOOKUP($C318,'Daily_BU설비데이터 '!$C$20:$T$1000,7,0)</f>
        <v>#N/A</v>
      </c>
      <c r="J318" s="58" t="e">
        <f>VLOOKUP($C318,'Daily_BU설비데이터 '!$C$20:$T$1000,8,0)</f>
        <v>#N/A</v>
      </c>
      <c r="K318" s="58" t="e">
        <f>VLOOKUP($C318,'Daily_BU설비데이터 '!$C$20:$T$1000,9,0)</f>
        <v>#N/A</v>
      </c>
      <c r="L318" s="59" t="e">
        <f t="shared" si="43"/>
        <v>#N/A</v>
      </c>
      <c r="M318" s="68" t="e">
        <f>VLOOKUP($C318,'Daily_BU설비데이터 '!$C$20:$T$1000,11,0)</f>
        <v>#N/A</v>
      </c>
      <c r="N318" s="68" t="e">
        <f>VLOOKUP($C318,'Daily_BU설비데이터 '!$C$20:$T$1000,12,0)</f>
        <v>#N/A</v>
      </c>
      <c r="O318" s="68" t="e">
        <f>VLOOKUP($C318,'Daily_BU설비데이터 '!$C$20:$T$1000,13,0)</f>
        <v>#N/A</v>
      </c>
      <c r="P318" s="68" t="e">
        <f>VLOOKUP($C318,'Daily_BU설비데이터 '!$C$20:$T$1000,14,0)</f>
        <v>#N/A</v>
      </c>
      <c r="Q318" s="99" t="e">
        <f t="shared" si="44"/>
        <v>#N/A</v>
      </c>
      <c r="R318" s="100" t="e">
        <f t="shared" si="45"/>
        <v>#N/A</v>
      </c>
      <c r="S318" s="83" t="e">
        <f>VLOOKUP($C318,'Daily_BU설비데이터 '!$C$20:$T$1000,17,0)</f>
        <v>#N/A</v>
      </c>
      <c r="T318" s="83" t="e">
        <f>VLOOKUP($C318,'Daily_BU설비데이터 '!$C$20:$T$1000,18,0)</f>
        <v>#N/A</v>
      </c>
      <c r="U318" s="101" t="e">
        <f t="shared" si="46"/>
        <v>#N/A</v>
      </c>
      <c r="V318" s="45"/>
      <c r="W318" s="45"/>
      <c r="X318" s="45"/>
      <c r="Y318" s="45"/>
      <c r="Z318" s="45"/>
      <c r="AA318" s="45"/>
      <c r="AY318" s="66"/>
      <c r="AZ318" s="66"/>
      <c r="BA318" s="66"/>
      <c r="BB318" s="22"/>
    </row>
    <row r="319" spans="2:54" x14ac:dyDescent="0.45">
      <c r="B319" s="45" t="s">
        <v>703</v>
      </c>
      <c r="C319" s="90"/>
      <c r="D319" s="56"/>
      <c r="E319" s="84"/>
      <c r="F319" s="58" t="e">
        <f>VLOOKUP($C319,'Daily_BU설비데이터 '!$C$20:$T$1000,4,0)</f>
        <v>#N/A</v>
      </c>
      <c r="G319" s="58" t="e">
        <f>VLOOKUP($C319,'Daily_BU설비데이터 '!$C$20:$T$1000,5,0)</f>
        <v>#N/A</v>
      </c>
      <c r="H319" s="58" t="e">
        <f>VLOOKUP($C319,'Daily_BU설비데이터 '!$C$20:$T$1000,6,0)</f>
        <v>#N/A</v>
      </c>
      <c r="I319" s="58" t="e">
        <f>VLOOKUP($C319,'Daily_BU설비데이터 '!$C$20:$T$1000,7,0)</f>
        <v>#N/A</v>
      </c>
      <c r="J319" s="58" t="e">
        <f>VLOOKUP($C319,'Daily_BU설비데이터 '!$C$20:$T$1000,8,0)</f>
        <v>#N/A</v>
      </c>
      <c r="K319" s="58" t="e">
        <f>VLOOKUP($C319,'Daily_BU설비데이터 '!$C$20:$T$1000,9,0)</f>
        <v>#N/A</v>
      </c>
      <c r="L319" s="59" t="e">
        <f t="shared" si="43"/>
        <v>#N/A</v>
      </c>
      <c r="M319" s="68" t="e">
        <f>VLOOKUP($C319,'Daily_BU설비데이터 '!$C$20:$T$1000,11,0)</f>
        <v>#N/A</v>
      </c>
      <c r="N319" s="68" t="e">
        <f>VLOOKUP($C319,'Daily_BU설비데이터 '!$C$20:$T$1000,12,0)</f>
        <v>#N/A</v>
      </c>
      <c r="O319" s="68" t="e">
        <f>VLOOKUP($C319,'Daily_BU설비데이터 '!$C$20:$T$1000,13,0)</f>
        <v>#N/A</v>
      </c>
      <c r="P319" s="68" t="e">
        <f>VLOOKUP($C319,'Daily_BU설비데이터 '!$C$20:$T$1000,14,0)</f>
        <v>#N/A</v>
      </c>
      <c r="Q319" s="99" t="e">
        <f t="shared" si="44"/>
        <v>#N/A</v>
      </c>
      <c r="R319" s="100" t="e">
        <f t="shared" si="45"/>
        <v>#N/A</v>
      </c>
      <c r="S319" s="83" t="e">
        <f>VLOOKUP($C319,'Daily_BU설비데이터 '!$C$20:$T$1000,17,0)</f>
        <v>#N/A</v>
      </c>
      <c r="T319" s="83" t="e">
        <f>VLOOKUP($C319,'Daily_BU설비데이터 '!$C$20:$T$1000,18,0)</f>
        <v>#N/A</v>
      </c>
      <c r="U319" s="101" t="e">
        <f t="shared" si="46"/>
        <v>#N/A</v>
      </c>
      <c r="V319" s="45"/>
      <c r="W319" s="45"/>
      <c r="X319" s="45"/>
      <c r="Y319" s="45"/>
      <c r="Z319" s="45"/>
      <c r="AA319" s="45"/>
      <c r="AY319" s="66"/>
      <c r="AZ319" s="66"/>
      <c r="BA319" s="66"/>
      <c r="BB319" s="22"/>
    </row>
    <row r="320" spans="2:54" x14ac:dyDescent="0.45">
      <c r="B320" s="45" t="s">
        <v>704</v>
      </c>
      <c r="C320" s="90"/>
      <c r="D320" s="56"/>
      <c r="E320" s="57"/>
      <c r="F320" s="58" t="e">
        <f>VLOOKUP($C320,'Daily_BU설비데이터 '!$C$20:$T$1000,4,0)</f>
        <v>#N/A</v>
      </c>
      <c r="G320" s="58" t="e">
        <f>VLOOKUP($C320,'Daily_BU설비데이터 '!$C$20:$T$1000,5,0)</f>
        <v>#N/A</v>
      </c>
      <c r="H320" s="58" t="e">
        <f>VLOOKUP($C320,'Daily_BU설비데이터 '!$C$20:$T$1000,6,0)</f>
        <v>#N/A</v>
      </c>
      <c r="I320" s="58" t="e">
        <f>VLOOKUP($C320,'Daily_BU설비데이터 '!$C$20:$T$1000,7,0)</f>
        <v>#N/A</v>
      </c>
      <c r="J320" s="58" t="e">
        <f>VLOOKUP($C320,'Daily_BU설비데이터 '!$C$20:$T$1000,8,0)</f>
        <v>#N/A</v>
      </c>
      <c r="K320" s="58" t="e">
        <f>VLOOKUP($C320,'Daily_BU설비데이터 '!$C$20:$T$1000,9,0)</f>
        <v>#N/A</v>
      </c>
      <c r="L320" s="59" t="e">
        <f t="shared" si="43"/>
        <v>#N/A</v>
      </c>
      <c r="M320" s="68" t="e">
        <f>VLOOKUP($C320,'Daily_BU설비데이터 '!$C$20:$T$1000,11,0)</f>
        <v>#N/A</v>
      </c>
      <c r="N320" s="68" t="e">
        <f>VLOOKUP($C320,'Daily_BU설비데이터 '!$C$20:$T$1000,12,0)</f>
        <v>#N/A</v>
      </c>
      <c r="O320" s="68" t="e">
        <f>VLOOKUP($C320,'Daily_BU설비데이터 '!$C$20:$T$1000,13,0)</f>
        <v>#N/A</v>
      </c>
      <c r="P320" s="68" t="e">
        <f>VLOOKUP($C320,'Daily_BU설비데이터 '!$C$20:$T$1000,14,0)</f>
        <v>#N/A</v>
      </c>
      <c r="Q320" s="99" t="e">
        <f t="shared" si="44"/>
        <v>#N/A</v>
      </c>
      <c r="R320" s="100" t="e">
        <f t="shared" si="45"/>
        <v>#N/A</v>
      </c>
      <c r="S320" s="83" t="e">
        <f>VLOOKUP($C320,'Daily_BU설비데이터 '!$C$20:$T$1000,17,0)</f>
        <v>#N/A</v>
      </c>
      <c r="T320" s="83" t="e">
        <f>VLOOKUP($C320,'Daily_BU설비데이터 '!$C$20:$T$1000,18,0)</f>
        <v>#N/A</v>
      </c>
      <c r="U320" s="101" t="e">
        <f t="shared" si="46"/>
        <v>#N/A</v>
      </c>
      <c r="V320" s="45"/>
      <c r="W320" s="45"/>
      <c r="X320" s="45"/>
      <c r="Y320" s="45"/>
      <c r="Z320" s="45"/>
      <c r="AA320" s="45"/>
      <c r="AY320" s="66"/>
      <c r="AZ320" s="66"/>
      <c r="BA320" s="66"/>
      <c r="BB320" s="22"/>
    </row>
    <row r="321" spans="2:54" x14ac:dyDescent="0.45">
      <c r="B321" s="45" t="s">
        <v>705</v>
      </c>
      <c r="C321" s="90"/>
      <c r="D321" s="56"/>
      <c r="E321" s="80"/>
      <c r="F321" s="58" t="e">
        <f>VLOOKUP($C321,'Daily_BU설비데이터 '!$C$20:$T$1000,4,0)</f>
        <v>#N/A</v>
      </c>
      <c r="G321" s="58" t="e">
        <f>VLOOKUP($C321,'Daily_BU설비데이터 '!$C$20:$T$1000,5,0)</f>
        <v>#N/A</v>
      </c>
      <c r="H321" s="58" t="e">
        <f>VLOOKUP($C321,'Daily_BU설비데이터 '!$C$20:$T$1000,6,0)</f>
        <v>#N/A</v>
      </c>
      <c r="I321" s="58" t="e">
        <f>VLOOKUP($C321,'Daily_BU설비데이터 '!$C$20:$T$1000,7,0)</f>
        <v>#N/A</v>
      </c>
      <c r="J321" s="58" t="e">
        <f>VLOOKUP($C321,'Daily_BU설비데이터 '!$C$20:$T$1000,8,0)</f>
        <v>#N/A</v>
      </c>
      <c r="K321" s="58" t="e">
        <f>VLOOKUP($C321,'Daily_BU설비데이터 '!$C$20:$T$1000,9,0)</f>
        <v>#N/A</v>
      </c>
      <c r="L321" s="59" t="e">
        <f t="shared" si="43"/>
        <v>#N/A</v>
      </c>
      <c r="M321" s="68" t="e">
        <f>VLOOKUP($C321,'Daily_BU설비데이터 '!$C$20:$T$1000,11,0)</f>
        <v>#N/A</v>
      </c>
      <c r="N321" s="68" t="e">
        <f>VLOOKUP($C321,'Daily_BU설비데이터 '!$C$20:$T$1000,12,0)</f>
        <v>#N/A</v>
      </c>
      <c r="O321" s="68" t="e">
        <f>VLOOKUP($C321,'Daily_BU설비데이터 '!$C$20:$T$1000,13,0)</f>
        <v>#N/A</v>
      </c>
      <c r="P321" s="68" t="e">
        <f>VLOOKUP($C321,'Daily_BU설비데이터 '!$C$20:$T$1000,14,0)</f>
        <v>#N/A</v>
      </c>
      <c r="Q321" s="99" t="e">
        <f t="shared" si="44"/>
        <v>#N/A</v>
      </c>
      <c r="R321" s="100" t="e">
        <f t="shared" si="45"/>
        <v>#N/A</v>
      </c>
      <c r="S321" s="83" t="e">
        <f>VLOOKUP($C321,'Daily_BU설비데이터 '!$C$20:$T$1000,17,0)</f>
        <v>#N/A</v>
      </c>
      <c r="T321" s="83" t="e">
        <f>VLOOKUP($C321,'Daily_BU설비데이터 '!$C$20:$T$1000,18,0)</f>
        <v>#N/A</v>
      </c>
      <c r="U321" s="101" t="e">
        <f t="shared" si="46"/>
        <v>#N/A</v>
      </c>
      <c r="V321" s="45"/>
      <c r="W321" s="45"/>
      <c r="X321" s="45"/>
      <c r="Y321" s="45"/>
      <c r="Z321" s="45"/>
      <c r="AA321" s="45"/>
      <c r="AY321" s="66"/>
      <c r="AZ321" s="66"/>
      <c r="BA321" s="66"/>
      <c r="BB321" s="22"/>
    </row>
    <row r="322" spans="2:54" x14ac:dyDescent="0.45">
      <c r="B322" s="45" t="s">
        <v>706</v>
      </c>
      <c r="C322" s="90"/>
      <c r="D322" s="56"/>
      <c r="E322" s="84"/>
      <c r="F322" s="58" t="e">
        <f>VLOOKUP($C322,'Daily_BU설비데이터 '!$C$20:$T$1000,4,0)</f>
        <v>#N/A</v>
      </c>
      <c r="G322" s="58" t="e">
        <f>VLOOKUP($C322,'Daily_BU설비데이터 '!$C$20:$T$1000,5,0)</f>
        <v>#N/A</v>
      </c>
      <c r="H322" s="58" t="e">
        <f>VLOOKUP($C322,'Daily_BU설비데이터 '!$C$20:$T$1000,6,0)</f>
        <v>#N/A</v>
      </c>
      <c r="I322" s="58" t="e">
        <f>VLOOKUP($C322,'Daily_BU설비데이터 '!$C$20:$T$1000,7,0)</f>
        <v>#N/A</v>
      </c>
      <c r="J322" s="58" t="e">
        <f>VLOOKUP($C322,'Daily_BU설비데이터 '!$C$20:$T$1000,8,0)</f>
        <v>#N/A</v>
      </c>
      <c r="K322" s="58" t="e">
        <f>VLOOKUP($C322,'Daily_BU설비데이터 '!$C$20:$T$1000,9,0)</f>
        <v>#N/A</v>
      </c>
      <c r="L322" s="59" t="e">
        <f t="shared" si="43"/>
        <v>#N/A</v>
      </c>
      <c r="M322" s="68" t="e">
        <f>VLOOKUP($C322,'Daily_BU설비데이터 '!$C$20:$T$1000,11,0)</f>
        <v>#N/A</v>
      </c>
      <c r="N322" s="68" t="e">
        <f>VLOOKUP($C322,'Daily_BU설비데이터 '!$C$20:$T$1000,12,0)</f>
        <v>#N/A</v>
      </c>
      <c r="O322" s="68" t="e">
        <f>VLOOKUP($C322,'Daily_BU설비데이터 '!$C$20:$T$1000,13,0)</f>
        <v>#N/A</v>
      </c>
      <c r="P322" s="68" t="e">
        <f>VLOOKUP($C322,'Daily_BU설비데이터 '!$C$20:$T$1000,14,0)</f>
        <v>#N/A</v>
      </c>
      <c r="Q322" s="99" t="e">
        <f t="shared" si="44"/>
        <v>#N/A</v>
      </c>
      <c r="R322" s="100" t="e">
        <f t="shared" si="45"/>
        <v>#N/A</v>
      </c>
      <c r="S322" s="83" t="e">
        <f>VLOOKUP($C322,'Daily_BU설비데이터 '!$C$20:$T$1000,17,0)</f>
        <v>#N/A</v>
      </c>
      <c r="T322" s="83" t="e">
        <f>VLOOKUP($C322,'Daily_BU설비데이터 '!$C$20:$T$1000,18,0)</f>
        <v>#N/A</v>
      </c>
      <c r="U322" s="101" t="e">
        <f t="shared" si="46"/>
        <v>#N/A</v>
      </c>
      <c r="V322" s="45"/>
      <c r="W322" s="45"/>
      <c r="X322" s="45"/>
      <c r="Y322" s="45"/>
      <c r="Z322" s="45"/>
      <c r="AA322" s="45"/>
      <c r="AY322" s="66"/>
      <c r="AZ322" s="66"/>
      <c r="BA322" s="66"/>
      <c r="BB322" s="22"/>
    </row>
    <row r="323" spans="2:54" x14ac:dyDescent="0.45">
      <c r="B323" s="45" t="s">
        <v>707</v>
      </c>
      <c r="C323" s="90"/>
      <c r="D323" s="56"/>
      <c r="E323" s="57"/>
      <c r="F323" s="58" t="e">
        <f>VLOOKUP($C323,'Daily_BU설비데이터 '!$C$20:$T$1000,4,0)</f>
        <v>#N/A</v>
      </c>
      <c r="G323" s="58" t="e">
        <f>VLOOKUP($C323,'Daily_BU설비데이터 '!$C$20:$T$1000,5,0)</f>
        <v>#N/A</v>
      </c>
      <c r="H323" s="58" t="e">
        <f>VLOOKUP($C323,'Daily_BU설비데이터 '!$C$20:$T$1000,6,0)</f>
        <v>#N/A</v>
      </c>
      <c r="I323" s="58" t="e">
        <f>VLOOKUP($C323,'Daily_BU설비데이터 '!$C$20:$T$1000,7,0)</f>
        <v>#N/A</v>
      </c>
      <c r="J323" s="58" t="e">
        <f>VLOOKUP($C323,'Daily_BU설비데이터 '!$C$20:$T$1000,8,0)</f>
        <v>#N/A</v>
      </c>
      <c r="K323" s="58" t="e">
        <f>VLOOKUP($C323,'Daily_BU설비데이터 '!$C$20:$T$1000,9,0)</f>
        <v>#N/A</v>
      </c>
      <c r="L323" s="59" t="e">
        <f t="shared" si="43"/>
        <v>#N/A</v>
      </c>
      <c r="M323" s="68" t="e">
        <f>VLOOKUP($C323,'Daily_BU설비데이터 '!$C$20:$T$1000,11,0)</f>
        <v>#N/A</v>
      </c>
      <c r="N323" s="68" t="e">
        <f>VLOOKUP($C323,'Daily_BU설비데이터 '!$C$20:$T$1000,12,0)</f>
        <v>#N/A</v>
      </c>
      <c r="O323" s="68" t="e">
        <f>VLOOKUP($C323,'Daily_BU설비데이터 '!$C$20:$T$1000,13,0)</f>
        <v>#N/A</v>
      </c>
      <c r="P323" s="68" t="e">
        <f>VLOOKUP($C323,'Daily_BU설비데이터 '!$C$20:$T$1000,14,0)</f>
        <v>#N/A</v>
      </c>
      <c r="Q323" s="99" t="e">
        <f t="shared" si="44"/>
        <v>#N/A</v>
      </c>
      <c r="R323" s="100" t="e">
        <f t="shared" si="45"/>
        <v>#N/A</v>
      </c>
      <c r="S323" s="83" t="e">
        <f>VLOOKUP($C323,'Daily_BU설비데이터 '!$C$20:$T$1000,17,0)</f>
        <v>#N/A</v>
      </c>
      <c r="T323" s="83" t="e">
        <f>VLOOKUP($C323,'Daily_BU설비데이터 '!$C$20:$T$1000,18,0)</f>
        <v>#N/A</v>
      </c>
      <c r="U323" s="101" t="e">
        <f t="shared" si="46"/>
        <v>#N/A</v>
      </c>
      <c r="V323" s="45"/>
      <c r="W323" s="45"/>
      <c r="X323" s="45"/>
      <c r="Y323" s="45"/>
      <c r="Z323" s="45"/>
      <c r="AA323" s="45"/>
      <c r="AY323" s="66"/>
      <c r="AZ323" s="66"/>
      <c r="BA323" s="66"/>
      <c r="BB323" s="22"/>
    </row>
    <row r="324" spans="2:54" x14ac:dyDescent="0.45">
      <c r="B324" s="45" t="s">
        <v>708</v>
      </c>
      <c r="C324" s="90"/>
      <c r="D324" s="56"/>
      <c r="E324" s="80"/>
      <c r="F324" s="58" t="e">
        <f>VLOOKUP($C324,'Daily_BU설비데이터 '!$C$20:$T$1000,4,0)</f>
        <v>#N/A</v>
      </c>
      <c r="G324" s="58" t="e">
        <f>VLOOKUP($C324,'Daily_BU설비데이터 '!$C$20:$T$1000,5,0)</f>
        <v>#N/A</v>
      </c>
      <c r="H324" s="58" t="e">
        <f>VLOOKUP($C324,'Daily_BU설비데이터 '!$C$20:$T$1000,6,0)</f>
        <v>#N/A</v>
      </c>
      <c r="I324" s="58" t="e">
        <f>VLOOKUP($C324,'Daily_BU설비데이터 '!$C$20:$T$1000,7,0)</f>
        <v>#N/A</v>
      </c>
      <c r="J324" s="58" t="e">
        <f>VLOOKUP($C324,'Daily_BU설비데이터 '!$C$20:$T$1000,8,0)</f>
        <v>#N/A</v>
      </c>
      <c r="K324" s="58" t="e">
        <f>VLOOKUP($C324,'Daily_BU설비데이터 '!$C$20:$T$1000,9,0)</f>
        <v>#N/A</v>
      </c>
      <c r="L324" s="59" t="e">
        <f t="shared" si="43"/>
        <v>#N/A</v>
      </c>
      <c r="M324" s="68" t="e">
        <f>VLOOKUP($C324,'Daily_BU설비데이터 '!$C$20:$T$1000,11,0)</f>
        <v>#N/A</v>
      </c>
      <c r="N324" s="68" t="e">
        <f>VLOOKUP($C324,'Daily_BU설비데이터 '!$C$20:$T$1000,12,0)</f>
        <v>#N/A</v>
      </c>
      <c r="O324" s="68" t="e">
        <f>VLOOKUP($C324,'Daily_BU설비데이터 '!$C$20:$T$1000,13,0)</f>
        <v>#N/A</v>
      </c>
      <c r="P324" s="68" t="e">
        <f>VLOOKUP($C324,'Daily_BU설비데이터 '!$C$20:$T$1000,14,0)</f>
        <v>#N/A</v>
      </c>
      <c r="Q324" s="99" t="e">
        <f t="shared" si="44"/>
        <v>#N/A</v>
      </c>
      <c r="R324" s="100" t="e">
        <f t="shared" si="45"/>
        <v>#N/A</v>
      </c>
      <c r="S324" s="83" t="e">
        <f>VLOOKUP($C324,'Daily_BU설비데이터 '!$C$20:$T$1000,17,0)</f>
        <v>#N/A</v>
      </c>
      <c r="T324" s="83" t="e">
        <f>VLOOKUP($C324,'Daily_BU설비데이터 '!$C$20:$T$1000,18,0)</f>
        <v>#N/A</v>
      </c>
      <c r="U324" s="101" t="e">
        <f t="shared" si="46"/>
        <v>#N/A</v>
      </c>
      <c r="V324" s="45"/>
      <c r="W324" s="45"/>
      <c r="X324" s="45"/>
      <c r="Y324" s="45"/>
      <c r="Z324" s="45"/>
      <c r="AA324" s="45"/>
      <c r="AY324" s="66"/>
      <c r="AZ324" s="66"/>
      <c r="BA324" s="66"/>
      <c r="BB324" s="22"/>
    </row>
    <row r="325" spans="2:54" x14ac:dyDescent="0.45">
      <c r="B325" s="45" t="s">
        <v>709</v>
      </c>
      <c r="C325" s="90"/>
      <c r="D325" s="56"/>
      <c r="E325" s="84"/>
      <c r="F325" s="58" t="e">
        <f>VLOOKUP($C325,'Daily_BU설비데이터 '!$C$20:$T$1000,4,0)</f>
        <v>#N/A</v>
      </c>
      <c r="G325" s="58" t="e">
        <f>VLOOKUP($C325,'Daily_BU설비데이터 '!$C$20:$T$1000,5,0)</f>
        <v>#N/A</v>
      </c>
      <c r="H325" s="58" t="e">
        <f>VLOOKUP($C325,'Daily_BU설비데이터 '!$C$20:$T$1000,6,0)</f>
        <v>#N/A</v>
      </c>
      <c r="I325" s="58" t="e">
        <f>VLOOKUP($C325,'Daily_BU설비데이터 '!$C$20:$T$1000,7,0)</f>
        <v>#N/A</v>
      </c>
      <c r="J325" s="58" t="e">
        <f>VLOOKUP($C325,'Daily_BU설비데이터 '!$C$20:$T$1000,8,0)</f>
        <v>#N/A</v>
      </c>
      <c r="K325" s="58" t="e">
        <f>VLOOKUP($C325,'Daily_BU설비데이터 '!$C$20:$T$1000,9,0)</f>
        <v>#N/A</v>
      </c>
      <c r="L325" s="59" t="e">
        <f t="shared" si="43"/>
        <v>#N/A</v>
      </c>
      <c r="M325" s="68" t="e">
        <f>VLOOKUP($C325,'Daily_BU설비데이터 '!$C$20:$T$1000,11,0)</f>
        <v>#N/A</v>
      </c>
      <c r="N325" s="68" t="e">
        <f>VLOOKUP($C325,'Daily_BU설비데이터 '!$C$20:$T$1000,12,0)</f>
        <v>#N/A</v>
      </c>
      <c r="O325" s="68" t="e">
        <f>VLOOKUP($C325,'Daily_BU설비데이터 '!$C$20:$T$1000,13,0)</f>
        <v>#N/A</v>
      </c>
      <c r="P325" s="68" t="e">
        <f>VLOOKUP($C325,'Daily_BU설비데이터 '!$C$20:$T$1000,14,0)</f>
        <v>#N/A</v>
      </c>
      <c r="Q325" s="99" t="e">
        <f t="shared" si="44"/>
        <v>#N/A</v>
      </c>
      <c r="R325" s="100" t="e">
        <f t="shared" si="45"/>
        <v>#N/A</v>
      </c>
      <c r="S325" s="83" t="e">
        <f>VLOOKUP($C325,'Daily_BU설비데이터 '!$C$20:$T$1000,17,0)</f>
        <v>#N/A</v>
      </c>
      <c r="T325" s="83" t="e">
        <f>VLOOKUP($C325,'Daily_BU설비데이터 '!$C$20:$T$1000,18,0)</f>
        <v>#N/A</v>
      </c>
      <c r="U325" s="101" t="e">
        <f t="shared" si="46"/>
        <v>#N/A</v>
      </c>
      <c r="V325" s="45"/>
      <c r="W325" s="45"/>
      <c r="X325" s="45"/>
      <c r="Y325" s="45"/>
      <c r="Z325" s="45"/>
      <c r="AA325" s="45"/>
      <c r="AY325" s="66"/>
      <c r="AZ325" s="66"/>
      <c r="BA325" s="66"/>
      <c r="BB325" s="22"/>
    </row>
    <row r="326" spans="2:54" x14ac:dyDescent="0.45">
      <c r="B326" s="45" t="s">
        <v>710</v>
      </c>
      <c r="C326" s="90"/>
      <c r="D326" s="56"/>
      <c r="E326" s="57"/>
      <c r="F326" s="58" t="e">
        <f>VLOOKUP($C326,'Daily_BU설비데이터 '!$C$20:$T$1000,4,0)</f>
        <v>#N/A</v>
      </c>
      <c r="G326" s="58" t="e">
        <f>VLOOKUP($C326,'Daily_BU설비데이터 '!$C$20:$T$1000,5,0)</f>
        <v>#N/A</v>
      </c>
      <c r="H326" s="58" t="e">
        <f>VLOOKUP($C326,'Daily_BU설비데이터 '!$C$20:$T$1000,6,0)</f>
        <v>#N/A</v>
      </c>
      <c r="I326" s="58" t="e">
        <f>VLOOKUP($C326,'Daily_BU설비데이터 '!$C$20:$T$1000,7,0)</f>
        <v>#N/A</v>
      </c>
      <c r="J326" s="58" t="e">
        <f>VLOOKUP($C326,'Daily_BU설비데이터 '!$C$20:$T$1000,8,0)</f>
        <v>#N/A</v>
      </c>
      <c r="K326" s="58" t="e">
        <f>VLOOKUP($C326,'Daily_BU설비데이터 '!$C$20:$T$1000,9,0)</f>
        <v>#N/A</v>
      </c>
      <c r="L326" s="59" t="e">
        <f t="shared" si="43"/>
        <v>#N/A</v>
      </c>
      <c r="M326" s="68" t="e">
        <f>VLOOKUP($C326,'Daily_BU설비데이터 '!$C$20:$T$1000,11,0)</f>
        <v>#N/A</v>
      </c>
      <c r="N326" s="68" t="e">
        <f>VLOOKUP($C326,'Daily_BU설비데이터 '!$C$20:$T$1000,12,0)</f>
        <v>#N/A</v>
      </c>
      <c r="O326" s="68" t="e">
        <f>VLOOKUP($C326,'Daily_BU설비데이터 '!$C$20:$T$1000,13,0)</f>
        <v>#N/A</v>
      </c>
      <c r="P326" s="68" t="e">
        <f>VLOOKUP($C326,'Daily_BU설비데이터 '!$C$20:$T$1000,14,0)</f>
        <v>#N/A</v>
      </c>
      <c r="Q326" s="99" t="e">
        <f t="shared" si="44"/>
        <v>#N/A</v>
      </c>
      <c r="R326" s="100" t="e">
        <f t="shared" si="45"/>
        <v>#N/A</v>
      </c>
      <c r="S326" s="83" t="e">
        <f>VLOOKUP($C326,'Daily_BU설비데이터 '!$C$20:$T$1000,17,0)</f>
        <v>#N/A</v>
      </c>
      <c r="T326" s="83" t="e">
        <f>VLOOKUP($C326,'Daily_BU설비데이터 '!$C$20:$T$1000,18,0)</f>
        <v>#N/A</v>
      </c>
      <c r="U326" s="101" t="e">
        <f t="shared" si="46"/>
        <v>#N/A</v>
      </c>
      <c r="V326" s="45"/>
      <c r="W326" s="45"/>
      <c r="X326" s="45"/>
      <c r="Y326" s="45"/>
      <c r="Z326" s="45"/>
      <c r="AA326" s="45"/>
      <c r="AY326" s="66"/>
      <c r="AZ326" s="66"/>
      <c r="BA326" s="66"/>
      <c r="BB326" s="22"/>
    </row>
    <row r="327" spans="2:54" x14ac:dyDescent="0.45">
      <c r="B327" s="45" t="s">
        <v>711</v>
      </c>
      <c r="C327" s="90"/>
      <c r="D327" s="56"/>
      <c r="E327" s="80"/>
      <c r="F327" s="58" t="e">
        <f>VLOOKUP($C327,'Daily_BU설비데이터 '!$C$20:$T$1000,4,0)</f>
        <v>#N/A</v>
      </c>
      <c r="G327" s="58" t="e">
        <f>VLOOKUP($C327,'Daily_BU설비데이터 '!$C$20:$T$1000,5,0)</f>
        <v>#N/A</v>
      </c>
      <c r="H327" s="58" t="e">
        <f>VLOOKUP($C327,'Daily_BU설비데이터 '!$C$20:$T$1000,6,0)</f>
        <v>#N/A</v>
      </c>
      <c r="I327" s="58" t="e">
        <f>VLOOKUP($C327,'Daily_BU설비데이터 '!$C$20:$T$1000,7,0)</f>
        <v>#N/A</v>
      </c>
      <c r="J327" s="58" t="e">
        <f>VLOOKUP($C327,'Daily_BU설비데이터 '!$C$20:$T$1000,8,0)</f>
        <v>#N/A</v>
      </c>
      <c r="K327" s="58" t="e">
        <f>VLOOKUP($C327,'Daily_BU설비데이터 '!$C$20:$T$1000,9,0)</f>
        <v>#N/A</v>
      </c>
      <c r="L327" s="59" t="e">
        <f t="shared" si="43"/>
        <v>#N/A</v>
      </c>
      <c r="M327" s="68" t="e">
        <f>VLOOKUP($C327,'Daily_BU설비데이터 '!$C$20:$T$1000,11,0)</f>
        <v>#N/A</v>
      </c>
      <c r="N327" s="68" t="e">
        <f>VLOOKUP($C327,'Daily_BU설비데이터 '!$C$20:$T$1000,12,0)</f>
        <v>#N/A</v>
      </c>
      <c r="O327" s="68" t="e">
        <f>VLOOKUP($C327,'Daily_BU설비데이터 '!$C$20:$T$1000,13,0)</f>
        <v>#N/A</v>
      </c>
      <c r="P327" s="68" t="e">
        <f>VLOOKUP($C327,'Daily_BU설비데이터 '!$C$20:$T$1000,14,0)</f>
        <v>#N/A</v>
      </c>
      <c r="Q327" s="99" t="e">
        <f t="shared" si="44"/>
        <v>#N/A</v>
      </c>
      <c r="R327" s="100" t="e">
        <f t="shared" si="45"/>
        <v>#N/A</v>
      </c>
      <c r="S327" s="83" t="e">
        <f>VLOOKUP($C327,'Daily_BU설비데이터 '!$C$20:$T$1000,17,0)</f>
        <v>#N/A</v>
      </c>
      <c r="T327" s="83" t="e">
        <f>VLOOKUP($C327,'Daily_BU설비데이터 '!$C$20:$T$1000,18,0)</f>
        <v>#N/A</v>
      </c>
      <c r="U327" s="101" t="e">
        <f t="shared" si="46"/>
        <v>#N/A</v>
      </c>
      <c r="V327" s="45"/>
      <c r="W327" s="45"/>
      <c r="X327" s="45"/>
      <c r="Y327" s="45"/>
      <c r="Z327" s="45"/>
      <c r="AA327" s="45"/>
      <c r="AY327" s="66"/>
      <c r="AZ327" s="66"/>
      <c r="BA327" s="66"/>
      <c r="BB327" s="22"/>
    </row>
    <row r="328" spans="2:54" x14ac:dyDescent="0.45">
      <c r="B328" s="45" t="s">
        <v>712</v>
      </c>
      <c r="C328" s="90"/>
      <c r="D328" s="56"/>
      <c r="E328" s="84"/>
      <c r="F328" s="58" t="e">
        <f>VLOOKUP($C328,'Daily_BU설비데이터 '!$C$20:$T$1000,4,0)</f>
        <v>#N/A</v>
      </c>
      <c r="G328" s="58" t="e">
        <f>VLOOKUP($C328,'Daily_BU설비데이터 '!$C$20:$T$1000,5,0)</f>
        <v>#N/A</v>
      </c>
      <c r="H328" s="58" t="e">
        <f>VLOOKUP($C328,'Daily_BU설비데이터 '!$C$20:$T$1000,6,0)</f>
        <v>#N/A</v>
      </c>
      <c r="I328" s="58" t="e">
        <f>VLOOKUP($C328,'Daily_BU설비데이터 '!$C$20:$T$1000,7,0)</f>
        <v>#N/A</v>
      </c>
      <c r="J328" s="58" t="e">
        <f>VLOOKUP($C328,'Daily_BU설비데이터 '!$C$20:$T$1000,8,0)</f>
        <v>#N/A</v>
      </c>
      <c r="K328" s="58" t="e">
        <f>VLOOKUP($C328,'Daily_BU설비데이터 '!$C$20:$T$1000,9,0)</f>
        <v>#N/A</v>
      </c>
      <c r="L328" s="59" t="e">
        <f t="shared" si="43"/>
        <v>#N/A</v>
      </c>
      <c r="M328" s="68" t="e">
        <f>VLOOKUP($C328,'Daily_BU설비데이터 '!$C$20:$T$1000,11,0)</f>
        <v>#N/A</v>
      </c>
      <c r="N328" s="68" t="e">
        <f>VLOOKUP($C328,'Daily_BU설비데이터 '!$C$20:$T$1000,12,0)</f>
        <v>#N/A</v>
      </c>
      <c r="O328" s="68" t="e">
        <f>VLOOKUP($C328,'Daily_BU설비데이터 '!$C$20:$T$1000,13,0)</f>
        <v>#N/A</v>
      </c>
      <c r="P328" s="68" t="e">
        <f>VLOOKUP($C328,'Daily_BU설비데이터 '!$C$20:$T$1000,14,0)</f>
        <v>#N/A</v>
      </c>
      <c r="Q328" s="99" t="e">
        <f t="shared" si="44"/>
        <v>#N/A</v>
      </c>
      <c r="R328" s="100" t="e">
        <f t="shared" si="45"/>
        <v>#N/A</v>
      </c>
      <c r="S328" s="83" t="e">
        <f>VLOOKUP($C328,'Daily_BU설비데이터 '!$C$20:$T$1000,17,0)</f>
        <v>#N/A</v>
      </c>
      <c r="T328" s="83" t="e">
        <f>VLOOKUP($C328,'Daily_BU설비데이터 '!$C$20:$T$1000,18,0)</f>
        <v>#N/A</v>
      </c>
      <c r="U328" s="101" t="e">
        <f t="shared" si="46"/>
        <v>#N/A</v>
      </c>
      <c r="V328" s="45"/>
      <c r="W328" s="45"/>
      <c r="X328" s="45"/>
      <c r="Y328" s="45"/>
      <c r="Z328" s="45"/>
      <c r="AA328" s="45"/>
      <c r="AY328" s="66"/>
      <c r="AZ328" s="66"/>
      <c r="BA328" s="66"/>
      <c r="BB328" s="22"/>
    </row>
    <row r="329" spans="2:54" x14ac:dyDescent="0.45">
      <c r="B329" s="45" t="s">
        <v>713</v>
      </c>
      <c r="C329" s="90"/>
      <c r="D329" s="56"/>
      <c r="E329" s="57"/>
      <c r="F329" s="58" t="e">
        <f>VLOOKUP($C329,'Daily_BU설비데이터 '!$C$20:$T$1000,4,0)</f>
        <v>#N/A</v>
      </c>
      <c r="G329" s="58" t="e">
        <f>VLOOKUP($C329,'Daily_BU설비데이터 '!$C$20:$T$1000,5,0)</f>
        <v>#N/A</v>
      </c>
      <c r="H329" s="58" t="e">
        <f>VLOOKUP($C329,'Daily_BU설비데이터 '!$C$20:$T$1000,6,0)</f>
        <v>#N/A</v>
      </c>
      <c r="I329" s="58" t="e">
        <f>VLOOKUP($C329,'Daily_BU설비데이터 '!$C$20:$T$1000,7,0)</f>
        <v>#N/A</v>
      </c>
      <c r="J329" s="58" t="e">
        <f>VLOOKUP($C329,'Daily_BU설비데이터 '!$C$20:$T$1000,8,0)</f>
        <v>#N/A</v>
      </c>
      <c r="K329" s="58" t="e">
        <f>VLOOKUP($C329,'Daily_BU설비데이터 '!$C$20:$T$1000,9,0)</f>
        <v>#N/A</v>
      </c>
      <c r="L329" s="59" t="e">
        <f t="shared" si="43"/>
        <v>#N/A</v>
      </c>
      <c r="M329" s="68" t="e">
        <f>VLOOKUP($C329,'Daily_BU설비데이터 '!$C$20:$T$1000,11,0)</f>
        <v>#N/A</v>
      </c>
      <c r="N329" s="68" t="e">
        <f>VLOOKUP($C329,'Daily_BU설비데이터 '!$C$20:$T$1000,12,0)</f>
        <v>#N/A</v>
      </c>
      <c r="O329" s="68" t="e">
        <f>VLOOKUP($C329,'Daily_BU설비데이터 '!$C$20:$T$1000,13,0)</f>
        <v>#N/A</v>
      </c>
      <c r="P329" s="68" t="e">
        <f>VLOOKUP($C329,'Daily_BU설비데이터 '!$C$20:$T$1000,14,0)</f>
        <v>#N/A</v>
      </c>
      <c r="Q329" s="99" t="e">
        <f t="shared" si="44"/>
        <v>#N/A</v>
      </c>
      <c r="R329" s="100" t="e">
        <f t="shared" si="45"/>
        <v>#N/A</v>
      </c>
      <c r="S329" s="83" t="e">
        <f>VLOOKUP($C329,'Daily_BU설비데이터 '!$C$20:$T$1000,17,0)</f>
        <v>#N/A</v>
      </c>
      <c r="T329" s="83" t="e">
        <f>VLOOKUP($C329,'Daily_BU설비데이터 '!$C$20:$T$1000,18,0)</f>
        <v>#N/A</v>
      </c>
      <c r="U329" s="101" t="e">
        <f t="shared" si="46"/>
        <v>#N/A</v>
      </c>
      <c r="V329" s="45"/>
      <c r="W329" s="45"/>
      <c r="X329" s="45"/>
      <c r="Y329" s="45"/>
      <c r="Z329" s="45"/>
      <c r="AA329" s="45"/>
      <c r="AY329" s="66"/>
      <c r="AZ329" s="66"/>
      <c r="BA329" s="66"/>
      <c r="BB329" s="22"/>
    </row>
    <row r="330" spans="2:54" x14ac:dyDescent="0.45">
      <c r="B330" s="45" t="s">
        <v>714</v>
      </c>
      <c r="C330" s="90"/>
      <c r="D330" s="56"/>
      <c r="E330" s="80"/>
      <c r="F330" s="58" t="e">
        <f>VLOOKUP($C330,'Daily_BU설비데이터 '!$C$20:$T$1000,4,0)</f>
        <v>#N/A</v>
      </c>
      <c r="G330" s="58" t="e">
        <f>VLOOKUP($C330,'Daily_BU설비데이터 '!$C$20:$T$1000,5,0)</f>
        <v>#N/A</v>
      </c>
      <c r="H330" s="58" t="e">
        <f>VLOOKUP($C330,'Daily_BU설비데이터 '!$C$20:$T$1000,6,0)</f>
        <v>#N/A</v>
      </c>
      <c r="I330" s="58" t="e">
        <f>VLOOKUP($C330,'Daily_BU설비데이터 '!$C$20:$T$1000,7,0)</f>
        <v>#N/A</v>
      </c>
      <c r="J330" s="58" t="e">
        <f>VLOOKUP($C330,'Daily_BU설비데이터 '!$C$20:$T$1000,8,0)</f>
        <v>#N/A</v>
      </c>
      <c r="K330" s="58" t="e">
        <f>VLOOKUP($C330,'Daily_BU설비데이터 '!$C$20:$T$1000,9,0)</f>
        <v>#N/A</v>
      </c>
      <c r="L330" s="59" t="e">
        <f t="shared" si="43"/>
        <v>#N/A</v>
      </c>
      <c r="M330" s="68" t="e">
        <f>VLOOKUP($C330,'Daily_BU설비데이터 '!$C$20:$T$1000,11,0)</f>
        <v>#N/A</v>
      </c>
      <c r="N330" s="68" t="e">
        <f>VLOOKUP($C330,'Daily_BU설비데이터 '!$C$20:$T$1000,12,0)</f>
        <v>#N/A</v>
      </c>
      <c r="O330" s="68" t="e">
        <f>VLOOKUP($C330,'Daily_BU설비데이터 '!$C$20:$T$1000,13,0)</f>
        <v>#N/A</v>
      </c>
      <c r="P330" s="68" t="e">
        <f>VLOOKUP($C330,'Daily_BU설비데이터 '!$C$20:$T$1000,14,0)</f>
        <v>#N/A</v>
      </c>
      <c r="Q330" s="99" t="e">
        <f t="shared" si="44"/>
        <v>#N/A</v>
      </c>
      <c r="R330" s="100" t="e">
        <f t="shared" si="45"/>
        <v>#N/A</v>
      </c>
      <c r="S330" s="83" t="e">
        <f>VLOOKUP($C330,'Daily_BU설비데이터 '!$C$20:$T$1000,17,0)</f>
        <v>#N/A</v>
      </c>
      <c r="T330" s="83" t="e">
        <f>VLOOKUP($C330,'Daily_BU설비데이터 '!$C$20:$T$1000,18,0)</f>
        <v>#N/A</v>
      </c>
      <c r="U330" s="101" t="e">
        <f t="shared" si="46"/>
        <v>#N/A</v>
      </c>
      <c r="V330" s="45"/>
      <c r="W330" s="45"/>
      <c r="X330" s="45"/>
      <c r="Y330" s="45"/>
      <c r="Z330" s="45"/>
      <c r="AA330" s="45"/>
      <c r="AY330" s="66"/>
      <c r="AZ330" s="66"/>
      <c r="BA330" s="66"/>
      <c r="BB330" s="22"/>
    </row>
    <row r="331" spans="2:54" x14ac:dyDescent="0.45">
      <c r="B331" s="45" t="s">
        <v>715</v>
      </c>
      <c r="C331" s="90"/>
      <c r="D331" s="56"/>
      <c r="E331" s="84"/>
      <c r="F331" s="58" t="e">
        <f>VLOOKUP($C331,'Daily_BU설비데이터 '!$C$20:$T$1000,4,0)</f>
        <v>#N/A</v>
      </c>
      <c r="G331" s="58" t="e">
        <f>VLOOKUP($C331,'Daily_BU설비데이터 '!$C$20:$T$1000,5,0)</f>
        <v>#N/A</v>
      </c>
      <c r="H331" s="58" t="e">
        <f>VLOOKUP($C331,'Daily_BU설비데이터 '!$C$20:$T$1000,6,0)</f>
        <v>#N/A</v>
      </c>
      <c r="I331" s="58" t="e">
        <f>VLOOKUP($C331,'Daily_BU설비데이터 '!$C$20:$T$1000,7,0)</f>
        <v>#N/A</v>
      </c>
      <c r="J331" s="58" t="e">
        <f>VLOOKUP($C331,'Daily_BU설비데이터 '!$C$20:$T$1000,8,0)</f>
        <v>#N/A</v>
      </c>
      <c r="K331" s="58" t="e">
        <f>VLOOKUP($C331,'Daily_BU설비데이터 '!$C$20:$T$1000,9,0)</f>
        <v>#N/A</v>
      </c>
      <c r="L331" s="59" t="e">
        <f t="shared" si="43"/>
        <v>#N/A</v>
      </c>
      <c r="M331" s="68" t="e">
        <f>VLOOKUP($C331,'Daily_BU설비데이터 '!$C$20:$T$1000,11,0)</f>
        <v>#N/A</v>
      </c>
      <c r="N331" s="68" t="e">
        <f>VLOOKUP($C331,'Daily_BU설비데이터 '!$C$20:$T$1000,12,0)</f>
        <v>#N/A</v>
      </c>
      <c r="O331" s="68" t="e">
        <f>VLOOKUP($C331,'Daily_BU설비데이터 '!$C$20:$T$1000,13,0)</f>
        <v>#N/A</v>
      </c>
      <c r="P331" s="68" t="e">
        <f>VLOOKUP($C331,'Daily_BU설비데이터 '!$C$20:$T$1000,14,0)</f>
        <v>#N/A</v>
      </c>
      <c r="Q331" s="99" t="e">
        <f t="shared" si="44"/>
        <v>#N/A</v>
      </c>
      <c r="R331" s="100" t="e">
        <f t="shared" si="45"/>
        <v>#N/A</v>
      </c>
      <c r="S331" s="83" t="e">
        <f>VLOOKUP($C331,'Daily_BU설비데이터 '!$C$20:$T$1000,17,0)</f>
        <v>#N/A</v>
      </c>
      <c r="T331" s="83" t="e">
        <f>VLOOKUP($C331,'Daily_BU설비데이터 '!$C$20:$T$1000,18,0)</f>
        <v>#N/A</v>
      </c>
      <c r="U331" s="101" t="e">
        <f t="shared" si="46"/>
        <v>#N/A</v>
      </c>
      <c r="V331" s="45"/>
      <c r="W331" s="45"/>
      <c r="X331" s="45"/>
      <c r="Y331" s="45"/>
      <c r="Z331" s="45"/>
      <c r="AA331" s="45"/>
    </row>
    <row r="332" spans="2:54" x14ac:dyDescent="0.45">
      <c r="B332" s="45" t="s">
        <v>716</v>
      </c>
      <c r="C332" s="90"/>
      <c r="D332" s="56"/>
      <c r="E332" s="57"/>
      <c r="F332" s="58" t="e">
        <f>VLOOKUP($C332,'Daily_BU설비데이터 '!$C$20:$T$1000,4,0)</f>
        <v>#N/A</v>
      </c>
      <c r="G332" s="58" t="e">
        <f>VLOOKUP($C332,'Daily_BU설비데이터 '!$C$20:$T$1000,5,0)</f>
        <v>#N/A</v>
      </c>
      <c r="H332" s="58" t="e">
        <f>VLOOKUP($C332,'Daily_BU설비데이터 '!$C$20:$T$1000,6,0)</f>
        <v>#N/A</v>
      </c>
      <c r="I332" s="58" t="e">
        <f>VLOOKUP($C332,'Daily_BU설비데이터 '!$C$20:$T$1000,7,0)</f>
        <v>#N/A</v>
      </c>
      <c r="J332" s="58" t="e">
        <f>VLOOKUP($C332,'Daily_BU설비데이터 '!$C$20:$T$1000,8,0)</f>
        <v>#N/A</v>
      </c>
      <c r="K332" s="58" t="e">
        <f>VLOOKUP($C332,'Daily_BU설비데이터 '!$C$20:$T$1000,9,0)</f>
        <v>#N/A</v>
      </c>
      <c r="L332" s="59" t="e">
        <f t="shared" si="43"/>
        <v>#N/A</v>
      </c>
      <c r="M332" s="68" t="e">
        <f>VLOOKUP($C332,'Daily_BU설비데이터 '!$C$20:$T$1000,11,0)</f>
        <v>#N/A</v>
      </c>
      <c r="N332" s="68" t="e">
        <f>VLOOKUP($C332,'Daily_BU설비데이터 '!$C$20:$T$1000,12,0)</f>
        <v>#N/A</v>
      </c>
      <c r="O332" s="68" t="e">
        <f>VLOOKUP($C332,'Daily_BU설비데이터 '!$C$20:$T$1000,13,0)</f>
        <v>#N/A</v>
      </c>
      <c r="P332" s="68" t="e">
        <f>VLOOKUP($C332,'Daily_BU설비데이터 '!$C$20:$T$1000,14,0)</f>
        <v>#N/A</v>
      </c>
      <c r="Q332" s="99" t="e">
        <f t="shared" si="44"/>
        <v>#N/A</v>
      </c>
      <c r="R332" s="100" t="e">
        <f t="shared" si="45"/>
        <v>#N/A</v>
      </c>
      <c r="S332" s="83" t="e">
        <f>VLOOKUP($C332,'Daily_BU설비데이터 '!$C$20:$T$1000,17,0)</f>
        <v>#N/A</v>
      </c>
      <c r="T332" s="83" t="e">
        <f>VLOOKUP($C332,'Daily_BU설비데이터 '!$C$20:$T$1000,18,0)</f>
        <v>#N/A</v>
      </c>
      <c r="U332" s="101" t="e">
        <f t="shared" si="46"/>
        <v>#N/A</v>
      </c>
      <c r="V332" s="45"/>
      <c r="W332" s="45"/>
      <c r="X332" s="45"/>
      <c r="Y332" s="45"/>
      <c r="Z332" s="45"/>
      <c r="AA332" s="45"/>
    </row>
    <row r="333" spans="2:54" x14ac:dyDescent="0.45">
      <c r="B333" s="45" t="s">
        <v>717</v>
      </c>
      <c r="C333" s="90"/>
      <c r="D333" s="56"/>
      <c r="E333" s="80"/>
      <c r="F333" s="58" t="e">
        <f>VLOOKUP($C333,'Daily_BU설비데이터 '!$C$20:$T$1000,4,0)</f>
        <v>#N/A</v>
      </c>
      <c r="G333" s="58" t="e">
        <f>VLOOKUP($C333,'Daily_BU설비데이터 '!$C$20:$T$1000,5,0)</f>
        <v>#N/A</v>
      </c>
      <c r="H333" s="58" t="e">
        <f>VLOOKUP($C333,'Daily_BU설비데이터 '!$C$20:$T$1000,6,0)</f>
        <v>#N/A</v>
      </c>
      <c r="I333" s="58" t="e">
        <f>VLOOKUP($C333,'Daily_BU설비데이터 '!$C$20:$T$1000,7,0)</f>
        <v>#N/A</v>
      </c>
      <c r="J333" s="58" t="e">
        <f>VLOOKUP($C333,'Daily_BU설비데이터 '!$C$20:$T$1000,8,0)</f>
        <v>#N/A</v>
      </c>
      <c r="K333" s="58" t="e">
        <f>VLOOKUP($C333,'Daily_BU설비데이터 '!$C$20:$T$1000,9,0)</f>
        <v>#N/A</v>
      </c>
      <c r="L333" s="59" t="e">
        <f t="shared" si="43"/>
        <v>#N/A</v>
      </c>
      <c r="M333" s="68" t="e">
        <f>VLOOKUP($C333,'Daily_BU설비데이터 '!$C$20:$T$1000,11,0)</f>
        <v>#N/A</v>
      </c>
      <c r="N333" s="68" t="e">
        <f>VLOOKUP($C333,'Daily_BU설비데이터 '!$C$20:$T$1000,12,0)</f>
        <v>#N/A</v>
      </c>
      <c r="O333" s="68" t="e">
        <f>VLOOKUP($C333,'Daily_BU설비데이터 '!$C$20:$T$1000,13,0)</f>
        <v>#N/A</v>
      </c>
      <c r="P333" s="68" t="e">
        <f>VLOOKUP($C333,'Daily_BU설비데이터 '!$C$20:$T$1000,14,0)</f>
        <v>#N/A</v>
      </c>
      <c r="Q333" s="99" t="e">
        <f t="shared" si="44"/>
        <v>#N/A</v>
      </c>
      <c r="R333" s="100" t="e">
        <f t="shared" si="45"/>
        <v>#N/A</v>
      </c>
      <c r="S333" s="83" t="e">
        <f>VLOOKUP($C333,'Daily_BU설비데이터 '!$C$20:$T$1000,17,0)</f>
        <v>#N/A</v>
      </c>
      <c r="T333" s="83" t="e">
        <f>VLOOKUP($C333,'Daily_BU설비데이터 '!$C$20:$T$1000,18,0)</f>
        <v>#N/A</v>
      </c>
      <c r="U333" s="101" t="e">
        <f t="shared" si="46"/>
        <v>#N/A</v>
      </c>
      <c r="V333" s="45"/>
      <c r="W333" s="45"/>
      <c r="X333" s="45"/>
      <c r="Y333" s="45"/>
      <c r="Z333" s="45"/>
      <c r="AA333" s="45"/>
    </row>
    <row r="334" spans="2:54" x14ac:dyDescent="0.45">
      <c r="B334" s="45" t="s">
        <v>718</v>
      </c>
      <c r="C334" s="90"/>
      <c r="D334" s="56"/>
      <c r="E334" s="84"/>
      <c r="F334" s="58" t="e">
        <f>VLOOKUP($C334,'Daily_BU설비데이터 '!$C$20:$T$1000,4,0)</f>
        <v>#N/A</v>
      </c>
      <c r="G334" s="58" t="e">
        <f>VLOOKUP($C334,'Daily_BU설비데이터 '!$C$20:$T$1000,5,0)</f>
        <v>#N/A</v>
      </c>
      <c r="H334" s="58" t="e">
        <f>VLOOKUP($C334,'Daily_BU설비데이터 '!$C$20:$T$1000,6,0)</f>
        <v>#N/A</v>
      </c>
      <c r="I334" s="58" t="e">
        <f>VLOOKUP($C334,'Daily_BU설비데이터 '!$C$20:$T$1000,7,0)</f>
        <v>#N/A</v>
      </c>
      <c r="J334" s="58" t="e">
        <f>VLOOKUP($C334,'Daily_BU설비데이터 '!$C$20:$T$1000,8,0)</f>
        <v>#N/A</v>
      </c>
      <c r="K334" s="58" t="e">
        <f>VLOOKUP($C334,'Daily_BU설비데이터 '!$C$20:$T$1000,9,0)</f>
        <v>#N/A</v>
      </c>
      <c r="L334" s="59" t="e">
        <f t="shared" si="43"/>
        <v>#N/A</v>
      </c>
      <c r="M334" s="68" t="e">
        <f>VLOOKUP($C334,'Daily_BU설비데이터 '!$C$20:$T$1000,11,0)</f>
        <v>#N/A</v>
      </c>
      <c r="N334" s="68" t="e">
        <f>VLOOKUP($C334,'Daily_BU설비데이터 '!$C$20:$T$1000,12,0)</f>
        <v>#N/A</v>
      </c>
      <c r="O334" s="68" t="e">
        <f>VLOOKUP($C334,'Daily_BU설비데이터 '!$C$20:$T$1000,13,0)</f>
        <v>#N/A</v>
      </c>
      <c r="P334" s="68" t="e">
        <f>VLOOKUP($C334,'Daily_BU설비데이터 '!$C$20:$T$1000,14,0)</f>
        <v>#N/A</v>
      </c>
      <c r="Q334" s="99" t="e">
        <f t="shared" si="44"/>
        <v>#N/A</v>
      </c>
      <c r="R334" s="100" t="e">
        <f t="shared" si="45"/>
        <v>#N/A</v>
      </c>
      <c r="S334" s="83" t="e">
        <f>VLOOKUP($C334,'Daily_BU설비데이터 '!$C$20:$T$1000,17,0)</f>
        <v>#N/A</v>
      </c>
      <c r="T334" s="83" t="e">
        <f>VLOOKUP($C334,'Daily_BU설비데이터 '!$C$20:$T$1000,18,0)</f>
        <v>#N/A</v>
      </c>
      <c r="U334" s="101" t="e">
        <f t="shared" si="46"/>
        <v>#N/A</v>
      </c>
      <c r="V334" s="45"/>
      <c r="W334" s="45"/>
      <c r="X334" s="45"/>
      <c r="Y334" s="45"/>
      <c r="Z334" s="45"/>
      <c r="AA334" s="45"/>
    </row>
    <row r="335" spans="2:54" x14ac:dyDescent="0.45">
      <c r="B335" s="45" t="s">
        <v>719</v>
      </c>
      <c r="C335" s="90"/>
      <c r="D335" s="56"/>
      <c r="E335" s="57"/>
      <c r="F335" s="58" t="e">
        <f>VLOOKUP($C335,'Daily_BU설비데이터 '!$C$20:$T$1000,4,0)</f>
        <v>#N/A</v>
      </c>
      <c r="G335" s="58" t="e">
        <f>VLOOKUP($C335,'Daily_BU설비데이터 '!$C$20:$T$1000,5,0)</f>
        <v>#N/A</v>
      </c>
      <c r="H335" s="58" t="e">
        <f>VLOOKUP($C335,'Daily_BU설비데이터 '!$C$20:$T$1000,6,0)</f>
        <v>#N/A</v>
      </c>
      <c r="I335" s="58" t="e">
        <f>VLOOKUP($C335,'Daily_BU설비데이터 '!$C$20:$T$1000,7,0)</f>
        <v>#N/A</v>
      </c>
      <c r="J335" s="58" t="e">
        <f>VLOOKUP($C335,'Daily_BU설비데이터 '!$C$20:$T$1000,8,0)</f>
        <v>#N/A</v>
      </c>
      <c r="K335" s="58" t="e">
        <f>VLOOKUP($C335,'Daily_BU설비데이터 '!$C$20:$T$1000,9,0)</f>
        <v>#N/A</v>
      </c>
      <c r="L335" s="59" t="e">
        <f t="shared" si="43"/>
        <v>#N/A</v>
      </c>
      <c r="M335" s="68" t="e">
        <f>VLOOKUP($C335,'Daily_BU설비데이터 '!$C$20:$T$1000,11,0)</f>
        <v>#N/A</v>
      </c>
      <c r="N335" s="68" t="e">
        <f>VLOOKUP($C335,'Daily_BU설비데이터 '!$C$20:$T$1000,12,0)</f>
        <v>#N/A</v>
      </c>
      <c r="O335" s="68" t="e">
        <f>VLOOKUP($C335,'Daily_BU설비데이터 '!$C$20:$T$1000,13,0)</f>
        <v>#N/A</v>
      </c>
      <c r="P335" s="68" t="e">
        <f>VLOOKUP($C335,'Daily_BU설비데이터 '!$C$20:$T$1000,14,0)</f>
        <v>#N/A</v>
      </c>
      <c r="Q335" s="99" t="e">
        <f t="shared" si="44"/>
        <v>#N/A</v>
      </c>
      <c r="R335" s="100" t="e">
        <f t="shared" si="45"/>
        <v>#N/A</v>
      </c>
      <c r="S335" s="83" t="e">
        <f>VLOOKUP($C335,'Daily_BU설비데이터 '!$C$20:$T$1000,17,0)</f>
        <v>#N/A</v>
      </c>
      <c r="T335" s="83" t="e">
        <f>VLOOKUP($C335,'Daily_BU설비데이터 '!$C$20:$T$1000,18,0)</f>
        <v>#N/A</v>
      </c>
      <c r="U335" s="101" t="e">
        <f t="shared" si="46"/>
        <v>#N/A</v>
      </c>
      <c r="V335" s="45"/>
      <c r="W335" s="45"/>
      <c r="X335" s="45"/>
      <c r="Y335" s="45"/>
      <c r="Z335" s="45"/>
      <c r="AA335" s="45"/>
    </row>
    <row r="336" spans="2:54" x14ac:dyDescent="0.45">
      <c r="B336" s="45" t="s">
        <v>720</v>
      </c>
      <c r="C336" s="90"/>
      <c r="D336" s="56"/>
      <c r="E336" s="80"/>
      <c r="F336" s="58" t="e">
        <f>VLOOKUP($C336,'Daily_BU설비데이터 '!$C$20:$T$1000,4,0)</f>
        <v>#N/A</v>
      </c>
      <c r="G336" s="58" t="e">
        <f>VLOOKUP($C336,'Daily_BU설비데이터 '!$C$20:$T$1000,5,0)</f>
        <v>#N/A</v>
      </c>
      <c r="H336" s="58" t="e">
        <f>VLOOKUP($C336,'Daily_BU설비데이터 '!$C$20:$T$1000,6,0)</f>
        <v>#N/A</v>
      </c>
      <c r="I336" s="58" t="e">
        <f>VLOOKUP($C336,'Daily_BU설비데이터 '!$C$20:$T$1000,7,0)</f>
        <v>#N/A</v>
      </c>
      <c r="J336" s="58" t="e">
        <f>VLOOKUP($C336,'Daily_BU설비데이터 '!$C$20:$T$1000,8,0)</f>
        <v>#N/A</v>
      </c>
      <c r="K336" s="58" t="e">
        <f>VLOOKUP($C336,'Daily_BU설비데이터 '!$C$20:$T$1000,9,0)</f>
        <v>#N/A</v>
      </c>
      <c r="L336" s="59" t="e">
        <f t="shared" si="43"/>
        <v>#N/A</v>
      </c>
      <c r="M336" s="68" t="e">
        <f>VLOOKUP($C336,'Daily_BU설비데이터 '!$C$20:$T$1000,11,0)</f>
        <v>#N/A</v>
      </c>
      <c r="N336" s="68" t="e">
        <f>VLOOKUP($C336,'Daily_BU설비데이터 '!$C$20:$T$1000,12,0)</f>
        <v>#N/A</v>
      </c>
      <c r="O336" s="68" t="e">
        <f>VLOOKUP($C336,'Daily_BU설비데이터 '!$C$20:$T$1000,13,0)</f>
        <v>#N/A</v>
      </c>
      <c r="P336" s="68" t="e">
        <f>VLOOKUP($C336,'Daily_BU설비데이터 '!$C$20:$T$1000,14,0)</f>
        <v>#N/A</v>
      </c>
      <c r="Q336" s="99" t="e">
        <f t="shared" si="44"/>
        <v>#N/A</v>
      </c>
      <c r="R336" s="100" t="e">
        <f t="shared" si="45"/>
        <v>#N/A</v>
      </c>
      <c r="S336" s="83" t="e">
        <f>VLOOKUP($C336,'Daily_BU설비데이터 '!$C$20:$T$1000,17,0)</f>
        <v>#N/A</v>
      </c>
      <c r="T336" s="83" t="e">
        <f>VLOOKUP($C336,'Daily_BU설비데이터 '!$C$20:$T$1000,18,0)</f>
        <v>#N/A</v>
      </c>
      <c r="U336" s="101" t="e">
        <f t="shared" si="46"/>
        <v>#N/A</v>
      </c>
      <c r="V336" s="45"/>
      <c r="W336" s="45"/>
      <c r="X336" s="45"/>
      <c r="Y336" s="45"/>
      <c r="Z336" s="45"/>
      <c r="AA336" s="45"/>
    </row>
    <row r="337" spans="2:27" x14ac:dyDescent="0.45">
      <c r="B337" s="45" t="s">
        <v>721</v>
      </c>
      <c r="C337" s="90"/>
      <c r="D337" s="56"/>
      <c r="E337" s="84"/>
      <c r="F337" s="58" t="e">
        <f>VLOOKUP($C337,'Daily_BU설비데이터 '!$C$20:$T$1000,4,0)</f>
        <v>#N/A</v>
      </c>
      <c r="G337" s="58" t="e">
        <f>VLOOKUP($C337,'Daily_BU설비데이터 '!$C$20:$T$1000,5,0)</f>
        <v>#N/A</v>
      </c>
      <c r="H337" s="58" t="e">
        <f>VLOOKUP($C337,'Daily_BU설비데이터 '!$C$20:$T$1000,6,0)</f>
        <v>#N/A</v>
      </c>
      <c r="I337" s="58" t="e">
        <f>VLOOKUP($C337,'Daily_BU설비데이터 '!$C$20:$T$1000,7,0)</f>
        <v>#N/A</v>
      </c>
      <c r="J337" s="58" t="e">
        <f>VLOOKUP($C337,'Daily_BU설비데이터 '!$C$20:$T$1000,8,0)</f>
        <v>#N/A</v>
      </c>
      <c r="K337" s="58" t="e">
        <f>VLOOKUP($C337,'Daily_BU설비데이터 '!$C$20:$T$1000,9,0)</f>
        <v>#N/A</v>
      </c>
      <c r="L337" s="59" t="e">
        <f t="shared" si="43"/>
        <v>#N/A</v>
      </c>
      <c r="M337" s="68" t="e">
        <f>VLOOKUP($C337,'Daily_BU설비데이터 '!$C$20:$T$1000,11,0)</f>
        <v>#N/A</v>
      </c>
      <c r="N337" s="68" t="e">
        <f>VLOOKUP($C337,'Daily_BU설비데이터 '!$C$20:$T$1000,12,0)</f>
        <v>#N/A</v>
      </c>
      <c r="O337" s="68" t="e">
        <f>VLOOKUP($C337,'Daily_BU설비데이터 '!$C$20:$T$1000,13,0)</f>
        <v>#N/A</v>
      </c>
      <c r="P337" s="68" t="e">
        <f>VLOOKUP($C337,'Daily_BU설비데이터 '!$C$20:$T$1000,14,0)</f>
        <v>#N/A</v>
      </c>
      <c r="Q337" s="99" t="e">
        <f t="shared" si="44"/>
        <v>#N/A</v>
      </c>
      <c r="R337" s="100" t="e">
        <f t="shared" si="45"/>
        <v>#N/A</v>
      </c>
      <c r="S337" s="83" t="e">
        <f>VLOOKUP($C337,'Daily_BU설비데이터 '!$C$20:$T$1000,17,0)</f>
        <v>#N/A</v>
      </c>
      <c r="T337" s="83" t="e">
        <f>VLOOKUP($C337,'Daily_BU설비데이터 '!$C$20:$T$1000,18,0)</f>
        <v>#N/A</v>
      </c>
      <c r="U337" s="101" t="e">
        <f t="shared" si="46"/>
        <v>#N/A</v>
      </c>
      <c r="V337" s="45"/>
      <c r="W337" s="45"/>
      <c r="X337" s="45"/>
      <c r="Y337" s="45"/>
      <c r="Z337" s="45"/>
      <c r="AA337" s="45"/>
    </row>
    <row r="338" spans="2:27" x14ac:dyDescent="0.45">
      <c r="B338" s="45" t="s">
        <v>722</v>
      </c>
      <c r="C338" s="90"/>
      <c r="D338" s="56"/>
      <c r="E338" s="57"/>
      <c r="F338" s="58" t="e">
        <f>VLOOKUP($C338,'Daily_BU설비데이터 '!$C$20:$T$1000,4,0)</f>
        <v>#N/A</v>
      </c>
      <c r="G338" s="58" t="e">
        <f>VLOOKUP($C338,'Daily_BU설비데이터 '!$C$20:$T$1000,5,0)</f>
        <v>#N/A</v>
      </c>
      <c r="H338" s="58" t="e">
        <f>VLOOKUP($C338,'Daily_BU설비데이터 '!$C$20:$T$1000,6,0)</f>
        <v>#N/A</v>
      </c>
      <c r="I338" s="58" t="e">
        <f>VLOOKUP($C338,'Daily_BU설비데이터 '!$C$20:$T$1000,7,0)</f>
        <v>#N/A</v>
      </c>
      <c r="J338" s="58" t="e">
        <f>VLOOKUP($C338,'Daily_BU설비데이터 '!$C$20:$T$1000,8,0)</f>
        <v>#N/A</v>
      </c>
      <c r="K338" s="58" t="e">
        <f>VLOOKUP($C338,'Daily_BU설비데이터 '!$C$20:$T$1000,9,0)</f>
        <v>#N/A</v>
      </c>
      <c r="L338" s="59" t="e">
        <f t="shared" ref="L338:L401" si="47">1/2*((F338*I338+H338*K338+J338*G338)-(G338*H338+I338*J338+K338*F338))/0.1582*100</f>
        <v>#N/A</v>
      </c>
      <c r="M338" s="68" t="e">
        <f>VLOOKUP($C338,'Daily_BU설비데이터 '!$C$20:$T$1000,11,0)</f>
        <v>#N/A</v>
      </c>
      <c r="N338" s="68" t="e">
        <f>VLOOKUP($C338,'Daily_BU설비데이터 '!$C$20:$T$1000,12,0)</f>
        <v>#N/A</v>
      </c>
      <c r="O338" s="68" t="e">
        <f>VLOOKUP($C338,'Daily_BU설비데이터 '!$C$20:$T$1000,13,0)</f>
        <v>#N/A</v>
      </c>
      <c r="P338" s="68" t="e">
        <f>VLOOKUP($C338,'Daily_BU설비데이터 '!$C$20:$T$1000,14,0)</f>
        <v>#N/A</v>
      </c>
      <c r="Q338" s="99" t="e">
        <f t="shared" ref="Q338:Q401" si="48">O338/P338</f>
        <v>#N/A</v>
      </c>
      <c r="R338" s="100" t="e">
        <f t="shared" ref="R338:R401" si="49">SQRT(POWER(M338-$M$12,2)+POWER(N338-$N$12,2))</f>
        <v>#N/A</v>
      </c>
      <c r="S338" s="83" t="e">
        <f>VLOOKUP($C338,'Daily_BU설비데이터 '!$C$20:$T$1000,17,0)</f>
        <v>#N/A</v>
      </c>
      <c r="T338" s="83" t="e">
        <f>VLOOKUP($C338,'Daily_BU설비데이터 '!$C$20:$T$1000,18,0)</f>
        <v>#N/A</v>
      </c>
      <c r="U338" s="101" t="e">
        <f t="shared" ref="U338:U401" si="50">(-449*((M338-0.332)/(N338-0.1858))^3)+(3525*((M338-0.332)/(N338-0.1858))^2)+(-6823.3*(M338-0.332)/(N338-0.1858))+5520.33</f>
        <v>#N/A</v>
      </c>
      <c r="V338" s="45"/>
      <c r="W338" s="45"/>
      <c r="X338" s="45"/>
      <c r="Y338" s="45"/>
      <c r="Z338" s="45"/>
      <c r="AA338" s="45"/>
    </row>
    <row r="339" spans="2:27" x14ac:dyDescent="0.45">
      <c r="B339" s="45" t="s">
        <v>723</v>
      </c>
      <c r="C339" s="90"/>
      <c r="D339" s="56"/>
      <c r="E339" s="80"/>
      <c r="F339" s="58" t="e">
        <f>VLOOKUP($C339,'Daily_BU설비데이터 '!$C$20:$T$1000,4,0)</f>
        <v>#N/A</v>
      </c>
      <c r="G339" s="58" t="e">
        <f>VLOOKUP($C339,'Daily_BU설비데이터 '!$C$20:$T$1000,5,0)</f>
        <v>#N/A</v>
      </c>
      <c r="H339" s="58" t="e">
        <f>VLOOKUP($C339,'Daily_BU설비데이터 '!$C$20:$T$1000,6,0)</f>
        <v>#N/A</v>
      </c>
      <c r="I339" s="58" t="e">
        <f>VLOOKUP($C339,'Daily_BU설비데이터 '!$C$20:$T$1000,7,0)</f>
        <v>#N/A</v>
      </c>
      <c r="J339" s="58" t="e">
        <f>VLOOKUP($C339,'Daily_BU설비데이터 '!$C$20:$T$1000,8,0)</f>
        <v>#N/A</v>
      </c>
      <c r="K339" s="58" t="e">
        <f>VLOOKUP($C339,'Daily_BU설비데이터 '!$C$20:$T$1000,9,0)</f>
        <v>#N/A</v>
      </c>
      <c r="L339" s="59" t="e">
        <f t="shared" si="47"/>
        <v>#N/A</v>
      </c>
      <c r="M339" s="68" t="e">
        <f>VLOOKUP($C339,'Daily_BU설비데이터 '!$C$20:$T$1000,11,0)</f>
        <v>#N/A</v>
      </c>
      <c r="N339" s="68" t="e">
        <f>VLOOKUP($C339,'Daily_BU설비데이터 '!$C$20:$T$1000,12,0)</f>
        <v>#N/A</v>
      </c>
      <c r="O339" s="68" t="e">
        <f>VLOOKUP($C339,'Daily_BU설비데이터 '!$C$20:$T$1000,13,0)</f>
        <v>#N/A</v>
      </c>
      <c r="P339" s="68" t="e">
        <f>VLOOKUP($C339,'Daily_BU설비데이터 '!$C$20:$T$1000,14,0)</f>
        <v>#N/A</v>
      </c>
      <c r="Q339" s="99" t="e">
        <f t="shared" si="48"/>
        <v>#N/A</v>
      </c>
      <c r="R339" s="100" t="e">
        <f t="shared" si="49"/>
        <v>#N/A</v>
      </c>
      <c r="S339" s="83" t="e">
        <f>VLOOKUP($C339,'Daily_BU설비데이터 '!$C$20:$T$1000,17,0)</f>
        <v>#N/A</v>
      </c>
      <c r="T339" s="83" t="e">
        <f>VLOOKUP($C339,'Daily_BU설비데이터 '!$C$20:$T$1000,18,0)</f>
        <v>#N/A</v>
      </c>
      <c r="U339" s="101" t="e">
        <f t="shared" si="50"/>
        <v>#N/A</v>
      </c>
      <c r="V339" s="45"/>
      <c r="W339" s="45"/>
      <c r="X339" s="45"/>
      <c r="Y339" s="45"/>
      <c r="Z339" s="45"/>
      <c r="AA339" s="45"/>
    </row>
    <row r="340" spans="2:27" x14ac:dyDescent="0.45">
      <c r="B340" s="45" t="s">
        <v>724</v>
      </c>
      <c r="C340" s="90"/>
      <c r="D340" s="56"/>
      <c r="E340" s="84"/>
      <c r="F340" s="58" t="e">
        <f>VLOOKUP($C340,'Daily_BU설비데이터 '!$C$20:$T$1000,4,0)</f>
        <v>#N/A</v>
      </c>
      <c r="G340" s="58" t="e">
        <f>VLOOKUP($C340,'Daily_BU설비데이터 '!$C$20:$T$1000,5,0)</f>
        <v>#N/A</v>
      </c>
      <c r="H340" s="58" t="e">
        <f>VLOOKUP($C340,'Daily_BU설비데이터 '!$C$20:$T$1000,6,0)</f>
        <v>#N/A</v>
      </c>
      <c r="I340" s="58" t="e">
        <f>VLOOKUP($C340,'Daily_BU설비데이터 '!$C$20:$T$1000,7,0)</f>
        <v>#N/A</v>
      </c>
      <c r="J340" s="58" t="e">
        <f>VLOOKUP($C340,'Daily_BU설비데이터 '!$C$20:$T$1000,8,0)</f>
        <v>#N/A</v>
      </c>
      <c r="K340" s="58" t="e">
        <f>VLOOKUP($C340,'Daily_BU설비데이터 '!$C$20:$T$1000,9,0)</f>
        <v>#N/A</v>
      </c>
      <c r="L340" s="59" t="e">
        <f t="shared" si="47"/>
        <v>#N/A</v>
      </c>
      <c r="M340" s="68" t="e">
        <f>VLOOKUP($C340,'Daily_BU설비데이터 '!$C$20:$T$1000,11,0)</f>
        <v>#N/A</v>
      </c>
      <c r="N340" s="68" t="e">
        <f>VLOOKUP($C340,'Daily_BU설비데이터 '!$C$20:$T$1000,12,0)</f>
        <v>#N/A</v>
      </c>
      <c r="O340" s="68" t="e">
        <f>VLOOKUP($C340,'Daily_BU설비데이터 '!$C$20:$T$1000,13,0)</f>
        <v>#N/A</v>
      </c>
      <c r="P340" s="68" t="e">
        <f>VLOOKUP($C340,'Daily_BU설비데이터 '!$C$20:$T$1000,14,0)</f>
        <v>#N/A</v>
      </c>
      <c r="Q340" s="99" t="e">
        <f t="shared" si="48"/>
        <v>#N/A</v>
      </c>
      <c r="R340" s="100" t="e">
        <f t="shared" si="49"/>
        <v>#N/A</v>
      </c>
      <c r="S340" s="83" t="e">
        <f>VLOOKUP($C340,'Daily_BU설비데이터 '!$C$20:$T$1000,17,0)</f>
        <v>#N/A</v>
      </c>
      <c r="T340" s="83" t="e">
        <f>VLOOKUP($C340,'Daily_BU설비데이터 '!$C$20:$T$1000,18,0)</f>
        <v>#N/A</v>
      </c>
      <c r="U340" s="101" t="e">
        <f t="shared" si="50"/>
        <v>#N/A</v>
      </c>
      <c r="V340" s="45"/>
      <c r="W340" s="45"/>
      <c r="X340" s="45"/>
      <c r="Y340" s="45"/>
      <c r="Z340" s="45"/>
      <c r="AA340" s="45"/>
    </row>
    <row r="341" spans="2:27" x14ac:dyDescent="0.45">
      <c r="B341" s="45" t="s">
        <v>725</v>
      </c>
      <c r="C341" s="90"/>
      <c r="D341" s="56"/>
      <c r="E341" s="57"/>
      <c r="F341" s="58" t="e">
        <f>VLOOKUP($C341,'Daily_BU설비데이터 '!$C$20:$T$1000,4,0)</f>
        <v>#N/A</v>
      </c>
      <c r="G341" s="58" t="e">
        <f>VLOOKUP($C341,'Daily_BU설비데이터 '!$C$20:$T$1000,5,0)</f>
        <v>#N/A</v>
      </c>
      <c r="H341" s="58" t="e">
        <f>VLOOKUP($C341,'Daily_BU설비데이터 '!$C$20:$T$1000,6,0)</f>
        <v>#N/A</v>
      </c>
      <c r="I341" s="58" t="e">
        <f>VLOOKUP($C341,'Daily_BU설비데이터 '!$C$20:$T$1000,7,0)</f>
        <v>#N/A</v>
      </c>
      <c r="J341" s="58" t="e">
        <f>VLOOKUP($C341,'Daily_BU설비데이터 '!$C$20:$T$1000,8,0)</f>
        <v>#N/A</v>
      </c>
      <c r="K341" s="58" t="e">
        <f>VLOOKUP($C341,'Daily_BU설비데이터 '!$C$20:$T$1000,9,0)</f>
        <v>#N/A</v>
      </c>
      <c r="L341" s="59" t="e">
        <f t="shared" si="47"/>
        <v>#N/A</v>
      </c>
      <c r="M341" s="68" t="e">
        <f>VLOOKUP($C341,'Daily_BU설비데이터 '!$C$20:$T$1000,11,0)</f>
        <v>#N/A</v>
      </c>
      <c r="N341" s="68" t="e">
        <f>VLOOKUP($C341,'Daily_BU설비데이터 '!$C$20:$T$1000,12,0)</f>
        <v>#N/A</v>
      </c>
      <c r="O341" s="68" t="e">
        <f>VLOOKUP($C341,'Daily_BU설비데이터 '!$C$20:$T$1000,13,0)</f>
        <v>#N/A</v>
      </c>
      <c r="P341" s="68" t="e">
        <f>VLOOKUP($C341,'Daily_BU설비데이터 '!$C$20:$T$1000,14,0)</f>
        <v>#N/A</v>
      </c>
      <c r="Q341" s="99" t="e">
        <f t="shared" si="48"/>
        <v>#N/A</v>
      </c>
      <c r="R341" s="100" t="e">
        <f t="shared" si="49"/>
        <v>#N/A</v>
      </c>
      <c r="S341" s="83" t="e">
        <f>VLOOKUP($C341,'Daily_BU설비데이터 '!$C$20:$T$1000,17,0)</f>
        <v>#N/A</v>
      </c>
      <c r="T341" s="83" t="e">
        <f>VLOOKUP($C341,'Daily_BU설비데이터 '!$C$20:$T$1000,18,0)</f>
        <v>#N/A</v>
      </c>
      <c r="U341" s="101" t="e">
        <f t="shared" si="50"/>
        <v>#N/A</v>
      </c>
      <c r="V341" s="45"/>
      <c r="W341" s="45"/>
      <c r="X341" s="45"/>
      <c r="Y341" s="45"/>
      <c r="Z341" s="45"/>
      <c r="AA341" s="45"/>
    </row>
    <row r="342" spans="2:27" x14ac:dyDescent="0.45">
      <c r="B342" s="45" t="s">
        <v>726</v>
      </c>
      <c r="C342" s="90"/>
      <c r="D342" s="56"/>
      <c r="E342" s="80"/>
      <c r="F342" s="58" t="e">
        <f>VLOOKUP($C342,'Daily_BU설비데이터 '!$C$20:$T$1000,4,0)</f>
        <v>#N/A</v>
      </c>
      <c r="G342" s="58" t="e">
        <f>VLOOKUP($C342,'Daily_BU설비데이터 '!$C$20:$T$1000,5,0)</f>
        <v>#N/A</v>
      </c>
      <c r="H342" s="58" t="e">
        <f>VLOOKUP($C342,'Daily_BU설비데이터 '!$C$20:$T$1000,6,0)</f>
        <v>#N/A</v>
      </c>
      <c r="I342" s="58" t="e">
        <f>VLOOKUP($C342,'Daily_BU설비데이터 '!$C$20:$T$1000,7,0)</f>
        <v>#N/A</v>
      </c>
      <c r="J342" s="58" t="e">
        <f>VLOOKUP($C342,'Daily_BU설비데이터 '!$C$20:$T$1000,8,0)</f>
        <v>#N/A</v>
      </c>
      <c r="K342" s="58" t="e">
        <f>VLOOKUP($C342,'Daily_BU설비데이터 '!$C$20:$T$1000,9,0)</f>
        <v>#N/A</v>
      </c>
      <c r="L342" s="59" t="e">
        <f t="shared" si="47"/>
        <v>#N/A</v>
      </c>
      <c r="M342" s="68" t="e">
        <f>VLOOKUP($C342,'Daily_BU설비데이터 '!$C$20:$T$1000,11,0)</f>
        <v>#N/A</v>
      </c>
      <c r="N342" s="68" t="e">
        <f>VLOOKUP($C342,'Daily_BU설비데이터 '!$C$20:$T$1000,12,0)</f>
        <v>#N/A</v>
      </c>
      <c r="O342" s="68" t="e">
        <f>VLOOKUP($C342,'Daily_BU설비데이터 '!$C$20:$T$1000,13,0)</f>
        <v>#N/A</v>
      </c>
      <c r="P342" s="68" t="e">
        <f>VLOOKUP($C342,'Daily_BU설비데이터 '!$C$20:$T$1000,14,0)</f>
        <v>#N/A</v>
      </c>
      <c r="Q342" s="99" t="e">
        <f t="shared" si="48"/>
        <v>#N/A</v>
      </c>
      <c r="R342" s="100" t="e">
        <f t="shared" si="49"/>
        <v>#N/A</v>
      </c>
      <c r="S342" s="83" t="e">
        <f>VLOOKUP($C342,'Daily_BU설비데이터 '!$C$20:$T$1000,17,0)</f>
        <v>#N/A</v>
      </c>
      <c r="T342" s="83" t="e">
        <f>VLOOKUP($C342,'Daily_BU설비데이터 '!$C$20:$T$1000,18,0)</f>
        <v>#N/A</v>
      </c>
      <c r="U342" s="101" t="e">
        <f t="shared" si="50"/>
        <v>#N/A</v>
      </c>
      <c r="V342" s="45"/>
      <c r="W342" s="45"/>
      <c r="X342" s="45"/>
      <c r="Y342" s="45"/>
      <c r="Z342" s="45"/>
      <c r="AA342" s="45"/>
    </row>
    <row r="343" spans="2:27" x14ac:dyDescent="0.45">
      <c r="B343" s="45" t="s">
        <v>149</v>
      </c>
      <c r="C343" s="90"/>
      <c r="D343" s="56"/>
      <c r="E343" s="84"/>
      <c r="F343" s="58" t="e">
        <f>VLOOKUP($C343,'Daily_BU설비데이터 '!$C$20:$T$1000,4,0)</f>
        <v>#N/A</v>
      </c>
      <c r="G343" s="58" t="e">
        <f>VLOOKUP($C343,'Daily_BU설비데이터 '!$C$20:$T$1000,5,0)</f>
        <v>#N/A</v>
      </c>
      <c r="H343" s="58" t="e">
        <f>VLOOKUP($C343,'Daily_BU설비데이터 '!$C$20:$T$1000,6,0)</f>
        <v>#N/A</v>
      </c>
      <c r="I343" s="58" t="e">
        <f>VLOOKUP($C343,'Daily_BU설비데이터 '!$C$20:$T$1000,7,0)</f>
        <v>#N/A</v>
      </c>
      <c r="J343" s="58" t="e">
        <f>VLOOKUP($C343,'Daily_BU설비데이터 '!$C$20:$T$1000,8,0)</f>
        <v>#N/A</v>
      </c>
      <c r="K343" s="58" t="e">
        <f>VLOOKUP($C343,'Daily_BU설비데이터 '!$C$20:$T$1000,9,0)</f>
        <v>#N/A</v>
      </c>
      <c r="L343" s="59" t="e">
        <f t="shared" si="47"/>
        <v>#N/A</v>
      </c>
      <c r="M343" s="68" t="e">
        <f>VLOOKUP($C343,'Daily_BU설비데이터 '!$C$20:$T$1000,11,0)</f>
        <v>#N/A</v>
      </c>
      <c r="N343" s="68" t="e">
        <f>VLOOKUP($C343,'Daily_BU설비데이터 '!$C$20:$T$1000,12,0)</f>
        <v>#N/A</v>
      </c>
      <c r="O343" s="68" t="e">
        <f>VLOOKUP($C343,'Daily_BU설비데이터 '!$C$20:$T$1000,13,0)</f>
        <v>#N/A</v>
      </c>
      <c r="P343" s="68" t="e">
        <f>VLOOKUP($C343,'Daily_BU설비데이터 '!$C$20:$T$1000,14,0)</f>
        <v>#N/A</v>
      </c>
      <c r="Q343" s="99" t="e">
        <f t="shared" si="48"/>
        <v>#N/A</v>
      </c>
      <c r="R343" s="100" t="e">
        <f t="shared" si="49"/>
        <v>#N/A</v>
      </c>
      <c r="S343" s="83" t="e">
        <f>VLOOKUP($C343,'Daily_BU설비데이터 '!$C$20:$T$1000,17,0)</f>
        <v>#N/A</v>
      </c>
      <c r="T343" s="83" t="e">
        <f>VLOOKUP($C343,'Daily_BU설비데이터 '!$C$20:$T$1000,18,0)</f>
        <v>#N/A</v>
      </c>
      <c r="U343" s="101" t="e">
        <f t="shared" si="50"/>
        <v>#N/A</v>
      </c>
      <c r="V343" s="45"/>
      <c r="W343" s="45"/>
      <c r="X343" s="45"/>
      <c r="Y343" s="45"/>
      <c r="Z343" s="45"/>
      <c r="AA343" s="45"/>
    </row>
    <row r="344" spans="2:27" x14ac:dyDescent="0.45">
      <c r="B344" s="45" t="s">
        <v>150</v>
      </c>
      <c r="C344" s="90"/>
      <c r="D344" s="56"/>
      <c r="E344" s="57"/>
      <c r="F344" s="58" t="e">
        <f>VLOOKUP($C344,'Daily_BU설비데이터 '!$C$20:$T$1000,4,0)</f>
        <v>#N/A</v>
      </c>
      <c r="G344" s="58" t="e">
        <f>VLOOKUP($C344,'Daily_BU설비데이터 '!$C$20:$T$1000,5,0)</f>
        <v>#N/A</v>
      </c>
      <c r="H344" s="58" t="e">
        <f>VLOOKUP($C344,'Daily_BU설비데이터 '!$C$20:$T$1000,6,0)</f>
        <v>#N/A</v>
      </c>
      <c r="I344" s="58" t="e">
        <f>VLOOKUP($C344,'Daily_BU설비데이터 '!$C$20:$T$1000,7,0)</f>
        <v>#N/A</v>
      </c>
      <c r="J344" s="58" t="e">
        <f>VLOOKUP($C344,'Daily_BU설비데이터 '!$C$20:$T$1000,8,0)</f>
        <v>#N/A</v>
      </c>
      <c r="K344" s="58" t="e">
        <f>VLOOKUP($C344,'Daily_BU설비데이터 '!$C$20:$T$1000,9,0)</f>
        <v>#N/A</v>
      </c>
      <c r="L344" s="59" t="e">
        <f t="shared" si="47"/>
        <v>#N/A</v>
      </c>
      <c r="M344" s="68" t="e">
        <f>VLOOKUP($C344,'Daily_BU설비데이터 '!$C$20:$T$1000,11,0)</f>
        <v>#N/A</v>
      </c>
      <c r="N344" s="68" t="e">
        <f>VLOOKUP($C344,'Daily_BU설비데이터 '!$C$20:$T$1000,12,0)</f>
        <v>#N/A</v>
      </c>
      <c r="O344" s="68" t="e">
        <f>VLOOKUP($C344,'Daily_BU설비데이터 '!$C$20:$T$1000,13,0)</f>
        <v>#N/A</v>
      </c>
      <c r="P344" s="68" t="e">
        <f>VLOOKUP($C344,'Daily_BU설비데이터 '!$C$20:$T$1000,14,0)</f>
        <v>#N/A</v>
      </c>
      <c r="Q344" s="99" t="e">
        <f t="shared" si="48"/>
        <v>#N/A</v>
      </c>
      <c r="R344" s="100" t="e">
        <f t="shared" si="49"/>
        <v>#N/A</v>
      </c>
      <c r="S344" s="83" t="e">
        <f>VLOOKUP($C344,'Daily_BU설비데이터 '!$C$20:$T$1000,17,0)</f>
        <v>#N/A</v>
      </c>
      <c r="T344" s="83" t="e">
        <f>VLOOKUP($C344,'Daily_BU설비데이터 '!$C$20:$T$1000,18,0)</f>
        <v>#N/A</v>
      </c>
      <c r="U344" s="101" t="e">
        <f t="shared" si="50"/>
        <v>#N/A</v>
      </c>
      <c r="V344" s="45"/>
      <c r="W344" s="45"/>
      <c r="X344" s="45"/>
      <c r="Y344" s="45"/>
      <c r="Z344" s="45"/>
      <c r="AA344" s="45"/>
    </row>
    <row r="345" spans="2:27" x14ac:dyDescent="0.45">
      <c r="B345" s="45" t="s">
        <v>151</v>
      </c>
      <c r="C345" s="90"/>
      <c r="D345" s="56"/>
      <c r="E345" s="80"/>
      <c r="F345" s="58" t="e">
        <f>VLOOKUP($C345,'Daily_BU설비데이터 '!$C$20:$T$1000,4,0)</f>
        <v>#N/A</v>
      </c>
      <c r="G345" s="58" t="e">
        <f>VLOOKUP($C345,'Daily_BU설비데이터 '!$C$20:$T$1000,5,0)</f>
        <v>#N/A</v>
      </c>
      <c r="H345" s="58" t="e">
        <f>VLOOKUP($C345,'Daily_BU설비데이터 '!$C$20:$T$1000,6,0)</f>
        <v>#N/A</v>
      </c>
      <c r="I345" s="58" t="e">
        <f>VLOOKUP($C345,'Daily_BU설비데이터 '!$C$20:$T$1000,7,0)</f>
        <v>#N/A</v>
      </c>
      <c r="J345" s="58" t="e">
        <f>VLOOKUP($C345,'Daily_BU설비데이터 '!$C$20:$T$1000,8,0)</f>
        <v>#N/A</v>
      </c>
      <c r="K345" s="58" t="e">
        <f>VLOOKUP($C345,'Daily_BU설비데이터 '!$C$20:$T$1000,9,0)</f>
        <v>#N/A</v>
      </c>
      <c r="L345" s="59" t="e">
        <f t="shared" si="47"/>
        <v>#N/A</v>
      </c>
      <c r="M345" s="68" t="e">
        <f>VLOOKUP($C345,'Daily_BU설비데이터 '!$C$20:$T$1000,11,0)</f>
        <v>#N/A</v>
      </c>
      <c r="N345" s="68" t="e">
        <f>VLOOKUP($C345,'Daily_BU설비데이터 '!$C$20:$T$1000,12,0)</f>
        <v>#N/A</v>
      </c>
      <c r="O345" s="68" t="e">
        <f>VLOOKUP($C345,'Daily_BU설비데이터 '!$C$20:$T$1000,13,0)</f>
        <v>#N/A</v>
      </c>
      <c r="P345" s="68" t="e">
        <f>VLOOKUP($C345,'Daily_BU설비데이터 '!$C$20:$T$1000,14,0)</f>
        <v>#N/A</v>
      </c>
      <c r="Q345" s="99" t="e">
        <f t="shared" si="48"/>
        <v>#N/A</v>
      </c>
      <c r="R345" s="100" t="e">
        <f t="shared" si="49"/>
        <v>#N/A</v>
      </c>
      <c r="S345" s="83" t="e">
        <f>VLOOKUP($C345,'Daily_BU설비데이터 '!$C$20:$T$1000,17,0)</f>
        <v>#N/A</v>
      </c>
      <c r="T345" s="83" t="e">
        <f>VLOOKUP($C345,'Daily_BU설비데이터 '!$C$20:$T$1000,18,0)</f>
        <v>#N/A</v>
      </c>
      <c r="U345" s="101" t="e">
        <f t="shared" si="50"/>
        <v>#N/A</v>
      </c>
      <c r="V345" s="45"/>
      <c r="W345" s="45"/>
      <c r="X345" s="45"/>
      <c r="Y345" s="45"/>
      <c r="Z345" s="45"/>
      <c r="AA345" s="45"/>
    </row>
    <row r="346" spans="2:27" x14ac:dyDescent="0.45">
      <c r="B346" s="45" t="s">
        <v>152</v>
      </c>
      <c r="C346" s="90"/>
      <c r="D346" s="56"/>
      <c r="E346" s="84"/>
      <c r="F346" s="58" t="e">
        <f>VLOOKUP($C346,'Daily_BU설비데이터 '!$C$20:$T$1000,4,0)</f>
        <v>#N/A</v>
      </c>
      <c r="G346" s="58" t="e">
        <f>VLOOKUP($C346,'Daily_BU설비데이터 '!$C$20:$T$1000,5,0)</f>
        <v>#N/A</v>
      </c>
      <c r="H346" s="58" t="e">
        <f>VLOOKUP($C346,'Daily_BU설비데이터 '!$C$20:$T$1000,6,0)</f>
        <v>#N/A</v>
      </c>
      <c r="I346" s="58" t="e">
        <f>VLOOKUP($C346,'Daily_BU설비데이터 '!$C$20:$T$1000,7,0)</f>
        <v>#N/A</v>
      </c>
      <c r="J346" s="58" t="e">
        <f>VLOOKUP($C346,'Daily_BU설비데이터 '!$C$20:$T$1000,8,0)</f>
        <v>#N/A</v>
      </c>
      <c r="K346" s="58" t="e">
        <f>VLOOKUP($C346,'Daily_BU설비데이터 '!$C$20:$T$1000,9,0)</f>
        <v>#N/A</v>
      </c>
      <c r="L346" s="59" t="e">
        <f t="shared" si="47"/>
        <v>#N/A</v>
      </c>
      <c r="M346" s="68" t="e">
        <f>VLOOKUP($C346,'Daily_BU설비데이터 '!$C$20:$T$1000,11,0)</f>
        <v>#N/A</v>
      </c>
      <c r="N346" s="68" t="e">
        <f>VLOOKUP($C346,'Daily_BU설비데이터 '!$C$20:$T$1000,12,0)</f>
        <v>#N/A</v>
      </c>
      <c r="O346" s="68" t="e">
        <f>VLOOKUP($C346,'Daily_BU설비데이터 '!$C$20:$T$1000,13,0)</f>
        <v>#N/A</v>
      </c>
      <c r="P346" s="68" t="e">
        <f>VLOOKUP($C346,'Daily_BU설비데이터 '!$C$20:$T$1000,14,0)</f>
        <v>#N/A</v>
      </c>
      <c r="Q346" s="99" t="e">
        <f t="shared" si="48"/>
        <v>#N/A</v>
      </c>
      <c r="R346" s="100" t="e">
        <f t="shared" si="49"/>
        <v>#N/A</v>
      </c>
      <c r="S346" s="83" t="e">
        <f>VLOOKUP($C346,'Daily_BU설비데이터 '!$C$20:$T$1000,17,0)</f>
        <v>#N/A</v>
      </c>
      <c r="T346" s="83" t="e">
        <f>VLOOKUP($C346,'Daily_BU설비데이터 '!$C$20:$T$1000,18,0)</f>
        <v>#N/A</v>
      </c>
      <c r="U346" s="101" t="e">
        <f t="shared" si="50"/>
        <v>#N/A</v>
      </c>
      <c r="V346" s="45"/>
      <c r="W346" s="45"/>
      <c r="X346" s="45"/>
      <c r="Y346" s="45"/>
      <c r="Z346" s="45"/>
      <c r="AA346" s="45"/>
    </row>
    <row r="347" spans="2:27" x14ac:dyDescent="0.45">
      <c r="B347" s="45" t="s">
        <v>153</v>
      </c>
      <c r="C347" s="90"/>
      <c r="D347" s="56"/>
      <c r="E347" s="57"/>
      <c r="F347" s="58" t="e">
        <f>VLOOKUP($C347,'Daily_BU설비데이터 '!$C$20:$T$1000,4,0)</f>
        <v>#N/A</v>
      </c>
      <c r="G347" s="58" t="e">
        <f>VLOOKUP($C347,'Daily_BU설비데이터 '!$C$20:$T$1000,5,0)</f>
        <v>#N/A</v>
      </c>
      <c r="H347" s="58" t="e">
        <f>VLOOKUP($C347,'Daily_BU설비데이터 '!$C$20:$T$1000,6,0)</f>
        <v>#N/A</v>
      </c>
      <c r="I347" s="58" t="e">
        <f>VLOOKUP($C347,'Daily_BU설비데이터 '!$C$20:$T$1000,7,0)</f>
        <v>#N/A</v>
      </c>
      <c r="J347" s="58" t="e">
        <f>VLOOKUP($C347,'Daily_BU설비데이터 '!$C$20:$T$1000,8,0)</f>
        <v>#N/A</v>
      </c>
      <c r="K347" s="58" t="e">
        <f>VLOOKUP($C347,'Daily_BU설비데이터 '!$C$20:$T$1000,9,0)</f>
        <v>#N/A</v>
      </c>
      <c r="L347" s="59" t="e">
        <f t="shared" si="47"/>
        <v>#N/A</v>
      </c>
      <c r="M347" s="68" t="e">
        <f>VLOOKUP($C347,'Daily_BU설비데이터 '!$C$20:$T$1000,11,0)</f>
        <v>#N/A</v>
      </c>
      <c r="N347" s="68" t="e">
        <f>VLOOKUP($C347,'Daily_BU설비데이터 '!$C$20:$T$1000,12,0)</f>
        <v>#N/A</v>
      </c>
      <c r="O347" s="68" t="e">
        <f>VLOOKUP($C347,'Daily_BU설비데이터 '!$C$20:$T$1000,13,0)</f>
        <v>#N/A</v>
      </c>
      <c r="P347" s="68" t="e">
        <f>VLOOKUP($C347,'Daily_BU설비데이터 '!$C$20:$T$1000,14,0)</f>
        <v>#N/A</v>
      </c>
      <c r="Q347" s="99" t="e">
        <f t="shared" si="48"/>
        <v>#N/A</v>
      </c>
      <c r="R347" s="100" t="e">
        <f t="shared" si="49"/>
        <v>#N/A</v>
      </c>
      <c r="S347" s="83" t="e">
        <f>VLOOKUP($C347,'Daily_BU설비데이터 '!$C$20:$T$1000,17,0)</f>
        <v>#N/A</v>
      </c>
      <c r="T347" s="83" t="e">
        <f>VLOOKUP($C347,'Daily_BU설비데이터 '!$C$20:$T$1000,18,0)</f>
        <v>#N/A</v>
      </c>
      <c r="U347" s="101" t="e">
        <f t="shared" si="50"/>
        <v>#N/A</v>
      </c>
      <c r="V347" s="45"/>
      <c r="W347" s="45"/>
      <c r="X347" s="45"/>
      <c r="Y347" s="45"/>
      <c r="Z347" s="45"/>
      <c r="AA347" s="45"/>
    </row>
    <row r="348" spans="2:27" x14ac:dyDescent="0.45">
      <c r="B348" s="45" t="s">
        <v>154</v>
      </c>
      <c r="C348" s="90"/>
      <c r="D348" s="56"/>
      <c r="E348" s="80"/>
      <c r="F348" s="58" t="e">
        <f>VLOOKUP($C348,'Daily_BU설비데이터 '!$C$20:$T$1000,4,0)</f>
        <v>#N/A</v>
      </c>
      <c r="G348" s="58" t="e">
        <f>VLOOKUP($C348,'Daily_BU설비데이터 '!$C$20:$T$1000,5,0)</f>
        <v>#N/A</v>
      </c>
      <c r="H348" s="58" t="e">
        <f>VLOOKUP($C348,'Daily_BU설비데이터 '!$C$20:$T$1000,6,0)</f>
        <v>#N/A</v>
      </c>
      <c r="I348" s="58" t="e">
        <f>VLOOKUP($C348,'Daily_BU설비데이터 '!$C$20:$T$1000,7,0)</f>
        <v>#N/A</v>
      </c>
      <c r="J348" s="58" t="e">
        <f>VLOOKUP($C348,'Daily_BU설비데이터 '!$C$20:$T$1000,8,0)</f>
        <v>#N/A</v>
      </c>
      <c r="K348" s="58" t="e">
        <f>VLOOKUP($C348,'Daily_BU설비데이터 '!$C$20:$T$1000,9,0)</f>
        <v>#N/A</v>
      </c>
      <c r="L348" s="59" t="e">
        <f t="shared" si="47"/>
        <v>#N/A</v>
      </c>
      <c r="M348" s="68" t="e">
        <f>VLOOKUP($C348,'Daily_BU설비데이터 '!$C$20:$T$1000,11,0)</f>
        <v>#N/A</v>
      </c>
      <c r="N348" s="68" t="e">
        <f>VLOOKUP($C348,'Daily_BU설비데이터 '!$C$20:$T$1000,12,0)</f>
        <v>#N/A</v>
      </c>
      <c r="O348" s="68" t="e">
        <f>VLOOKUP($C348,'Daily_BU설비데이터 '!$C$20:$T$1000,13,0)</f>
        <v>#N/A</v>
      </c>
      <c r="P348" s="68" t="e">
        <f>VLOOKUP($C348,'Daily_BU설비데이터 '!$C$20:$T$1000,14,0)</f>
        <v>#N/A</v>
      </c>
      <c r="Q348" s="99" t="e">
        <f t="shared" si="48"/>
        <v>#N/A</v>
      </c>
      <c r="R348" s="100" t="e">
        <f t="shared" si="49"/>
        <v>#N/A</v>
      </c>
      <c r="S348" s="83" t="e">
        <f>VLOOKUP($C348,'Daily_BU설비데이터 '!$C$20:$T$1000,17,0)</f>
        <v>#N/A</v>
      </c>
      <c r="T348" s="83" t="e">
        <f>VLOOKUP($C348,'Daily_BU설비데이터 '!$C$20:$T$1000,18,0)</f>
        <v>#N/A</v>
      </c>
      <c r="U348" s="101" t="e">
        <f t="shared" si="50"/>
        <v>#N/A</v>
      </c>
      <c r="V348" s="45"/>
      <c r="W348" s="45"/>
      <c r="X348" s="45"/>
      <c r="Y348" s="45"/>
      <c r="Z348" s="45"/>
      <c r="AA348" s="45"/>
    </row>
    <row r="349" spans="2:27" x14ac:dyDescent="0.45">
      <c r="B349" s="45" t="s">
        <v>155</v>
      </c>
      <c r="C349" s="90"/>
      <c r="D349" s="56"/>
      <c r="E349" s="84"/>
      <c r="F349" s="58" t="e">
        <f>VLOOKUP($C349,'Daily_BU설비데이터 '!$C$20:$T$1000,4,0)</f>
        <v>#N/A</v>
      </c>
      <c r="G349" s="58" t="e">
        <f>VLOOKUP($C349,'Daily_BU설비데이터 '!$C$20:$T$1000,5,0)</f>
        <v>#N/A</v>
      </c>
      <c r="H349" s="58" t="e">
        <f>VLOOKUP($C349,'Daily_BU설비데이터 '!$C$20:$T$1000,6,0)</f>
        <v>#N/A</v>
      </c>
      <c r="I349" s="58" t="e">
        <f>VLOOKUP($C349,'Daily_BU설비데이터 '!$C$20:$T$1000,7,0)</f>
        <v>#N/A</v>
      </c>
      <c r="J349" s="58" t="e">
        <f>VLOOKUP($C349,'Daily_BU설비데이터 '!$C$20:$T$1000,8,0)</f>
        <v>#N/A</v>
      </c>
      <c r="K349" s="58" t="e">
        <f>VLOOKUP($C349,'Daily_BU설비데이터 '!$C$20:$T$1000,9,0)</f>
        <v>#N/A</v>
      </c>
      <c r="L349" s="59" t="e">
        <f t="shared" si="47"/>
        <v>#N/A</v>
      </c>
      <c r="M349" s="68" t="e">
        <f>VLOOKUP($C349,'Daily_BU설비데이터 '!$C$20:$T$1000,11,0)</f>
        <v>#N/A</v>
      </c>
      <c r="N349" s="68" t="e">
        <f>VLOOKUP($C349,'Daily_BU설비데이터 '!$C$20:$T$1000,12,0)</f>
        <v>#N/A</v>
      </c>
      <c r="O349" s="68" t="e">
        <f>VLOOKUP($C349,'Daily_BU설비데이터 '!$C$20:$T$1000,13,0)</f>
        <v>#N/A</v>
      </c>
      <c r="P349" s="68" t="e">
        <f>VLOOKUP($C349,'Daily_BU설비데이터 '!$C$20:$T$1000,14,0)</f>
        <v>#N/A</v>
      </c>
      <c r="Q349" s="99" t="e">
        <f t="shared" si="48"/>
        <v>#N/A</v>
      </c>
      <c r="R349" s="100" t="e">
        <f t="shared" si="49"/>
        <v>#N/A</v>
      </c>
      <c r="S349" s="83" t="e">
        <f>VLOOKUP($C349,'Daily_BU설비데이터 '!$C$20:$T$1000,17,0)</f>
        <v>#N/A</v>
      </c>
      <c r="T349" s="83" t="e">
        <f>VLOOKUP($C349,'Daily_BU설비데이터 '!$C$20:$T$1000,18,0)</f>
        <v>#N/A</v>
      </c>
      <c r="U349" s="101" t="e">
        <f t="shared" si="50"/>
        <v>#N/A</v>
      </c>
      <c r="V349" s="45"/>
      <c r="W349" s="45"/>
      <c r="X349" s="45"/>
      <c r="Y349" s="45"/>
      <c r="Z349" s="45"/>
      <c r="AA349" s="45"/>
    </row>
    <row r="350" spans="2:27" x14ac:dyDescent="0.45">
      <c r="B350" s="45" t="s">
        <v>156</v>
      </c>
      <c r="C350" s="90"/>
      <c r="D350" s="56"/>
      <c r="E350" s="57"/>
      <c r="F350" s="58" t="e">
        <f>VLOOKUP($C350,'Daily_BU설비데이터 '!$C$20:$T$1000,4,0)</f>
        <v>#N/A</v>
      </c>
      <c r="G350" s="58" t="e">
        <f>VLOOKUP($C350,'Daily_BU설비데이터 '!$C$20:$T$1000,5,0)</f>
        <v>#N/A</v>
      </c>
      <c r="H350" s="58" t="e">
        <f>VLOOKUP($C350,'Daily_BU설비데이터 '!$C$20:$T$1000,6,0)</f>
        <v>#N/A</v>
      </c>
      <c r="I350" s="58" t="e">
        <f>VLOOKUP($C350,'Daily_BU설비데이터 '!$C$20:$T$1000,7,0)</f>
        <v>#N/A</v>
      </c>
      <c r="J350" s="58" t="e">
        <f>VLOOKUP($C350,'Daily_BU설비데이터 '!$C$20:$T$1000,8,0)</f>
        <v>#N/A</v>
      </c>
      <c r="K350" s="58" t="e">
        <f>VLOOKUP($C350,'Daily_BU설비데이터 '!$C$20:$T$1000,9,0)</f>
        <v>#N/A</v>
      </c>
      <c r="L350" s="59" t="e">
        <f t="shared" si="47"/>
        <v>#N/A</v>
      </c>
      <c r="M350" s="68" t="e">
        <f>VLOOKUP($C350,'Daily_BU설비데이터 '!$C$20:$T$1000,11,0)</f>
        <v>#N/A</v>
      </c>
      <c r="N350" s="68" t="e">
        <f>VLOOKUP($C350,'Daily_BU설비데이터 '!$C$20:$T$1000,12,0)</f>
        <v>#N/A</v>
      </c>
      <c r="O350" s="68" t="e">
        <f>VLOOKUP($C350,'Daily_BU설비데이터 '!$C$20:$T$1000,13,0)</f>
        <v>#N/A</v>
      </c>
      <c r="P350" s="68" t="e">
        <f>VLOOKUP($C350,'Daily_BU설비데이터 '!$C$20:$T$1000,14,0)</f>
        <v>#N/A</v>
      </c>
      <c r="Q350" s="99" t="e">
        <f t="shared" si="48"/>
        <v>#N/A</v>
      </c>
      <c r="R350" s="100" t="e">
        <f t="shared" si="49"/>
        <v>#N/A</v>
      </c>
      <c r="S350" s="83" t="e">
        <f>VLOOKUP($C350,'Daily_BU설비데이터 '!$C$20:$T$1000,17,0)</f>
        <v>#N/A</v>
      </c>
      <c r="T350" s="83" t="e">
        <f>VLOOKUP($C350,'Daily_BU설비데이터 '!$C$20:$T$1000,18,0)</f>
        <v>#N/A</v>
      </c>
      <c r="U350" s="101" t="e">
        <f t="shared" si="50"/>
        <v>#N/A</v>
      </c>
      <c r="V350" s="45"/>
      <c r="W350" s="45"/>
      <c r="X350" s="45"/>
      <c r="Y350" s="45"/>
      <c r="Z350" s="45"/>
      <c r="AA350" s="45"/>
    </row>
    <row r="351" spans="2:27" x14ac:dyDescent="0.45">
      <c r="B351" s="45" t="s">
        <v>157</v>
      </c>
      <c r="C351" s="90"/>
      <c r="D351" s="56"/>
      <c r="E351" s="80"/>
      <c r="F351" s="58" t="e">
        <f>VLOOKUP($C351,'Daily_BU설비데이터 '!$C$20:$T$1000,4,0)</f>
        <v>#N/A</v>
      </c>
      <c r="G351" s="58" t="e">
        <f>VLOOKUP($C351,'Daily_BU설비데이터 '!$C$20:$T$1000,5,0)</f>
        <v>#N/A</v>
      </c>
      <c r="H351" s="58" t="e">
        <f>VLOOKUP($C351,'Daily_BU설비데이터 '!$C$20:$T$1000,6,0)</f>
        <v>#N/A</v>
      </c>
      <c r="I351" s="58" t="e">
        <f>VLOOKUP($C351,'Daily_BU설비데이터 '!$C$20:$T$1000,7,0)</f>
        <v>#N/A</v>
      </c>
      <c r="J351" s="58" t="e">
        <f>VLOOKUP($C351,'Daily_BU설비데이터 '!$C$20:$T$1000,8,0)</f>
        <v>#N/A</v>
      </c>
      <c r="K351" s="58" t="e">
        <f>VLOOKUP($C351,'Daily_BU설비데이터 '!$C$20:$T$1000,9,0)</f>
        <v>#N/A</v>
      </c>
      <c r="L351" s="59" t="e">
        <f t="shared" si="47"/>
        <v>#N/A</v>
      </c>
      <c r="M351" s="68" t="e">
        <f>VLOOKUP($C351,'Daily_BU설비데이터 '!$C$20:$T$1000,11,0)</f>
        <v>#N/A</v>
      </c>
      <c r="N351" s="68" t="e">
        <f>VLOOKUP($C351,'Daily_BU설비데이터 '!$C$20:$T$1000,12,0)</f>
        <v>#N/A</v>
      </c>
      <c r="O351" s="68" t="e">
        <f>VLOOKUP($C351,'Daily_BU설비데이터 '!$C$20:$T$1000,13,0)</f>
        <v>#N/A</v>
      </c>
      <c r="P351" s="68" t="e">
        <f>VLOOKUP($C351,'Daily_BU설비데이터 '!$C$20:$T$1000,14,0)</f>
        <v>#N/A</v>
      </c>
      <c r="Q351" s="99" t="e">
        <f t="shared" si="48"/>
        <v>#N/A</v>
      </c>
      <c r="R351" s="100" t="e">
        <f t="shared" si="49"/>
        <v>#N/A</v>
      </c>
      <c r="S351" s="83" t="e">
        <f>VLOOKUP($C351,'Daily_BU설비데이터 '!$C$20:$T$1000,17,0)</f>
        <v>#N/A</v>
      </c>
      <c r="T351" s="83" t="e">
        <f>VLOOKUP($C351,'Daily_BU설비데이터 '!$C$20:$T$1000,18,0)</f>
        <v>#N/A</v>
      </c>
      <c r="U351" s="101" t="e">
        <f t="shared" si="50"/>
        <v>#N/A</v>
      </c>
      <c r="V351" s="45"/>
      <c r="W351" s="45"/>
      <c r="X351" s="45"/>
      <c r="Y351" s="45"/>
      <c r="Z351" s="45"/>
      <c r="AA351" s="45"/>
    </row>
    <row r="352" spans="2:27" x14ac:dyDescent="0.45">
      <c r="B352" s="45" t="s">
        <v>158</v>
      </c>
      <c r="C352" s="90"/>
      <c r="D352" s="56"/>
      <c r="E352" s="84"/>
      <c r="F352" s="58" t="e">
        <f>VLOOKUP($C352,'Daily_BU설비데이터 '!$C$20:$T$1000,4,0)</f>
        <v>#N/A</v>
      </c>
      <c r="G352" s="58" t="e">
        <f>VLOOKUP($C352,'Daily_BU설비데이터 '!$C$20:$T$1000,5,0)</f>
        <v>#N/A</v>
      </c>
      <c r="H352" s="58" t="e">
        <f>VLOOKUP($C352,'Daily_BU설비데이터 '!$C$20:$T$1000,6,0)</f>
        <v>#N/A</v>
      </c>
      <c r="I352" s="58" t="e">
        <f>VLOOKUP($C352,'Daily_BU설비데이터 '!$C$20:$T$1000,7,0)</f>
        <v>#N/A</v>
      </c>
      <c r="J352" s="58" t="e">
        <f>VLOOKUP($C352,'Daily_BU설비데이터 '!$C$20:$T$1000,8,0)</f>
        <v>#N/A</v>
      </c>
      <c r="K352" s="58" t="e">
        <f>VLOOKUP($C352,'Daily_BU설비데이터 '!$C$20:$T$1000,9,0)</f>
        <v>#N/A</v>
      </c>
      <c r="L352" s="59" t="e">
        <f t="shared" si="47"/>
        <v>#N/A</v>
      </c>
      <c r="M352" s="68" t="e">
        <f>VLOOKUP($C352,'Daily_BU설비데이터 '!$C$20:$T$1000,11,0)</f>
        <v>#N/A</v>
      </c>
      <c r="N352" s="68" t="e">
        <f>VLOOKUP($C352,'Daily_BU설비데이터 '!$C$20:$T$1000,12,0)</f>
        <v>#N/A</v>
      </c>
      <c r="O352" s="68" t="e">
        <f>VLOOKUP($C352,'Daily_BU설비데이터 '!$C$20:$T$1000,13,0)</f>
        <v>#N/A</v>
      </c>
      <c r="P352" s="68" t="e">
        <f>VLOOKUP($C352,'Daily_BU설비데이터 '!$C$20:$T$1000,14,0)</f>
        <v>#N/A</v>
      </c>
      <c r="Q352" s="99" t="e">
        <f t="shared" si="48"/>
        <v>#N/A</v>
      </c>
      <c r="R352" s="100" t="e">
        <f t="shared" si="49"/>
        <v>#N/A</v>
      </c>
      <c r="S352" s="83" t="e">
        <f>VLOOKUP($C352,'Daily_BU설비데이터 '!$C$20:$T$1000,17,0)</f>
        <v>#N/A</v>
      </c>
      <c r="T352" s="83" t="e">
        <f>VLOOKUP($C352,'Daily_BU설비데이터 '!$C$20:$T$1000,18,0)</f>
        <v>#N/A</v>
      </c>
      <c r="U352" s="101" t="e">
        <f t="shared" si="50"/>
        <v>#N/A</v>
      </c>
      <c r="V352" s="45"/>
      <c r="W352" s="45"/>
      <c r="X352" s="45"/>
      <c r="Y352" s="45"/>
      <c r="Z352" s="45"/>
      <c r="AA352" s="45"/>
    </row>
    <row r="353" spans="2:27" x14ac:dyDescent="0.45">
      <c r="B353" s="45" t="s">
        <v>159</v>
      </c>
      <c r="C353" s="90"/>
      <c r="D353" s="56"/>
      <c r="E353" s="57"/>
      <c r="F353" s="58" t="e">
        <f>VLOOKUP($C353,'Daily_BU설비데이터 '!$C$20:$T$1000,4,0)</f>
        <v>#N/A</v>
      </c>
      <c r="G353" s="58" t="e">
        <f>VLOOKUP($C353,'Daily_BU설비데이터 '!$C$20:$T$1000,5,0)</f>
        <v>#N/A</v>
      </c>
      <c r="H353" s="58" t="e">
        <f>VLOOKUP($C353,'Daily_BU설비데이터 '!$C$20:$T$1000,6,0)</f>
        <v>#N/A</v>
      </c>
      <c r="I353" s="58" t="e">
        <f>VLOOKUP($C353,'Daily_BU설비데이터 '!$C$20:$T$1000,7,0)</f>
        <v>#N/A</v>
      </c>
      <c r="J353" s="58" t="e">
        <f>VLOOKUP($C353,'Daily_BU설비데이터 '!$C$20:$T$1000,8,0)</f>
        <v>#N/A</v>
      </c>
      <c r="K353" s="58" t="e">
        <f>VLOOKUP($C353,'Daily_BU설비데이터 '!$C$20:$T$1000,9,0)</f>
        <v>#N/A</v>
      </c>
      <c r="L353" s="59" t="e">
        <f t="shared" si="47"/>
        <v>#N/A</v>
      </c>
      <c r="M353" s="68" t="e">
        <f>VLOOKUP($C353,'Daily_BU설비데이터 '!$C$20:$T$1000,11,0)</f>
        <v>#N/A</v>
      </c>
      <c r="N353" s="68" t="e">
        <f>VLOOKUP($C353,'Daily_BU설비데이터 '!$C$20:$T$1000,12,0)</f>
        <v>#N/A</v>
      </c>
      <c r="O353" s="68" t="e">
        <f>VLOOKUP($C353,'Daily_BU설비데이터 '!$C$20:$T$1000,13,0)</f>
        <v>#N/A</v>
      </c>
      <c r="P353" s="68" t="e">
        <f>VLOOKUP($C353,'Daily_BU설비데이터 '!$C$20:$T$1000,14,0)</f>
        <v>#N/A</v>
      </c>
      <c r="Q353" s="99" t="e">
        <f t="shared" si="48"/>
        <v>#N/A</v>
      </c>
      <c r="R353" s="100" t="e">
        <f t="shared" si="49"/>
        <v>#N/A</v>
      </c>
      <c r="S353" s="83" t="e">
        <f>VLOOKUP($C353,'Daily_BU설비데이터 '!$C$20:$T$1000,17,0)</f>
        <v>#N/A</v>
      </c>
      <c r="T353" s="83" t="e">
        <f>VLOOKUP($C353,'Daily_BU설비데이터 '!$C$20:$T$1000,18,0)</f>
        <v>#N/A</v>
      </c>
      <c r="U353" s="101" t="e">
        <f t="shared" si="50"/>
        <v>#N/A</v>
      </c>
      <c r="V353" s="45"/>
      <c r="W353" s="45"/>
      <c r="X353" s="45"/>
      <c r="Y353" s="45"/>
      <c r="Z353" s="45"/>
      <c r="AA353" s="45"/>
    </row>
    <row r="354" spans="2:27" x14ac:dyDescent="0.45">
      <c r="B354" s="45" t="s">
        <v>160</v>
      </c>
      <c r="C354" s="90"/>
      <c r="D354" s="56"/>
      <c r="E354" s="80"/>
      <c r="F354" s="58" t="e">
        <f>VLOOKUP($C354,'Daily_BU설비데이터 '!$C$20:$T$1000,4,0)</f>
        <v>#N/A</v>
      </c>
      <c r="G354" s="58" t="e">
        <f>VLOOKUP($C354,'Daily_BU설비데이터 '!$C$20:$T$1000,5,0)</f>
        <v>#N/A</v>
      </c>
      <c r="H354" s="58" t="e">
        <f>VLOOKUP($C354,'Daily_BU설비데이터 '!$C$20:$T$1000,6,0)</f>
        <v>#N/A</v>
      </c>
      <c r="I354" s="58" t="e">
        <f>VLOOKUP($C354,'Daily_BU설비데이터 '!$C$20:$T$1000,7,0)</f>
        <v>#N/A</v>
      </c>
      <c r="J354" s="58" t="e">
        <f>VLOOKUP($C354,'Daily_BU설비데이터 '!$C$20:$T$1000,8,0)</f>
        <v>#N/A</v>
      </c>
      <c r="K354" s="58" t="e">
        <f>VLOOKUP($C354,'Daily_BU설비데이터 '!$C$20:$T$1000,9,0)</f>
        <v>#N/A</v>
      </c>
      <c r="L354" s="59" t="e">
        <f t="shared" si="47"/>
        <v>#N/A</v>
      </c>
      <c r="M354" s="68" t="e">
        <f>VLOOKUP($C354,'Daily_BU설비데이터 '!$C$20:$T$1000,11,0)</f>
        <v>#N/A</v>
      </c>
      <c r="N354" s="68" t="e">
        <f>VLOOKUP($C354,'Daily_BU설비데이터 '!$C$20:$T$1000,12,0)</f>
        <v>#N/A</v>
      </c>
      <c r="O354" s="68" t="e">
        <f>VLOOKUP($C354,'Daily_BU설비데이터 '!$C$20:$T$1000,13,0)</f>
        <v>#N/A</v>
      </c>
      <c r="P354" s="68" t="e">
        <f>VLOOKUP($C354,'Daily_BU설비데이터 '!$C$20:$T$1000,14,0)</f>
        <v>#N/A</v>
      </c>
      <c r="Q354" s="99" t="e">
        <f t="shared" si="48"/>
        <v>#N/A</v>
      </c>
      <c r="R354" s="100" t="e">
        <f t="shared" si="49"/>
        <v>#N/A</v>
      </c>
      <c r="S354" s="83" t="e">
        <f>VLOOKUP($C354,'Daily_BU설비데이터 '!$C$20:$T$1000,17,0)</f>
        <v>#N/A</v>
      </c>
      <c r="T354" s="83" t="e">
        <f>VLOOKUP($C354,'Daily_BU설비데이터 '!$C$20:$T$1000,18,0)</f>
        <v>#N/A</v>
      </c>
      <c r="U354" s="101" t="e">
        <f t="shared" si="50"/>
        <v>#N/A</v>
      </c>
      <c r="V354" s="45"/>
      <c r="W354" s="45"/>
      <c r="X354" s="45"/>
      <c r="Y354" s="45"/>
      <c r="Z354" s="45"/>
      <c r="AA354" s="45"/>
    </row>
    <row r="355" spans="2:27" x14ac:dyDescent="0.45">
      <c r="B355" s="45" t="s">
        <v>161</v>
      </c>
      <c r="C355" s="90"/>
      <c r="D355" s="56"/>
      <c r="E355" s="84"/>
      <c r="F355" s="58" t="e">
        <f>VLOOKUP($C355,'Daily_BU설비데이터 '!$C$20:$T$1000,4,0)</f>
        <v>#N/A</v>
      </c>
      <c r="G355" s="58" t="e">
        <f>VLOOKUP($C355,'Daily_BU설비데이터 '!$C$20:$T$1000,5,0)</f>
        <v>#N/A</v>
      </c>
      <c r="H355" s="58" t="e">
        <f>VLOOKUP($C355,'Daily_BU설비데이터 '!$C$20:$T$1000,6,0)</f>
        <v>#N/A</v>
      </c>
      <c r="I355" s="58" t="e">
        <f>VLOOKUP($C355,'Daily_BU설비데이터 '!$C$20:$T$1000,7,0)</f>
        <v>#N/A</v>
      </c>
      <c r="J355" s="58" t="e">
        <f>VLOOKUP($C355,'Daily_BU설비데이터 '!$C$20:$T$1000,8,0)</f>
        <v>#N/A</v>
      </c>
      <c r="K355" s="58" t="e">
        <f>VLOOKUP($C355,'Daily_BU설비데이터 '!$C$20:$T$1000,9,0)</f>
        <v>#N/A</v>
      </c>
      <c r="L355" s="59" t="e">
        <f t="shared" si="47"/>
        <v>#N/A</v>
      </c>
      <c r="M355" s="68" t="e">
        <f>VLOOKUP($C355,'Daily_BU설비데이터 '!$C$20:$T$1000,11,0)</f>
        <v>#N/A</v>
      </c>
      <c r="N355" s="68" t="e">
        <f>VLOOKUP($C355,'Daily_BU설비데이터 '!$C$20:$T$1000,12,0)</f>
        <v>#N/A</v>
      </c>
      <c r="O355" s="68" t="e">
        <f>VLOOKUP($C355,'Daily_BU설비데이터 '!$C$20:$T$1000,13,0)</f>
        <v>#N/A</v>
      </c>
      <c r="P355" s="68" t="e">
        <f>VLOOKUP($C355,'Daily_BU설비데이터 '!$C$20:$T$1000,14,0)</f>
        <v>#N/A</v>
      </c>
      <c r="Q355" s="99" t="e">
        <f t="shared" si="48"/>
        <v>#N/A</v>
      </c>
      <c r="R355" s="100" t="e">
        <f t="shared" si="49"/>
        <v>#N/A</v>
      </c>
      <c r="S355" s="83" t="e">
        <f>VLOOKUP($C355,'Daily_BU설비데이터 '!$C$20:$T$1000,17,0)</f>
        <v>#N/A</v>
      </c>
      <c r="T355" s="83" t="e">
        <f>VLOOKUP($C355,'Daily_BU설비데이터 '!$C$20:$T$1000,18,0)</f>
        <v>#N/A</v>
      </c>
      <c r="U355" s="101" t="e">
        <f t="shared" si="50"/>
        <v>#N/A</v>
      </c>
      <c r="V355" s="45"/>
      <c r="W355" s="45"/>
      <c r="X355" s="45"/>
      <c r="Y355" s="45"/>
      <c r="Z355" s="45"/>
      <c r="AA355" s="45"/>
    </row>
    <row r="356" spans="2:27" x14ac:dyDescent="0.45">
      <c r="B356" s="45" t="s">
        <v>162</v>
      </c>
      <c r="C356" s="90"/>
      <c r="D356" s="56"/>
      <c r="E356" s="57"/>
      <c r="F356" s="58" t="e">
        <f>VLOOKUP($C356,'Daily_BU설비데이터 '!$C$20:$T$1000,4,0)</f>
        <v>#N/A</v>
      </c>
      <c r="G356" s="58" t="e">
        <f>VLOOKUP($C356,'Daily_BU설비데이터 '!$C$20:$T$1000,5,0)</f>
        <v>#N/A</v>
      </c>
      <c r="H356" s="58" t="e">
        <f>VLOOKUP($C356,'Daily_BU설비데이터 '!$C$20:$T$1000,6,0)</f>
        <v>#N/A</v>
      </c>
      <c r="I356" s="58" t="e">
        <f>VLOOKUP($C356,'Daily_BU설비데이터 '!$C$20:$T$1000,7,0)</f>
        <v>#N/A</v>
      </c>
      <c r="J356" s="58" t="e">
        <f>VLOOKUP($C356,'Daily_BU설비데이터 '!$C$20:$T$1000,8,0)</f>
        <v>#N/A</v>
      </c>
      <c r="K356" s="58" t="e">
        <f>VLOOKUP($C356,'Daily_BU설비데이터 '!$C$20:$T$1000,9,0)</f>
        <v>#N/A</v>
      </c>
      <c r="L356" s="59" t="e">
        <f t="shared" si="47"/>
        <v>#N/A</v>
      </c>
      <c r="M356" s="68" t="e">
        <f>VLOOKUP($C356,'Daily_BU설비데이터 '!$C$20:$T$1000,11,0)</f>
        <v>#N/A</v>
      </c>
      <c r="N356" s="68" t="e">
        <f>VLOOKUP($C356,'Daily_BU설비데이터 '!$C$20:$T$1000,12,0)</f>
        <v>#N/A</v>
      </c>
      <c r="O356" s="68" t="e">
        <f>VLOOKUP($C356,'Daily_BU설비데이터 '!$C$20:$T$1000,13,0)</f>
        <v>#N/A</v>
      </c>
      <c r="P356" s="68" t="e">
        <f>VLOOKUP($C356,'Daily_BU설비데이터 '!$C$20:$T$1000,14,0)</f>
        <v>#N/A</v>
      </c>
      <c r="Q356" s="99" t="e">
        <f t="shared" si="48"/>
        <v>#N/A</v>
      </c>
      <c r="R356" s="100" t="e">
        <f t="shared" si="49"/>
        <v>#N/A</v>
      </c>
      <c r="S356" s="83" t="e">
        <f>VLOOKUP($C356,'Daily_BU설비데이터 '!$C$20:$T$1000,17,0)</f>
        <v>#N/A</v>
      </c>
      <c r="T356" s="83" t="e">
        <f>VLOOKUP($C356,'Daily_BU설비데이터 '!$C$20:$T$1000,18,0)</f>
        <v>#N/A</v>
      </c>
      <c r="U356" s="101" t="e">
        <f t="shared" si="50"/>
        <v>#N/A</v>
      </c>
      <c r="V356" s="45"/>
      <c r="W356" s="45"/>
      <c r="X356" s="45"/>
      <c r="Y356" s="45"/>
      <c r="Z356" s="45"/>
      <c r="AA356" s="45"/>
    </row>
    <row r="357" spans="2:27" x14ac:dyDescent="0.45">
      <c r="B357" s="45" t="s">
        <v>163</v>
      </c>
      <c r="C357" s="90"/>
      <c r="D357" s="56"/>
      <c r="E357" s="80"/>
      <c r="F357" s="58" t="e">
        <f>VLOOKUP($C357,'Daily_BU설비데이터 '!$C$20:$T$1000,4,0)</f>
        <v>#N/A</v>
      </c>
      <c r="G357" s="58" t="e">
        <f>VLOOKUP($C357,'Daily_BU설비데이터 '!$C$20:$T$1000,5,0)</f>
        <v>#N/A</v>
      </c>
      <c r="H357" s="58" t="e">
        <f>VLOOKUP($C357,'Daily_BU설비데이터 '!$C$20:$T$1000,6,0)</f>
        <v>#N/A</v>
      </c>
      <c r="I357" s="58" t="e">
        <f>VLOOKUP($C357,'Daily_BU설비데이터 '!$C$20:$T$1000,7,0)</f>
        <v>#N/A</v>
      </c>
      <c r="J357" s="58" t="e">
        <f>VLOOKUP($C357,'Daily_BU설비데이터 '!$C$20:$T$1000,8,0)</f>
        <v>#N/A</v>
      </c>
      <c r="K357" s="58" t="e">
        <f>VLOOKUP($C357,'Daily_BU설비데이터 '!$C$20:$T$1000,9,0)</f>
        <v>#N/A</v>
      </c>
      <c r="L357" s="59" t="e">
        <f t="shared" si="47"/>
        <v>#N/A</v>
      </c>
      <c r="M357" s="68" t="e">
        <f>VLOOKUP($C357,'Daily_BU설비데이터 '!$C$20:$T$1000,11,0)</f>
        <v>#N/A</v>
      </c>
      <c r="N357" s="68" t="e">
        <f>VLOOKUP($C357,'Daily_BU설비데이터 '!$C$20:$T$1000,12,0)</f>
        <v>#N/A</v>
      </c>
      <c r="O357" s="68" t="e">
        <f>VLOOKUP($C357,'Daily_BU설비데이터 '!$C$20:$T$1000,13,0)</f>
        <v>#N/A</v>
      </c>
      <c r="P357" s="68" t="e">
        <f>VLOOKUP($C357,'Daily_BU설비데이터 '!$C$20:$T$1000,14,0)</f>
        <v>#N/A</v>
      </c>
      <c r="Q357" s="99" t="e">
        <f t="shared" si="48"/>
        <v>#N/A</v>
      </c>
      <c r="R357" s="100" t="e">
        <f t="shared" si="49"/>
        <v>#N/A</v>
      </c>
      <c r="S357" s="83" t="e">
        <f>VLOOKUP($C357,'Daily_BU설비데이터 '!$C$20:$T$1000,17,0)</f>
        <v>#N/A</v>
      </c>
      <c r="T357" s="83" t="e">
        <f>VLOOKUP($C357,'Daily_BU설비데이터 '!$C$20:$T$1000,18,0)</f>
        <v>#N/A</v>
      </c>
      <c r="U357" s="101" t="e">
        <f t="shared" si="50"/>
        <v>#N/A</v>
      </c>
      <c r="V357" s="45"/>
      <c r="W357" s="45"/>
      <c r="X357" s="45"/>
      <c r="Y357" s="45"/>
      <c r="Z357" s="45"/>
      <c r="AA357" s="45"/>
    </row>
    <row r="358" spans="2:27" x14ac:dyDescent="0.45">
      <c r="B358" s="45" t="s">
        <v>164</v>
      </c>
      <c r="C358" s="90"/>
      <c r="D358" s="56"/>
      <c r="E358" s="84"/>
      <c r="F358" s="58" t="e">
        <f>VLOOKUP($C358,'Daily_BU설비데이터 '!$C$20:$T$1000,4,0)</f>
        <v>#N/A</v>
      </c>
      <c r="G358" s="58" t="e">
        <f>VLOOKUP($C358,'Daily_BU설비데이터 '!$C$20:$T$1000,5,0)</f>
        <v>#N/A</v>
      </c>
      <c r="H358" s="58" t="e">
        <f>VLOOKUP($C358,'Daily_BU설비데이터 '!$C$20:$T$1000,6,0)</f>
        <v>#N/A</v>
      </c>
      <c r="I358" s="58" t="e">
        <f>VLOOKUP($C358,'Daily_BU설비데이터 '!$C$20:$T$1000,7,0)</f>
        <v>#N/A</v>
      </c>
      <c r="J358" s="58" t="e">
        <f>VLOOKUP($C358,'Daily_BU설비데이터 '!$C$20:$T$1000,8,0)</f>
        <v>#N/A</v>
      </c>
      <c r="K358" s="58" t="e">
        <f>VLOOKUP($C358,'Daily_BU설비데이터 '!$C$20:$T$1000,9,0)</f>
        <v>#N/A</v>
      </c>
      <c r="L358" s="59" t="e">
        <f t="shared" si="47"/>
        <v>#N/A</v>
      </c>
      <c r="M358" s="68" t="e">
        <f>VLOOKUP($C358,'Daily_BU설비데이터 '!$C$20:$T$1000,11,0)</f>
        <v>#N/A</v>
      </c>
      <c r="N358" s="68" t="e">
        <f>VLOOKUP($C358,'Daily_BU설비데이터 '!$C$20:$T$1000,12,0)</f>
        <v>#N/A</v>
      </c>
      <c r="O358" s="68" t="e">
        <f>VLOOKUP($C358,'Daily_BU설비데이터 '!$C$20:$T$1000,13,0)</f>
        <v>#N/A</v>
      </c>
      <c r="P358" s="68" t="e">
        <f>VLOOKUP($C358,'Daily_BU설비데이터 '!$C$20:$T$1000,14,0)</f>
        <v>#N/A</v>
      </c>
      <c r="Q358" s="99" t="e">
        <f t="shared" si="48"/>
        <v>#N/A</v>
      </c>
      <c r="R358" s="100" t="e">
        <f t="shared" si="49"/>
        <v>#N/A</v>
      </c>
      <c r="S358" s="83" t="e">
        <f>VLOOKUP($C358,'Daily_BU설비데이터 '!$C$20:$T$1000,17,0)</f>
        <v>#N/A</v>
      </c>
      <c r="T358" s="83" t="e">
        <f>VLOOKUP($C358,'Daily_BU설비데이터 '!$C$20:$T$1000,18,0)</f>
        <v>#N/A</v>
      </c>
      <c r="U358" s="101" t="e">
        <f t="shared" si="50"/>
        <v>#N/A</v>
      </c>
      <c r="V358" s="45"/>
      <c r="W358" s="45"/>
      <c r="X358" s="45"/>
      <c r="Y358" s="45"/>
      <c r="Z358" s="45"/>
      <c r="AA358" s="45"/>
    </row>
    <row r="359" spans="2:27" x14ac:dyDescent="0.45">
      <c r="B359" s="45" t="s">
        <v>165</v>
      </c>
      <c r="C359" s="90"/>
      <c r="D359" s="56"/>
      <c r="E359" s="57"/>
      <c r="F359" s="58" t="e">
        <f>VLOOKUP($C359,'Daily_BU설비데이터 '!$C$20:$T$1000,4,0)</f>
        <v>#N/A</v>
      </c>
      <c r="G359" s="58" t="e">
        <f>VLOOKUP($C359,'Daily_BU설비데이터 '!$C$20:$T$1000,5,0)</f>
        <v>#N/A</v>
      </c>
      <c r="H359" s="58" t="e">
        <f>VLOOKUP($C359,'Daily_BU설비데이터 '!$C$20:$T$1000,6,0)</f>
        <v>#N/A</v>
      </c>
      <c r="I359" s="58" t="e">
        <f>VLOOKUP($C359,'Daily_BU설비데이터 '!$C$20:$T$1000,7,0)</f>
        <v>#N/A</v>
      </c>
      <c r="J359" s="58" t="e">
        <f>VLOOKUP($C359,'Daily_BU설비데이터 '!$C$20:$T$1000,8,0)</f>
        <v>#N/A</v>
      </c>
      <c r="K359" s="58" t="e">
        <f>VLOOKUP($C359,'Daily_BU설비데이터 '!$C$20:$T$1000,9,0)</f>
        <v>#N/A</v>
      </c>
      <c r="L359" s="59" t="e">
        <f t="shared" si="47"/>
        <v>#N/A</v>
      </c>
      <c r="M359" s="68" t="e">
        <f>VLOOKUP($C359,'Daily_BU설비데이터 '!$C$20:$T$1000,11,0)</f>
        <v>#N/A</v>
      </c>
      <c r="N359" s="68" t="e">
        <f>VLOOKUP($C359,'Daily_BU설비데이터 '!$C$20:$T$1000,12,0)</f>
        <v>#N/A</v>
      </c>
      <c r="O359" s="68" t="e">
        <f>VLOOKUP($C359,'Daily_BU설비데이터 '!$C$20:$T$1000,13,0)</f>
        <v>#N/A</v>
      </c>
      <c r="P359" s="68" t="e">
        <f>VLOOKUP($C359,'Daily_BU설비데이터 '!$C$20:$T$1000,14,0)</f>
        <v>#N/A</v>
      </c>
      <c r="Q359" s="99" t="e">
        <f t="shared" si="48"/>
        <v>#N/A</v>
      </c>
      <c r="R359" s="100" t="e">
        <f t="shared" si="49"/>
        <v>#N/A</v>
      </c>
      <c r="S359" s="83" t="e">
        <f>VLOOKUP($C359,'Daily_BU설비데이터 '!$C$20:$T$1000,17,0)</f>
        <v>#N/A</v>
      </c>
      <c r="T359" s="83" t="e">
        <f>VLOOKUP($C359,'Daily_BU설비데이터 '!$C$20:$T$1000,18,0)</f>
        <v>#N/A</v>
      </c>
      <c r="U359" s="101" t="e">
        <f t="shared" si="50"/>
        <v>#N/A</v>
      </c>
      <c r="V359" s="45"/>
      <c r="W359" s="45"/>
      <c r="X359" s="45"/>
      <c r="Y359" s="45"/>
      <c r="Z359" s="45"/>
      <c r="AA359" s="45"/>
    </row>
    <row r="360" spans="2:27" x14ac:dyDescent="0.45">
      <c r="B360" s="45" t="s">
        <v>166</v>
      </c>
      <c r="C360" s="90"/>
      <c r="D360" s="56"/>
      <c r="E360" s="80"/>
      <c r="F360" s="58" t="e">
        <f>VLOOKUP($C360,'Daily_BU설비데이터 '!$C$20:$T$1000,4,0)</f>
        <v>#N/A</v>
      </c>
      <c r="G360" s="58" t="e">
        <f>VLOOKUP($C360,'Daily_BU설비데이터 '!$C$20:$T$1000,5,0)</f>
        <v>#N/A</v>
      </c>
      <c r="H360" s="58" t="e">
        <f>VLOOKUP($C360,'Daily_BU설비데이터 '!$C$20:$T$1000,6,0)</f>
        <v>#N/A</v>
      </c>
      <c r="I360" s="58" t="e">
        <f>VLOOKUP($C360,'Daily_BU설비데이터 '!$C$20:$T$1000,7,0)</f>
        <v>#N/A</v>
      </c>
      <c r="J360" s="58" t="e">
        <f>VLOOKUP($C360,'Daily_BU설비데이터 '!$C$20:$T$1000,8,0)</f>
        <v>#N/A</v>
      </c>
      <c r="K360" s="58" t="e">
        <f>VLOOKUP($C360,'Daily_BU설비데이터 '!$C$20:$T$1000,9,0)</f>
        <v>#N/A</v>
      </c>
      <c r="L360" s="59" t="e">
        <f t="shared" si="47"/>
        <v>#N/A</v>
      </c>
      <c r="M360" s="68" t="e">
        <f>VLOOKUP($C360,'Daily_BU설비데이터 '!$C$20:$T$1000,11,0)</f>
        <v>#N/A</v>
      </c>
      <c r="N360" s="68" t="e">
        <f>VLOOKUP($C360,'Daily_BU설비데이터 '!$C$20:$T$1000,12,0)</f>
        <v>#N/A</v>
      </c>
      <c r="O360" s="68" t="e">
        <f>VLOOKUP($C360,'Daily_BU설비데이터 '!$C$20:$T$1000,13,0)</f>
        <v>#N/A</v>
      </c>
      <c r="P360" s="68" t="e">
        <f>VLOOKUP($C360,'Daily_BU설비데이터 '!$C$20:$T$1000,14,0)</f>
        <v>#N/A</v>
      </c>
      <c r="Q360" s="99" t="e">
        <f t="shared" si="48"/>
        <v>#N/A</v>
      </c>
      <c r="R360" s="100" t="e">
        <f t="shared" si="49"/>
        <v>#N/A</v>
      </c>
      <c r="S360" s="83" t="e">
        <f>VLOOKUP($C360,'Daily_BU설비데이터 '!$C$20:$T$1000,17,0)</f>
        <v>#N/A</v>
      </c>
      <c r="T360" s="83" t="e">
        <f>VLOOKUP($C360,'Daily_BU설비데이터 '!$C$20:$T$1000,18,0)</f>
        <v>#N/A</v>
      </c>
      <c r="U360" s="101" t="e">
        <f t="shared" si="50"/>
        <v>#N/A</v>
      </c>
      <c r="V360" s="45"/>
      <c r="W360" s="45"/>
      <c r="X360" s="45"/>
      <c r="Y360" s="45"/>
      <c r="Z360" s="45"/>
      <c r="AA360" s="45"/>
    </row>
    <row r="361" spans="2:27" x14ac:dyDescent="0.45">
      <c r="B361" s="45" t="s">
        <v>167</v>
      </c>
      <c r="C361" s="90"/>
      <c r="D361" s="56"/>
      <c r="E361" s="84"/>
      <c r="F361" s="58" t="e">
        <f>VLOOKUP($C361,'Daily_BU설비데이터 '!$C$20:$T$1000,4,0)</f>
        <v>#N/A</v>
      </c>
      <c r="G361" s="58" t="e">
        <f>VLOOKUP($C361,'Daily_BU설비데이터 '!$C$20:$T$1000,5,0)</f>
        <v>#N/A</v>
      </c>
      <c r="H361" s="58" t="e">
        <f>VLOOKUP($C361,'Daily_BU설비데이터 '!$C$20:$T$1000,6,0)</f>
        <v>#N/A</v>
      </c>
      <c r="I361" s="58" t="e">
        <f>VLOOKUP($C361,'Daily_BU설비데이터 '!$C$20:$T$1000,7,0)</f>
        <v>#N/A</v>
      </c>
      <c r="J361" s="58" t="e">
        <f>VLOOKUP($C361,'Daily_BU설비데이터 '!$C$20:$T$1000,8,0)</f>
        <v>#N/A</v>
      </c>
      <c r="K361" s="58" t="e">
        <f>VLOOKUP($C361,'Daily_BU설비데이터 '!$C$20:$T$1000,9,0)</f>
        <v>#N/A</v>
      </c>
      <c r="L361" s="59" t="e">
        <f t="shared" si="47"/>
        <v>#N/A</v>
      </c>
      <c r="M361" s="68" t="e">
        <f>VLOOKUP($C361,'Daily_BU설비데이터 '!$C$20:$T$1000,11,0)</f>
        <v>#N/A</v>
      </c>
      <c r="N361" s="68" t="e">
        <f>VLOOKUP($C361,'Daily_BU설비데이터 '!$C$20:$T$1000,12,0)</f>
        <v>#N/A</v>
      </c>
      <c r="O361" s="68" t="e">
        <f>VLOOKUP($C361,'Daily_BU설비데이터 '!$C$20:$T$1000,13,0)</f>
        <v>#N/A</v>
      </c>
      <c r="P361" s="68" t="e">
        <f>VLOOKUP($C361,'Daily_BU설비데이터 '!$C$20:$T$1000,14,0)</f>
        <v>#N/A</v>
      </c>
      <c r="Q361" s="99" t="e">
        <f t="shared" si="48"/>
        <v>#N/A</v>
      </c>
      <c r="R361" s="100" t="e">
        <f t="shared" si="49"/>
        <v>#N/A</v>
      </c>
      <c r="S361" s="83" t="e">
        <f>VLOOKUP($C361,'Daily_BU설비데이터 '!$C$20:$T$1000,17,0)</f>
        <v>#N/A</v>
      </c>
      <c r="T361" s="83" t="e">
        <f>VLOOKUP($C361,'Daily_BU설비데이터 '!$C$20:$T$1000,18,0)</f>
        <v>#N/A</v>
      </c>
      <c r="U361" s="101" t="e">
        <f t="shared" si="50"/>
        <v>#N/A</v>
      </c>
      <c r="V361" s="45"/>
      <c r="W361" s="45"/>
      <c r="X361" s="45"/>
      <c r="Y361" s="45"/>
      <c r="Z361" s="45"/>
      <c r="AA361" s="45"/>
    </row>
    <row r="362" spans="2:27" x14ac:dyDescent="0.45">
      <c r="B362" s="45" t="s">
        <v>168</v>
      </c>
      <c r="C362" s="90"/>
      <c r="D362" s="56"/>
      <c r="E362" s="57"/>
      <c r="F362" s="58" t="e">
        <f>VLOOKUP($C362,'Daily_BU설비데이터 '!$C$20:$T$1000,4,0)</f>
        <v>#N/A</v>
      </c>
      <c r="G362" s="58" t="e">
        <f>VLOOKUP($C362,'Daily_BU설비데이터 '!$C$20:$T$1000,5,0)</f>
        <v>#N/A</v>
      </c>
      <c r="H362" s="58" t="e">
        <f>VLOOKUP($C362,'Daily_BU설비데이터 '!$C$20:$T$1000,6,0)</f>
        <v>#N/A</v>
      </c>
      <c r="I362" s="58" t="e">
        <f>VLOOKUP($C362,'Daily_BU설비데이터 '!$C$20:$T$1000,7,0)</f>
        <v>#N/A</v>
      </c>
      <c r="J362" s="58" t="e">
        <f>VLOOKUP($C362,'Daily_BU설비데이터 '!$C$20:$T$1000,8,0)</f>
        <v>#N/A</v>
      </c>
      <c r="K362" s="58" t="e">
        <f>VLOOKUP($C362,'Daily_BU설비데이터 '!$C$20:$T$1000,9,0)</f>
        <v>#N/A</v>
      </c>
      <c r="L362" s="59" t="e">
        <f t="shared" si="47"/>
        <v>#N/A</v>
      </c>
      <c r="M362" s="68" t="e">
        <f>VLOOKUP($C362,'Daily_BU설비데이터 '!$C$20:$T$1000,11,0)</f>
        <v>#N/A</v>
      </c>
      <c r="N362" s="68" t="e">
        <f>VLOOKUP($C362,'Daily_BU설비데이터 '!$C$20:$T$1000,12,0)</f>
        <v>#N/A</v>
      </c>
      <c r="O362" s="68" t="e">
        <f>VLOOKUP($C362,'Daily_BU설비데이터 '!$C$20:$T$1000,13,0)</f>
        <v>#N/A</v>
      </c>
      <c r="P362" s="68" t="e">
        <f>VLOOKUP($C362,'Daily_BU설비데이터 '!$C$20:$T$1000,14,0)</f>
        <v>#N/A</v>
      </c>
      <c r="Q362" s="99" t="e">
        <f t="shared" si="48"/>
        <v>#N/A</v>
      </c>
      <c r="R362" s="100" t="e">
        <f t="shared" si="49"/>
        <v>#N/A</v>
      </c>
      <c r="S362" s="83" t="e">
        <f>VLOOKUP($C362,'Daily_BU설비데이터 '!$C$20:$T$1000,17,0)</f>
        <v>#N/A</v>
      </c>
      <c r="T362" s="83" t="e">
        <f>VLOOKUP($C362,'Daily_BU설비데이터 '!$C$20:$T$1000,18,0)</f>
        <v>#N/A</v>
      </c>
      <c r="U362" s="101" t="e">
        <f t="shared" si="50"/>
        <v>#N/A</v>
      </c>
      <c r="V362" s="45"/>
      <c r="W362" s="45"/>
      <c r="X362" s="45"/>
      <c r="Y362" s="45"/>
      <c r="Z362" s="45"/>
      <c r="AA362" s="45"/>
    </row>
    <row r="363" spans="2:27" x14ac:dyDescent="0.45">
      <c r="B363" s="45" t="s">
        <v>169</v>
      </c>
      <c r="C363" s="90"/>
      <c r="D363" s="56"/>
      <c r="E363" s="80"/>
      <c r="F363" s="58" t="e">
        <f>VLOOKUP($C363,'Daily_BU설비데이터 '!$C$20:$T$1000,4,0)</f>
        <v>#N/A</v>
      </c>
      <c r="G363" s="58" t="e">
        <f>VLOOKUP($C363,'Daily_BU설비데이터 '!$C$20:$T$1000,5,0)</f>
        <v>#N/A</v>
      </c>
      <c r="H363" s="58" t="e">
        <f>VLOOKUP($C363,'Daily_BU설비데이터 '!$C$20:$T$1000,6,0)</f>
        <v>#N/A</v>
      </c>
      <c r="I363" s="58" t="e">
        <f>VLOOKUP($C363,'Daily_BU설비데이터 '!$C$20:$T$1000,7,0)</f>
        <v>#N/A</v>
      </c>
      <c r="J363" s="58" t="e">
        <f>VLOOKUP($C363,'Daily_BU설비데이터 '!$C$20:$T$1000,8,0)</f>
        <v>#N/A</v>
      </c>
      <c r="K363" s="58" t="e">
        <f>VLOOKUP($C363,'Daily_BU설비데이터 '!$C$20:$T$1000,9,0)</f>
        <v>#N/A</v>
      </c>
      <c r="L363" s="59" t="e">
        <f t="shared" si="47"/>
        <v>#N/A</v>
      </c>
      <c r="M363" s="68" t="e">
        <f>VLOOKUP($C363,'Daily_BU설비데이터 '!$C$20:$T$1000,11,0)</f>
        <v>#N/A</v>
      </c>
      <c r="N363" s="68" t="e">
        <f>VLOOKUP($C363,'Daily_BU설비데이터 '!$C$20:$T$1000,12,0)</f>
        <v>#N/A</v>
      </c>
      <c r="O363" s="68" t="e">
        <f>VLOOKUP($C363,'Daily_BU설비데이터 '!$C$20:$T$1000,13,0)</f>
        <v>#N/A</v>
      </c>
      <c r="P363" s="68" t="e">
        <f>VLOOKUP($C363,'Daily_BU설비데이터 '!$C$20:$T$1000,14,0)</f>
        <v>#N/A</v>
      </c>
      <c r="Q363" s="99" t="e">
        <f t="shared" si="48"/>
        <v>#N/A</v>
      </c>
      <c r="R363" s="100" t="e">
        <f t="shared" si="49"/>
        <v>#N/A</v>
      </c>
      <c r="S363" s="83" t="e">
        <f>VLOOKUP($C363,'Daily_BU설비데이터 '!$C$20:$T$1000,17,0)</f>
        <v>#N/A</v>
      </c>
      <c r="T363" s="83" t="e">
        <f>VLOOKUP($C363,'Daily_BU설비데이터 '!$C$20:$T$1000,18,0)</f>
        <v>#N/A</v>
      </c>
      <c r="U363" s="101" t="e">
        <f t="shared" si="50"/>
        <v>#N/A</v>
      </c>
      <c r="V363" s="45"/>
      <c r="W363" s="45"/>
      <c r="X363" s="45"/>
      <c r="Y363" s="45"/>
      <c r="Z363" s="45"/>
      <c r="AA363" s="45"/>
    </row>
    <row r="364" spans="2:27" x14ac:dyDescent="0.45">
      <c r="B364" s="45" t="s">
        <v>170</v>
      </c>
      <c r="C364" s="90"/>
      <c r="D364" s="56"/>
      <c r="E364" s="84"/>
      <c r="F364" s="58" t="e">
        <f>VLOOKUP($C364,'Daily_BU설비데이터 '!$C$20:$T$1000,4,0)</f>
        <v>#N/A</v>
      </c>
      <c r="G364" s="58" t="e">
        <f>VLOOKUP($C364,'Daily_BU설비데이터 '!$C$20:$T$1000,5,0)</f>
        <v>#N/A</v>
      </c>
      <c r="H364" s="58" t="e">
        <f>VLOOKUP($C364,'Daily_BU설비데이터 '!$C$20:$T$1000,6,0)</f>
        <v>#N/A</v>
      </c>
      <c r="I364" s="58" t="e">
        <f>VLOOKUP($C364,'Daily_BU설비데이터 '!$C$20:$T$1000,7,0)</f>
        <v>#N/A</v>
      </c>
      <c r="J364" s="58" t="e">
        <f>VLOOKUP($C364,'Daily_BU설비데이터 '!$C$20:$T$1000,8,0)</f>
        <v>#N/A</v>
      </c>
      <c r="K364" s="58" t="e">
        <f>VLOOKUP($C364,'Daily_BU설비데이터 '!$C$20:$T$1000,9,0)</f>
        <v>#N/A</v>
      </c>
      <c r="L364" s="59" t="e">
        <f t="shared" si="47"/>
        <v>#N/A</v>
      </c>
      <c r="M364" s="68" t="e">
        <f>VLOOKUP($C364,'Daily_BU설비데이터 '!$C$20:$T$1000,11,0)</f>
        <v>#N/A</v>
      </c>
      <c r="N364" s="68" t="e">
        <f>VLOOKUP($C364,'Daily_BU설비데이터 '!$C$20:$T$1000,12,0)</f>
        <v>#N/A</v>
      </c>
      <c r="O364" s="68" t="e">
        <f>VLOOKUP($C364,'Daily_BU설비데이터 '!$C$20:$T$1000,13,0)</f>
        <v>#N/A</v>
      </c>
      <c r="P364" s="68" t="e">
        <f>VLOOKUP($C364,'Daily_BU설비데이터 '!$C$20:$T$1000,14,0)</f>
        <v>#N/A</v>
      </c>
      <c r="Q364" s="99" t="e">
        <f t="shared" si="48"/>
        <v>#N/A</v>
      </c>
      <c r="R364" s="100" t="e">
        <f t="shared" si="49"/>
        <v>#N/A</v>
      </c>
      <c r="S364" s="83" t="e">
        <f>VLOOKUP($C364,'Daily_BU설비데이터 '!$C$20:$T$1000,17,0)</f>
        <v>#N/A</v>
      </c>
      <c r="T364" s="83" t="e">
        <f>VLOOKUP($C364,'Daily_BU설비데이터 '!$C$20:$T$1000,18,0)</f>
        <v>#N/A</v>
      </c>
      <c r="U364" s="101" t="e">
        <f t="shared" si="50"/>
        <v>#N/A</v>
      </c>
      <c r="V364" s="45"/>
      <c r="W364" s="45"/>
      <c r="X364" s="45"/>
      <c r="Y364" s="45"/>
      <c r="Z364" s="45"/>
      <c r="AA364" s="45"/>
    </row>
    <row r="365" spans="2:27" x14ac:dyDescent="0.45">
      <c r="B365" s="45" t="s">
        <v>171</v>
      </c>
      <c r="C365" s="90"/>
      <c r="D365" s="56"/>
      <c r="E365" s="57"/>
      <c r="F365" s="58" t="e">
        <f>VLOOKUP($C365,'Daily_BU설비데이터 '!$C$20:$T$1000,4,0)</f>
        <v>#N/A</v>
      </c>
      <c r="G365" s="58" t="e">
        <f>VLOOKUP($C365,'Daily_BU설비데이터 '!$C$20:$T$1000,5,0)</f>
        <v>#N/A</v>
      </c>
      <c r="H365" s="58" t="e">
        <f>VLOOKUP($C365,'Daily_BU설비데이터 '!$C$20:$T$1000,6,0)</f>
        <v>#N/A</v>
      </c>
      <c r="I365" s="58" t="e">
        <f>VLOOKUP($C365,'Daily_BU설비데이터 '!$C$20:$T$1000,7,0)</f>
        <v>#N/A</v>
      </c>
      <c r="J365" s="58" t="e">
        <f>VLOOKUP($C365,'Daily_BU설비데이터 '!$C$20:$T$1000,8,0)</f>
        <v>#N/A</v>
      </c>
      <c r="K365" s="58" t="e">
        <f>VLOOKUP($C365,'Daily_BU설비데이터 '!$C$20:$T$1000,9,0)</f>
        <v>#N/A</v>
      </c>
      <c r="L365" s="59" t="e">
        <f t="shared" si="47"/>
        <v>#N/A</v>
      </c>
      <c r="M365" s="68" t="e">
        <f>VLOOKUP($C365,'Daily_BU설비데이터 '!$C$20:$T$1000,11,0)</f>
        <v>#N/A</v>
      </c>
      <c r="N365" s="68" t="e">
        <f>VLOOKUP($C365,'Daily_BU설비데이터 '!$C$20:$T$1000,12,0)</f>
        <v>#N/A</v>
      </c>
      <c r="O365" s="68" t="e">
        <f>VLOOKUP($C365,'Daily_BU설비데이터 '!$C$20:$T$1000,13,0)</f>
        <v>#N/A</v>
      </c>
      <c r="P365" s="68" t="e">
        <f>VLOOKUP($C365,'Daily_BU설비데이터 '!$C$20:$T$1000,14,0)</f>
        <v>#N/A</v>
      </c>
      <c r="Q365" s="99" t="e">
        <f t="shared" si="48"/>
        <v>#N/A</v>
      </c>
      <c r="R365" s="100" t="e">
        <f t="shared" si="49"/>
        <v>#N/A</v>
      </c>
      <c r="S365" s="83" t="e">
        <f>VLOOKUP($C365,'Daily_BU설비데이터 '!$C$20:$T$1000,17,0)</f>
        <v>#N/A</v>
      </c>
      <c r="T365" s="83" t="e">
        <f>VLOOKUP($C365,'Daily_BU설비데이터 '!$C$20:$T$1000,18,0)</f>
        <v>#N/A</v>
      </c>
      <c r="U365" s="101" t="e">
        <f t="shared" si="50"/>
        <v>#N/A</v>
      </c>
      <c r="V365" s="45"/>
      <c r="W365" s="45"/>
      <c r="X365" s="45"/>
      <c r="Y365" s="45"/>
      <c r="Z365" s="45"/>
      <c r="AA365" s="45"/>
    </row>
    <row r="366" spans="2:27" x14ac:dyDescent="0.45">
      <c r="B366" s="45" t="s">
        <v>172</v>
      </c>
      <c r="C366" s="90"/>
      <c r="D366" s="56"/>
      <c r="E366" s="80"/>
      <c r="F366" s="58" t="e">
        <f>VLOOKUP($C366,'Daily_BU설비데이터 '!$C$20:$T$1000,4,0)</f>
        <v>#N/A</v>
      </c>
      <c r="G366" s="58" t="e">
        <f>VLOOKUP($C366,'Daily_BU설비데이터 '!$C$20:$T$1000,5,0)</f>
        <v>#N/A</v>
      </c>
      <c r="H366" s="58" t="e">
        <f>VLOOKUP($C366,'Daily_BU설비데이터 '!$C$20:$T$1000,6,0)</f>
        <v>#N/A</v>
      </c>
      <c r="I366" s="58" t="e">
        <f>VLOOKUP($C366,'Daily_BU설비데이터 '!$C$20:$T$1000,7,0)</f>
        <v>#N/A</v>
      </c>
      <c r="J366" s="58" t="e">
        <f>VLOOKUP($C366,'Daily_BU설비데이터 '!$C$20:$T$1000,8,0)</f>
        <v>#N/A</v>
      </c>
      <c r="K366" s="58" t="e">
        <f>VLOOKUP($C366,'Daily_BU설비데이터 '!$C$20:$T$1000,9,0)</f>
        <v>#N/A</v>
      </c>
      <c r="L366" s="59" t="e">
        <f t="shared" si="47"/>
        <v>#N/A</v>
      </c>
      <c r="M366" s="68" t="e">
        <f>VLOOKUP($C366,'Daily_BU설비데이터 '!$C$20:$T$1000,11,0)</f>
        <v>#N/A</v>
      </c>
      <c r="N366" s="68" t="e">
        <f>VLOOKUP($C366,'Daily_BU설비데이터 '!$C$20:$T$1000,12,0)</f>
        <v>#N/A</v>
      </c>
      <c r="O366" s="68" t="e">
        <f>VLOOKUP($C366,'Daily_BU설비데이터 '!$C$20:$T$1000,13,0)</f>
        <v>#N/A</v>
      </c>
      <c r="P366" s="68" t="e">
        <f>VLOOKUP($C366,'Daily_BU설비데이터 '!$C$20:$T$1000,14,0)</f>
        <v>#N/A</v>
      </c>
      <c r="Q366" s="99" t="e">
        <f t="shared" si="48"/>
        <v>#N/A</v>
      </c>
      <c r="R366" s="100" t="e">
        <f t="shared" si="49"/>
        <v>#N/A</v>
      </c>
      <c r="S366" s="83" t="e">
        <f>VLOOKUP($C366,'Daily_BU설비데이터 '!$C$20:$T$1000,17,0)</f>
        <v>#N/A</v>
      </c>
      <c r="T366" s="83" t="e">
        <f>VLOOKUP($C366,'Daily_BU설비데이터 '!$C$20:$T$1000,18,0)</f>
        <v>#N/A</v>
      </c>
      <c r="U366" s="101" t="e">
        <f t="shared" si="50"/>
        <v>#N/A</v>
      </c>
      <c r="V366" s="45"/>
      <c r="W366" s="45"/>
      <c r="X366" s="45"/>
      <c r="Y366" s="45"/>
      <c r="Z366" s="45"/>
      <c r="AA366" s="45"/>
    </row>
    <row r="367" spans="2:27" x14ac:dyDescent="0.45">
      <c r="B367" s="45" t="s">
        <v>173</v>
      </c>
      <c r="C367" s="90"/>
      <c r="D367" s="56"/>
      <c r="E367" s="84"/>
      <c r="F367" s="58" t="e">
        <f>VLOOKUP($C367,'Daily_BU설비데이터 '!$C$20:$T$1000,4,0)</f>
        <v>#N/A</v>
      </c>
      <c r="G367" s="58" t="e">
        <f>VLOOKUP($C367,'Daily_BU설비데이터 '!$C$20:$T$1000,5,0)</f>
        <v>#N/A</v>
      </c>
      <c r="H367" s="58" t="e">
        <f>VLOOKUP($C367,'Daily_BU설비데이터 '!$C$20:$T$1000,6,0)</f>
        <v>#N/A</v>
      </c>
      <c r="I367" s="58" t="e">
        <f>VLOOKUP($C367,'Daily_BU설비데이터 '!$C$20:$T$1000,7,0)</f>
        <v>#N/A</v>
      </c>
      <c r="J367" s="58" t="e">
        <f>VLOOKUP($C367,'Daily_BU설비데이터 '!$C$20:$T$1000,8,0)</f>
        <v>#N/A</v>
      </c>
      <c r="K367" s="58" t="e">
        <f>VLOOKUP($C367,'Daily_BU설비데이터 '!$C$20:$T$1000,9,0)</f>
        <v>#N/A</v>
      </c>
      <c r="L367" s="59" t="e">
        <f t="shared" si="47"/>
        <v>#N/A</v>
      </c>
      <c r="M367" s="68" t="e">
        <f>VLOOKUP($C367,'Daily_BU설비데이터 '!$C$20:$T$1000,11,0)</f>
        <v>#N/A</v>
      </c>
      <c r="N367" s="68" t="e">
        <f>VLOOKUP($C367,'Daily_BU설비데이터 '!$C$20:$T$1000,12,0)</f>
        <v>#N/A</v>
      </c>
      <c r="O367" s="68" t="e">
        <f>VLOOKUP($C367,'Daily_BU설비데이터 '!$C$20:$T$1000,13,0)</f>
        <v>#N/A</v>
      </c>
      <c r="P367" s="68" t="e">
        <f>VLOOKUP($C367,'Daily_BU설비데이터 '!$C$20:$T$1000,14,0)</f>
        <v>#N/A</v>
      </c>
      <c r="Q367" s="99" t="e">
        <f t="shared" si="48"/>
        <v>#N/A</v>
      </c>
      <c r="R367" s="100" t="e">
        <f t="shared" si="49"/>
        <v>#N/A</v>
      </c>
      <c r="S367" s="83" t="e">
        <f>VLOOKUP($C367,'Daily_BU설비데이터 '!$C$20:$T$1000,17,0)</f>
        <v>#N/A</v>
      </c>
      <c r="T367" s="83" t="e">
        <f>VLOOKUP($C367,'Daily_BU설비데이터 '!$C$20:$T$1000,18,0)</f>
        <v>#N/A</v>
      </c>
      <c r="U367" s="101" t="e">
        <f t="shared" si="50"/>
        <v>#N/A</v>
      </c>
      <c r="V367" s="45"/>
      <c r="W367" s="45"/>
      <c r="X367" s="45"/>
      <c r="Y367" s="45"/>
      <c r="Z367" s="45"/>
      <c r="AA367" s="45"/>
    </row>
    <row r="368" spans="2:27" x14ac:dyDescent="0.45">
      <c r="B368" s="45" t="s">
        <v>174</v>
      </c>
      <c r="C368" s="90"/>
      <c r="D368" s="56"/>
      <c r="E368" s="57"/>
      <c r="F368" s="58" t="e">
        <f>VLOOKUP($C368,'Daily_BU설비데이터 '!$C$20:$T$1000,4,0)</f>
        <v>#N/A</v>
      </c>
      <c r="G368" s="58" t="e">
        <f>VLOOKUP($C368,'Daily_BU설비데이터 '!$C$20:$T$1000,5,0)</f>
        <v>#N/A</v>
      </c>
      <c r="H368" s="58" t="e">
        <f>VLOOKUP($C368,'Daily_BU설비데이터 '!$C$20:$T$1000,6,0)</f>
        <v>#N/A</v>
      </c>
      <c r="I368" s="58" t="e">
        <f>VLOOKUP($C368,'Daily_BU설비데이터 '!$C$20:$T$1000,7,0)</f>
        <v>#N/A</v>
      </c>
      <c r="J368" s="58" t="e">
        <f>VLOOKUP($C368,'Daily_BU설비데이터 '!$C$20:$T$1000,8,0)</f>
        <v>#N/A</v>
      </c>
      <c r="K368" s="58" t="e">
        <f>VLOOKUP($C368,'Daily_BU설비데이터 '!$C$20:$T$1000,9,0)</f>
        <v>#N/A</v>
      </c>
      <c r="L368" s="59" t="e">
        <f t="shared" si="47"/>
        <v>#N/A</v>
      </c>
      <c r="M368" s="68" t="e">
        <f>VLOOKUP($C368,'Daily_BU설비데이터 '!$C$20:$T$1000,11,0)</f>
        <v>#N/A</v>
      </c>
      <c r="N368" s="68" t="e">
        <f>VLOOKUP($C368,'Daily_BU설비데이터 '!$C$20:$T$1000,12,0)</f>
        <v>#N/A</v>
      </c>
      <c r="O368" s="68" t="e">
        <f>VLOOKUP($C368,'Daily_BU설비데이터 '!$C$20:$T$1000,13,0)</f>
        <v>#N/A</v>
      </c>
      <c r="P368" s="68" t="e">
        <f>VLOOKUP($C368,'Daily_BU설비데이터 '!$C$20:$T$1000,14,0)</f>
        <v>#N/A</v>
      </c>
      <c r="Q368" s="99" t="e">
        <f t="shared" si="48"/>
        <v>#N/A</v>
      </c>
      <c r="R368" s="100" t="e">
        <f t="shared" si="49"/>
        <v>#N/A</v>
      </c>
      <c r="S368" s="83" t="e">
        <f>VLOOKUP($C368,'Daily_BU설비데이터 '!$C$20:$T$1000,17,0)</f>
        <v>#N/A</v>
      </c>
      <c r="T368" s="83" t="e">
        <f>VLOOKUP($C368,'Daily_BU설비데이터 '!$C$20:$T$1000,18,0)</f>
        <v>#N/A</v>
      </c>
      <c r="U368" s="101" t="e">
        <f t="shared" si="50"/>
        <v>#N/A</v>
      </c>
      <c r="V368" s="45"/>
      <c r="W368" s="45"/>
      <c r="X368" s="45"/>
      <c r="Y368" s="45"/>
      <c r="Z368" s="45"/>
      <c r="AA368" s="45"/>
    </row>
    <row r="369" spans="2:27" x14ac:dyDescent="0.45">
      <c r="B369" s="45" t="s">
        <v>175</v>
      </c>
      <c r="C369" s="90"/>
      <c r="D369" s="56"/>
      <c r="E369" s="80"/>
      <c r="F369" s="58" t="e">
        <f>VLOOKUP($C369,'Daily_BU설비데이터 '!$C$20:$T$1000,4,0)</f>
        <v>#N/A</v>
      </c>
      <c r="G369" s="58" t="e">
        <f>VLOOKUP($C369,'Daily_BU설비데이터 '!$C$20:$T$1000,5,0)</f>
        <v>#N/A</v>
      </c>
      <c r="H369" s="58" t="e">
        <f>VLOOKUP($C369,'Daily_BU설비데이터 '!$C$20:$T$1000,6,0)</f>
        <v>#N/A</v>
      </c>
      <c r="I369" s="58" t="e">
        <f>VLOOKUP($C369,'Daily_BU설비데이터 '!$C$20:$T$1000,7,0)</f>
        <v>#N/A</v>
      </c>
      <c r="J369" s="58" t="e">
        <f>VLOOKUP($C369,'Daily_BU설비데이터 '!$C$20:$T$1000,8,0)</f>
        <v>#N/A</v>
      </c>
      <c r="K369" s="58" t="e">
        <f>VLOOKUP($C369,'Daily_BU설비데이터 '!$C$20:$T$1000,9,0)</f>
        <v>#N/A</v>
      </c>
      <c r="L369" s="59" t="e">
        <f t="shared" si="47"/>
        <v>#N/A</v>
      </c>
      <c r="M369" s="68" t="e">
        <f>VLOOKUP($C369,'Daily_BU설비데이터 '!$C$20:$T$1000,11,0)</f>
        <v>#N/A</v>
      </c>
      <c r="N369" s="68" t="e">
        <f>VLOOKUP($C369,'Daily_BU설비데이터 '!$C$20:$T$1000,12,0)</f>
        <v>#N/A</v>
      </c>
      <c r="O369" s="68" t="e">
        <f>VLOOKUP($C369,'Daily_BU설비데이터 '!$C$20:$T$1000,13,0)</f>
        <v>#N/A</v>
      </c>
      <c r="P369" s="68" t="e">
        <f>VLOOKUP($C369,'Daily_BU설비데이터 '!$C$20:$T$1000,14,0)</f>
        <v>#N/A</v>
      </c>
      <c r="Q369" s="99" t="e">
        <f t="shared" si="48"/>
        <v>#N/A</v>
      </c>
      <c r="R369" s="100" t="e">
        <f t="shared" si="49"/>
        <v>#N/A</v>
      </c>
      <c r="S369" s="83" t="e">
        <f>VLOOKUP($C369,'Daily_BU설비데이터 '!$C$20:$T$1000,17,0)</f>
        <v>#N/A</v>
      </c>
      <c r="T369" s="83" t="e">
        <f>VLOOKUP($C369,'Daily_BU설비데이터 '!$C$20:$T$1000,18,0)</f>
        <v>#N/A</v>
      </c>
      <c r="U369" s="101" t="e">
        <f t="shared" si="50"/>
        <v>#N/A</v>
      </c>
      <c r="V369" s="45"/>
      <c r="W369" s="45"/>
      <c r="X369" s="45"/>
      <c r="Y369" s="45"/>
      <c r="Z369" s="45"/>
      <c r="AA369" s="45"/>
    </row>
    <row r="370" spans="2:27" x14ac:dyDescent="0.45">
      <c r="B370" s="45" t="s">
        <v>176</v>
      </c>
      <c r="C370" s="90"/>
      <c r="D370" s="56"/>
      <c r="E370" s="84"/>
      <c r="F370" s="58" t="e">
        <f>VLOOKUP($C370,'Daily_BU설비데이터 '!$C$20:$T$1000,4,0)</f>
        <v>#N/A</v>
      </c>
      <c r="G370" s="58" t="e">
        <f>VLOOKUP($C370,'Daily_BU설비데이터 '!$C$20:$T$1000,5,0)</f>
        <v>#N/A</v>
      </c>
      <c r="H370" s="58" t="e">
        <f>VLOOKUP($C370,'Daily_BU설비데이터 '!$C$20:$T$1000,6,0)</f>
        <v>#N/A</v>
      </c>
      <c r="I370" s="58" t="e">
        <f>VLOOKUP($C370,'Daily_BU설비데이터 '!$C$20:$T$1000,7,0)</f>
        <v>#N/A</v>
      </c>
      <c r="J370" s="58" t="e">
        <f>VLOOKUP($C370,'Daily_BU설비데이터 '!$C$20:$T$1000,8,0)</f>
        <v>#N/A</v>
      </c>
      <c r="K370" s="58" t="e">
        <f>VLOOKUP($C370,'Daily_BU설비데이터 '!$C$20:$T$1000,9,0)</f>
        <v>#N/A</v>
      </c>
      <c r="L370" s="59" t="e">
        <f t="shared" si="47"/>
        <v>#N/A</v>
      </c>
      <c r="M370" s="68" t="e">
        <f>VLOOKUP($C370,'Daily_BU설비데이터 '!$C$20:$T$1000,11,0)</f>
        <v>#N/A</v>
      </c>
      <c r="N370" s="68" t="e">
        <f>VLOOKUP($C370,'Daily_BU설비데이터 '!$C$20:$T$1000,12,0)</f>
        <v>#N/A</v>
      </c>
      <c r="O370" s="68" t="e">
        <f>VLOOKUP($C370,'Daily_BU설비데이터 '!$C$20:$T$1000,13,0)</f>
        <v>#N/A</v>
      </c>
      <c r="P370" s="68" t="e">
        <f>VLOOKUP($C370,'Daily_BU설비데이터 '!$C$20:$T$1000,14,0)</f>
        <v>#N/A</v>
      </c>
      <c r="Q370" s="99" t="e">
        <f t="shared" si="48"/>
        <v>#N/A</v>
      </c>
      <c r="R370" s="100" t="e">
        <f t="shared" si="49"/>
        <v>#N/A</v>
      </c>
      <c r="S370" s="83" t="e">
        <f>VLOOKUP($C370,'Daily_BU설비데이터 '!$C$20:$T$1000,17,0)</f>
        <v>#N/A</v>
      </c>
      <c r="T370" s="83" t="e">
        <f>VLOOKUP($C370,'Daily_BU설비데이터 '!$C$20:$T$1000,18,0)</f>
        <v>#N/A</v>
      </c>
      <c r="U370" s="101" t="e">
        <f t="shared" si="50"/>
        <v>#N/A</v>
      </c>
      <c r="V370" s="45"/>
      <c r="W370" s="45"/>
      <c r="X370" s="45"/>
      <c r="Y370" s="45"/>
      <c r="Z370" s="45"/>
      <c r="AA370" s="45"/>
    </row>
    <row r="371" spans="2:27" x14ac:dyDescent="0.45">
      <c r="B371" s="45" t="s">
        <v>177</v>
      </c>
      <c r="C371" s="90"/>
      <c r="D371" s="56"/>
      <c r="E371" s="57"/>
      <c r="F371" s="58" t="e">
        <f>VLOOKUP($C371,'Daily_BU설비데이터 '!$C$20:$T$1000,4,0)</f>
        <v>#N/A</v>
      </c>
      <c r="G371" s="58" t="e">
        <f>VLOOKUP($C371,'Daily_BU설비데이터 '!$C$20:$T$1000,5,0)</f>
        <v>#N/A</v>
      </c>
      <c r="H371" s="58" t="e">
        <f>VLOOKUP($C371,'Daily_BU설비데이터 '!$C$20:$T$1000,6,0)</f>
        <v>#N/A</v>
      </c>
      <c r="I371" s="58" t="e">
        <f>VLOOKUP($C371,'Daily_BU설비데이터 '!$C$20:$T$1000,7,0)</f>
        <v>#N/A</v>
      </c>
      <c r="J371" s="58" t="e">
        <f>VLOOKUP($C371,'Daily_BU설비데이터 '!$C$20:$T$1000,8,0)</f>
        <v>#N/A</v>
      </c>
      <c r="K371" s="58" t="e">
        <f>VLOOKUP($C371,'Daily_BU설비데이터 '!$C$20:$T$1000,9,0)</f>
        <v>#N/A</v>
      </c>
      <c r="L371" s="59" t="e">
        <f t="shared" si="47"/>
        <v>#N/A</v>
      </c>
      <c r="M371" s="68" t="e">
        <f>VLOOKUP($C371,'Daily_BU설비데이터 '!$C$20:$T$1000,11,0)</f>
        <v>#N/A</v>
      </c>
      <c r="N371" s="68" t="e">
        <f>VLOOKUP($C371,'Daily_BU설비데이터 '!$C$20:$T$1000,12,0)</f>
        <v>#N/A</v>
      </c>
      <c r="O371" s="68" t="e">
        <f>VLOOKUP($C371,'Daily_BU설비데이터 '!$C$20:$T$1000,13,0)</f>
        <v>#N/A</v>
      </c>
      <c r="P371" s="68" t="e">
        <f>VLOOKUP($C371,'Daily_BU설비데이터 '!$C$20:$T$1000,14,0)</f>
        <v>#N/A</v>
      </c>
      <c r="Q371" s="99" t="e">
        <f t="shared" si="48"/>
        <v>#N/A</v>
      </c>
      <c r="R371" s="100" t="e">
        <f t="shared" si="49"/>
        <v>#N/A</v>
      </c>
      <c r="S371" s="83" t="e">
        <f>VLOOKUP($C371,'Daily_BU설비데이터 '!$C$20:$T$1000,17,0)</f>
        <v>#N/A</v>
      </c>
      <c r="T371" s="83" t="e">
        <f>VLOOKUP($C371,'Daily_BU설비데이터 '!$C$20:$T$1000,18,0)</f>
        <v>#N/A</v>
      </c>
      <c r="U371" s="101" t="e">
        <f t="shared" si="50"/>
        <v>#N/A</v>
      </c>
      <c r="V371" s="45"/>
      <c r="W371" s="45"/>
      <c r="X371" s="45"/>
      <c r="Y371" s="45"/>
      <c r="Z371" s="45"/>
      <c r="AA371" s="45"/>
    </row>
    <row r="372" spans="2:27" x14ac:dyDescent="0.45">
      <c r="B372" s="45" t="s">
        <v>178</v>
      </c>
      <c r="C372" s="90"/>
      <c r="D372" s="56"/>
      <c r="E372" s="80"/>
      <c r="F372" s="58" t="e">
        <f>VLOOKUP($C372,'Daily_BU설비데이터 '!$C$20:$T$1000,4,0)</f>
        <v>#N/A</v>
      </c>
      <c r="G372" s="58" t="e">
        <f>VLOOKUP($C372,'Daily_BU설비데이터 '!$C$20:$T$1000,5,0)</f>
        <v>#N/A</v>
      </c>
      <c r="H372" s="58" t="e">
        <f>VLOOKUP($C372,'Daily_BU설비데이터 '!$C$20:$T$1000,6,0)</f>
        <v>#N/A</v>
      </c>
      <c r="I372" s="58" t="e">
        <f>VLOOKUP($C372,'Daily_BU설비데이터 '!$C$20:$T$1000,7,0)</f>
        <v>#N/A</v>
      </c>
      <c r="J372" s="58" t="e">
        <f>VLOOKUP($C372,'Daily_BU설비데이터 '!$C$20:$T$1000,8,0)</f>
        <v>#N/A</v>
      </c>
      <c r="K372" s="58" t="e">
        <f>VLOOKUP($C372,'Daily_BU설비데이터 '!$C$20:$T$1000,9,0)</f>
        <v>#N/A</v>
      </c>
      <c r="L372" s="59" t="e">
        <f t="shared" si="47"/>
        <v>#N/A</v>
      </c>
      <c r="M372" s="68" t="e">
        <f>VLOOKUP($C372,'Daily_BU설비데이터 '!$C$20:$T$1000,11,0)</f>
        <v>#N/A</v>
      </c>
      <c r="N372" s="68" t="e">
        <f>VLOOKUP($C372,'Daily_BU설비데이터 '!$C$20:$T$1000,12,0)</f>
        <v>#N/A</v>
      </c>
      <c r="O372" s="68" t="e">
        <f>VLOOKUP($C372,'Daily_BU설비데이터 '!$C$20:$T$1000,13,0)</f>
        <v>#N/A</v>
      </c>
      <c r="P372" s="68" t="e">
        <f>VLOOKUP($C372,'Daily_BU설비데이터 '!$C$20:$T$1000,14,0)</f>
        <v>#N/A</v>
      </c>
      <c r="Q372" s="99" t="e">
        <f t="shared" si="48"/>
        <v>#N/A</v>
      </c>
      <c r="R372" s="100" t="e">
        <f t="shared" si="49"/>
        <v>#N/A</v>
      </c>
      <c r="S372" s="83" t="e">
        <f>VLOOKUP($C372,'Daily_BU설비데이터 '!$C$20:$T$1000,17,0)</f>
        <v>#N/A</v>
      </c>
      <c r="T372" s="83" t="e">
        <f>VLOOKUP($C372,'Daily_BU설비데이터 '!$C$20:$T$1000,18,0)</f>
        <v>#N/A</v>
      </c>
      <c r="U372" s="101" t="e">
        <f t="shared" si="50"/>
        <v>#N/A</v>
      </c>
      <c r="V372" s="45"/>
      <c r="W372" s="45"/>
      <c r="X372" s="45"/>
      <c r="Y372" s="45"/>
      <c r="Z372" s="45"/>
      <c r="AA372" s="45"/>
    </row>
    <row r="373" spans="2:27" x14ac:dyDescent="0.45">
      <c r="B373" s="45" t="s">
        <v>179</v>
      </c>
      <c r="C373" s="90"/>
      <c r="D373" s="56"/>
      <c r="E373" s="84"/>
      <c r="F373" s="58" t="e">
        <f>VLOOKUP($C373,'Daily_BU설비데이터 '!$C$20:$T$1000,4,0)</f>
        <v>#N/A</v>
      </c>
      <c r="G373" s="58" t="e">
        <f>VLOOKUP($C373,'Daily_BU설비데이터 '!$C$20:$T$1000,5,0)</f>
        <v>#N/A</v>
      </c>
      <c r="H373" s="58" t="e">
        <f>VLOOKUP($C373,'Daily_BU설비데이터 '!$C$20:$T$1000,6,0)</f>
        <v>#N/A</v>
      </c>
      <c r="I373" s="58" t="e">
        <f>VLOOKUP($C373,'Daily_BU설비데이터 '!$C$20:$T$1000,7,0)</f>
        <v>#N/A</v>
      </c>
      <c r="J373" s="58" t="e">
        <f>VLOOKUP($C373,'Daily_BU설비데이터 '!$C$20:$T$1000,8,0)</f>
        <v>#N/A</v>
      </c>
      <c r="K373" s="58" t="e">
        <f>VLOOKUP($C373,'Daily_BU설비데이터 '!$C$20:$T$1000,9,0)</f>
        <v>#N/A</v>
      </c>
      <c r="L373" s="59" t="e">
        <f t="shared" si="47"/>
        <v>#N/A</v>
      </c>
      <c r="M373" s="68" t="e">
        <f>VLOOKUP($C373,'Daily_BU설비데이터 '!$C$20:$T$1000,11,0)</f>
        <v>#N/A</v>
      </c>
      <c r="N373" s="68" t="e">
        <f>VLOOKUP($C373,'Daily_BU설비데이터 '!$C$20:$T$1000,12,0)</f>
        <v>#N/A</v>
      </c>
      <c r="O373" s="68" t="e">
        <f>VLOOKUP($C373,'Daily_BU설비데이터 '!$C$20:$T$1000,13,0)</f>
        <v>#N/A</v>
      </c>
      <c r="P373" s="68" t="e">
        <f>VLOOKUP($C373,'Daily_BU설비데이터 '!$C$20:$T$1000,14,0)</f>
        <v>#N/A</v>
      </c>
      <c r="Q373" s="99" t="e">
        <f t="shared" si="48"/>
        <v>#N/A</v>
      </c>
      <c r="R373" s="100" t="e">
        <f t="shared" si="49"/>
        <v>#N/A</v>
      </c>
      <c r="S373" s="83" t="e">
        <f>VLOOKUP($C373,'Daily_BU설비데이터 '!$C$20:$T$1000,17,0)</f>
        <v>#N/A</v>
      </c>
      <c r="T373" s="83" t="e">
        <f>VLOOKUP($C373,'Daily_BU설비데이터 '!$C$20:$T$1000,18,0)</f>
        <v>#N/A</v>
      </c>
      <c r="U373" s="101" t="e">
        <f t="shared" si="50"/>
        <v>#N/A</v>
      </c>
      <c r="V373" s="45"/>
      <c r="W373" s="45"/>
      <c r="X373" s="45"/>
      <c r="Y373" s="45"/>
      <c r="Z373" s="45"/>
      <c r="AA373" s="45"/>
    </row>
    <row r="374" spans="2:27" x14ac:dyDescent="0.45">
      <c r="B374" s="45" t="s">
        <v>180</v>
      </c>
      <c r="C374" s="90"/>
      <c r="D374" s="56"/>
      <c r="E374" s="57"/>
      <c r="F374" s="58" t="e">
        <f>VLOOKUP($C374,'Daily_BU설비데이터 '!$C$20:$T$1000,4,0)</f>
        <v>#N/A</v>
      </c>
      <c r="G374" s="58" t="e">
        <f>VLOOKUP($C374,'Daily_BU설비데이터 '!$C$20:$T$1000,5,0)</f>
        <v>#N/A</v>
      </c>
      <c r="H374" s="58" t="e">
        <f>VLOOKUP($C374,'Daily_BU설비데이터 '!$C$20:$T$1000,6,0)</f>
        <v>#N/A</v>
      </c>
      <c r="I374" s="58" t="e">
        <f>VLOOKUP($C374,'Daily_BU설비데이터 '!$C$20:$T$1000,7,0)</f>
        <v>#N/A</v>
      </c>
      <c r="J374" s="58" t="e">
        <f>VLOOKUP($C374,'Daily_BU설비데이터 '!$C$20:$T$1000,8,0)</f>
        <v>#N/A</v>
      </c>
      <c r="K374" s="58" t="e">
        <f>VLOOKUP($C374,'Daily_BU설비데이터 '!$C$20:$T$1000,9,0)</f>
        <v>#N/A</v>
      </c>
      <c r="L374" s="59" t="e">
        <f t="shared" si="47"/>
        <v>#N/A</v>
      </c>
      <c r="M374" s="68" t="e">
        <f>VLOOKUP($C374,'Daily_BU설비데이터 '!$C$20:$T$1000,11,0)</f>
        <v>#N/A</v>
      </c>
      <c r="N374" s="68" t="e">
        <f>VLOOKUP($C374,'Daily_BU설비데이터 '!$C$20:$T$1000,12,0)</f>
        <v>#N/A</v>
      </c>
      <c r="O374" s="68" t="e">
        <f>VLOOKUP($C374,'Daily_BU설비데이터 '!$C$20:$T$1000,13,0)</f>
        <v>#N/A</v>
      </c>
      <c r="P374" s="68" t="e">
        <f>VLOOKUP($C374,'Daily_BU설비데이터 '!$C$20:$T$1000,14,0)</f>
        <v>#N/A</v>
      </c>
      <c r="Q374" s="99" t="e">
        <f t="shared" si="48"/>
        <v>#N/A</v>
      </c>
      <c r="R374" s="100" t="e">
        <f t="shared" si="49"/>
        <v>#N/A</v>
      </c>
      <c r="S374" s="83" t="e">
        <f>VLOOKUP($C374,'Daily_BU설비데이터 '!$C$20:$T$1000,17,0)</f>
        <v>#N/A</v>
      </c>
      <c r="T374" s="83" t="e">
        <f>VLOOKUP($C374,'Daily_BU설비데이터 '!$C$20:$T$1000,18,0)</f>
        <v>#N/A</v>
      </c>
      <c r="U374" s="101" t="e">
        <f t="shared" si="50"/>
        <v>#N/A</v>
      </c>
      <c r="V374" s="45"/>
      <c r="W374" s="45"/>
      <c r="X374" s="45"/>
      <c r="Y374" s="45"/>
      <c r="Z374" s="45"/>
      <c r="AA374" s="45"/>
    </row>
    <row r="375" spans="2:27" x14ac:dyDescent="0.45">
      <c r="B375" s="45" t="s">
        <v>181</v>
      </c>
      <c r="C375" s="90"/>
      <c r="D375" s="56"/>
      <c r="E375" s="80"/>
      <c r="F375" s="58" t="e">
        <f>VLOOKUP($C375,'Daily_BU설비데이터 '!$C$20:$T$1000,4,0)</f>
        <v>#N/A</v>
      </c>
      <c r="G375" s="58" t="e">
        <f>VLOOKUP($C375,'Daily_BU설비데이터 '!$C$20:$T$1000,5,0)</f>
        <v>#N/A</v>
      </c>
      <c r="H375" s="58" t="e">
        <f>VLOOKUP($C375,'Daily_BU설비데이터 '!$C$20:$T$1000,6,0)</f>
        <v>#N/A</v>
      </c>
      <c r="I375" s="58" t="e">
        <f>VLOOKUP($C375,'Daily_BU설비데이터 '!$C$20:$T$1000,7,0)</f>
        <v>#N/A</v>
      </c>
      <c r="J375" s="58" t="e">
        <f>VLOOKUP($C375,'Daily_BU설비데이터 '!$C$20:$T$1000,8,0)</f>
        <v>#N/A</v>
      </c>
      <c r="K375" s="58" t="e">
        <f>VLOOKUP($C375,'Daily_BU설비데이터 '!$C$20:$T$1000,9,0)</f>
        <v>#N/A</v>
      </c>
      <c r="L375" s="59" t="e">
        <f t="shared" si="47"/>
        <v>#N/A</v>
      </c>
      <c r="M375" s="68" t="e">
        <f>VLOOKUP($C375,'Daily_BU설비데이터 '!$C$20:$T$1000,11,0)</f>
        <v>#N/A</v>
      </c>
      <c r="N375" s="68" t="e">
        <f>VLOOKUP($C375,'Daily_BU설비데이터 '!$C$20:$T$1000,12,0)</f>
        <v>#N/A</v>
      </c>
      <c r="O375" s="68" t="e">
        <f>VLOOKUP($C375,'Daily_BU설비데이터 '!$C$20:$T$1000,13,0)</f>
        <v>#N/A</v>
      </c>
      <c r="P375" s="68" t="e">
        <f>VLOOKUP($C375,'Daily_BU설비데이터 '!$C$20:$T$1000,14,0)</f>
        <v>#N/A</v>
      </c>
      <c r="Q375" s="99" t="e">
        <f t="shared" si="48"/>
        <v>#N/A</v>
      </c>
      <c r="R375" s="100" t="e">
        <f t="shared" si="49"/>
        <v>#N/A</v>
      </c>
      <c r="S375" s="83" t="e">
        <f>VLOOKUP($C375,'Daily_BU설비데이터 '!$C$20:$T$1000,17,0)</f>
        <v>#N/A</v>
      </c>
      <c r="T375" s="83" t="e">
        <f>VLOOKUP($C375,'Daily_BU설비데이터 '!$C$20:$T$1000,18,0)</f>
        <v>#N/A</v>
      </c>
      <c r="U375" s="101" t="e">
        <f t="shared" si="50"/>
        <v>#N/A</v>
      </c>
      <c r="V375" s="45"/>
      <c r="W375" s="45"/>
      <c r="X375" s="45"/>
      <c r="Y375" s="45"/>
      <c r="Z375" s="45"/>
      <c r="AA375" s="45"/>
    </row>
    <row r="376" spans="2:27" x14ac:dyDescent="0.45">
      <c r="B376" s="45" t="s">
        <v>182</v>
      </c>
      <c r="C376" s="90"/>
      <c r="D376" s="56"/>
      <c r="E376" s="84"/>
      <c r="F376" s="58" t="e">
        <f>VLOOKUP($C376,'Daily_BU설비데이터 '!$C$20:$T$1000,4,0)</f>
        <v>#N/A</v>
      </c>
      <c r="G376" s="58" t="e">
        <f>VLOOKUP($C376,'Daily_BU설비데이터 '!$C$20:$T$1000,5,0)</f>
        <v>#N/A</v>
      </c>
      <c r="H376" s="58" t="e">
        <f>VLOOKUP($C376,'Daily_BU설비데이터 '!$C$20:$T$1000,6,0)</f>
        <v>#N/A</v>
      </c>
      <c r="I376" s="58" t="e">
        <f>VLOOKUP($C376,'Daily_BU설비데이터 '!$C$20:$T$1000,7,0)</f>
        <v>#N/A</v>
      </c>
      <c r="J376" s="58" t="e">
        <f>VLOOKUP($C376,'Daily_BU설비데이터 '!$C$20:$T$1000,8,0)</f>
        <v>#N/A</v>
      </c>
      <c r="K376" s="58" t="e">
        <f>VLOOKUP($C376,'Daily_BU설비데이터 '!$C$20:$T$1000,9,0)</f>
        <v>#N/A</v>
      </c>
      <c r="L376" s="59" t="e">
        <f t="shared" si="47"/>
        <v>#N/A</v>
      </c>
      <c r="M376" s="68" t="e">
        <f>VLOOKUP($C376,'Daily_BU설비데이터 '!$C$20:$T$1000,11,0)</f>
        <v>#N/A</v>
      </c>
      <c r="N376" s="68" t="e">
        <f>VLOOKUP($C376,'Daily_BU설비데이터 '!$C$20:$T$1000,12,0)</f>
        <v>#N/A</v>
      </c>
      <c r="O376" s="68" t="e">
        <f>VLOOKUP($C376,'Daily_BU설비데이터 '!$C$20:$T$1000,13,0)</f>
        <v>#N/A</v>
      </c>
      <c r="P376" s="68" t="e">
        <f>VLOOKUP($C376,'Daily_BU설비데이터 '!$C$20:$T$1000,14,0)</f>
        <v>#N/A</v>
      </c>
      <c r="Q376" s="99" t="e">
        <f t="shared" si="48"/>
        <v>#N/A</v>
      </c>
      <c r="R376" s="100" t="e">
        <f t="shared" si="49"/>
        <v>#N/A</v>
      </c>
      <c r="S376" s="83" t="e">
        <f>VLOOKUP($C376,'Daily_BU설비데이터 '!$C$20:$T$1000,17,0)</f>
        <v>#N/A</v>
      </c>
      <c r="T376" s="83" t="e">
        <f>VLOOKUP($C376,'Daily_BU설비데이터 '!$C$20:$T$1000,18,0)</f>
        <v>#N/A</v>
      </c>
      <c r="U376" s="101" t="e">
        <f t="shared" si="50"/>
        <v>#N/A</v>
      </c>
      <c r="V376" s="45"/>
      <c r="W376" s="45"/>
      <c r="X376" s="45"/>
      <c r="Y376" s="45"/>
      <c r="Z376" s="45"/>
      <c r="AA376" s="45"/>
    </row>
    <row r="377" spans="2:27" x14ac:dyDescent="0.45">
      <c r="B377" s="45" t="s">
        <v>183</v>
      </c>
      <c r="C377" s="90"/>
      <c r="D377" s="56"/>
      <c r="E377" s="57"/>
      <c r="F377" s="58" t="e">
        <f>VLOOKUP($C377,'Daily_BU설비데이터 '!$C$20:$T$1000,4,0)</f>
        <v>#N/A</v>
      </c>
      <c r="G377" s="58" t="e">
        <f>VLOOKUP($C377,'Daily_BU설비데이터 '!$C$20:$T$1000,5,0)</f>
        <v>#N/A</v>
      </c>
      <c r="H377" s="58" t="e">
        <f>VLOOKUP($C377,'Daily_BU설비데이터 '!$C$20:$T$1000,6,0)</f>
        <v>#N/A</v>
      </c>
      <c r="I377" s="58" t="e">
        <f>VLOOKUP($C377,'Daily_BU설비데이터 '!$C$20:$T$1000,7,0)</f>
        <v>#N/A</v>
      </c>
      <c r="J377" s="58" t="e">
        <f>VLOOKUP($C377,'Daily_BU설비데이터 '!$C$20:$T$1000,8,0)</f>
        <v>#N/A</v>
      </c>
      <c r="K377" s="58" t="e">
        <f>VLOOKUP($C377,'Daily_BU설비데이터 '!$C$20:$T$1000,9,0)</f>
        <v>#N/A</v>
      </c>
      <c r="L377" s="59" t="e">
        <f t="shared" si="47"/>
        <v>#N/A</v>
      </c>
      <c r="M377" s="68" t="e">
        <f>VLOOKUP($C377,'Daily_BU설비데이터 '!$C$20:$T$1000,11,0)</f>
        <v>#N/A</v>
      </c>
      <c r="N377" s="68" t="e">
        <f>VLOOKUP($C377,'Daily_BU설비데이터 '!$C$20:$T$1000,12,0)</f>
        <v>#N/A</v>
      </c>
      <c r="O377" s="68" t="e">
        <f>VLOOKUP($C377,'Daily_BU설비데이터 '!$C$20:$T$1000,13,0)</f>
        <v>#N/A</v>
      </c>
      <c r="P377" s="68" t="e">
        <f>VLOOKUP($C377,'Daily_BU설비데이터 '!$C$20:$T$1000,14,0)</f>
        <v>#N/A</v>
      </c>
      <c r="Q377" s="99" t="e">
        <f t="shared" si="48"/>
        <v>#N/A</v>
      </c>
      <c r="R377" s="100" t="e">
        <f t="shared" si="49"/>
        <v>#N/A</v>
      </c>
      <c r="S377" s="83" t="e">
        <f>VLOOKUP($C377,'Daily_BU설비데이터 '!$C$20:$T$1000,17,0)</f>
        <v>#N/A</v>
      </c>
      <c r="T377" s="83" t="e">
        <f>VLOOKUP($C377,'Daily_BU설비데이터 '!$C$20:$T$1000,18,0)</f>
        <v>#N/A</v>
      </c>
      <c r="U377" s="101" t="e">
        <f t="shared" si="50"/>
        <v>#N/A</v>
      </c>
      <c r="V377" s="45"/>
      <c r="W377" s="45"/>
      <c r="X377" s="45"/>
      <c r="Y377" s="45"/>
      <c r="Z377" s="45"/>
      <c r="AA377" s="45"/>
    </row>
    <row r="378" spans="2:27" x14ac:dyDescent="0.45">
      <c r="B378" s="45" t="s">
        <v>184</v>
      </c>
      <c r="C378" s="90"/>
      <c r="D378" s="56"/>
      <c r="E378" s="80"/>
      <c r="F378" s="58" t="e">
        <f>VLOOKUP($C378,'Daily_BU설비데이터 '!$C$20:$T$1000,4,0)</f>
        <v>#N/A</v>
      </c>
      <c r="G378" s="58" t="e">
        <f>VLOOKUP($C378,'Daily_BU설비데이터 '!$C$20:$T$1000,5,0)</f>
        <v>#N/A</v>
      </c>
      <c r="H378" s="58" t="e">
        <f>VLOOKUP($C378,'Daily_BU설비데이터 '!$C$20:$T$1000,6,0)</f>
        <v>#N/A</v>
      </c>
      <c r="I378" s="58" t="e">
        <f>VLOOKUP($C378,'Daily_BU설비데이터 '!$C$20:$T$1000,7,0)</f>
        <v>#N/A</v>
      </c>
      <c r="J378" s="58" t="e">
        <f>VLOOKUP($C378,'Daily_BU설비데이터 '!$C$20:$T$1000,8,0)</f>
        <v>#N/A</v>
      </c>
      <c r="K378" s="58" t="e">
        <f>VLOOKUP($C378,'Daily_BU설비데이터 '!$C$20:$T$1000,9,0)</f>
        <v>#N/A</v>
      </c>
      <c r="L378" s="59" t="e">
        <f t="shared" si="47"/>
        <v>#N/A</v>
      </c>
      <c r="M378" s="68" t="e">
        <f>VLOOKUP($C378,'Daily_BU설비데이터 '!$C$20:$T$1000,11,0)</f>
        <v>#N/A</v>
      </c>
      <c r="N378" s="68" t="e">
        <f>VLOOKUP($C378,'Daily_BU설비데이터 '!$C$20:$T$1000,12,0)</f>
        <v>#N/A</v>
      </c>
      <c r="O378" s="68" t="e">
        <f>VLOOKUP($C378,'Daily_BU설비데이터 '!$C$20:$T$1000,13,0)</f>
        <v>#N/A</v>
      </c>
      <c r="P378" s="68" t="e">
        <f>VLOOKUP($C378,'Daily_BU설비데이터 '!$C$20:$T$1000,14,0)</f>
        <v>#N/A</v>
      </c>
      <c r="Q378" s="99" t="e">
        <f t="shared" si="48"/>
        <v>#N/A</v>
      </c>
      <c r="R378" s="100" t="e">
        <f t="shared" si="49"/>
        <v>#N/A</v>
      </c>
      <c r="S378" s="83" t="e">
        <f>VLOOKUP($C378,'Daily_BU설비데이터 '!$C$20:$T$1000,17,0)</f>
        <v>#N/A</v>
      </c>
      <c r="T378" s="83" t="e">
        <f>VLOOKUP($C378,'Daily_BU설비데이터 '!$C$20:$T$1000,18,0)</f>
        <v>#N/A</v>
      </c>
      <c r="U378" s="101" t="e">
        <f t="shared" si="50"/>
        <v>#N/A</v>
      </c>
      <c r="V378" s="45"/>
      <c r="W378" s="45"/>
      <c r="X378" s="45"/>
      <c r="Y378" s="45"/>
      <c r="Z378" s="45"/>
      <c r="AA378" s="45"/>
    </row>
    <row r="379" spans="2:27" x14ac:dyDescent="0.45">
      <c r="B379" s="45" t="s">
        <v>185</v>
      </c>
      <c r="C379" s="90"/>
      <c r="D379" s="56"/>
      <c r="E379" s="84"/>
      <c r="F379" s="58" t="e">
        <f>VLOOKUP($C379,'Daily_BU설비데이터 '!$C$20:$T$1000,4,0)</f>
        <v>#N/A</v>
      </c>
      <c r="G379" s="58" t="e">
        <f>VLOOKUP($C379,'Daily_BU설비데이터 '!$C$20:$T$1000,5,0)</f>
        <v>#N/A</v>
      </c>
      <c r="H379" s="58" t="e">
        <f>VLOOKUP($C379,'Daily_BU설비데이터 '!$C$20:$T$1000,6,0)</f>
        <v>#N/A</v>
      </c>
      <c r="I379" s="58" t="e">
        <f>VLOOKUP($C379,'Daily_BU설비데이터 '!$C$20:$T$1000,7,0)</f>
        <v>#N/A</v>
      </c>
      <c r="J379" s="58" t="e">
        <f>VLOOKUP($C379,'Daily_BU설비데이터 '!$C$20:$T$1000,8,0)</f>
        <v>#N/A</v>
      </c>
      <c r="K379" s="58" t="e">
        <f>VLOOKUP($C379,'Daily_BU설비데이터 '!$C$20:$T$1000,9,0)</f>
        <v>#N/A</v>
      </c>
      <c r="L379" s="59" t="e">
        <f t="shared" si="47"/>
        <v>#N/A</v>
      </c>
      <c r="M379" s="68" t="e">
        <f>VLOOKUP($C379,'Daily_BU설비데이터 '!$C$20:$T$1000,11,0)</f>
        <v>#N/A</v>
      </c>
      <c r="N379" s="68" t="e">
        <f>VLOOKUP($C379,'Daily_BU설비데이터 '!$C$20:$T$1000,12,0)</f>
        <v>#N/A</v>
      </c>
      <c r="O379" s="68" t="e">
        <f>VLOOKUP($C379,'Daily_BU설비데이터 '!$C$20:$T$1000,13,0)</f>
        <v>#N/A</v>
      </c>
      <c r="P379" s="68" t="e">
        <f>VLOOKUP($C379,'Daily_BU설비데이터 '!$C$20:$T$1000,14,0)</f>
        <v>#N/A</v>
      </c>
      <c r="Q379" s="99" t="e">
        <f t="shared" si="48"/>
        <v>#N/A</v>
      </c>
      <c r="R379" s="100" t="e">
        <f t="shared" si="49"/>
        <v>#N/A</v>
      </c>
      <c r="S379" s="83" t="e">
        <f>VLOOKUP($C379,'Daily_BU설비데이터 '!$C$20:$T$1000,17,0)</f>
        <v>#N/A</v>
      </c>
      <c r="T379" s="83" t="e">
        <f>VLOOKUP($C379,'Daily_BU설비데이터 '!$C$20:$T$1000,18,0)</f>
        <v>#N/A</v>
      </c>
      <c r="U379" s="101" t="e">
        <f t="shared" si="50"/>
        <v>#N/A</v>
      </c>
      <c r="V379" s="45"/>
      <c r="W379" s="45"/>
      <c r="X379" s="45"/>
      <c r="Y379" s="45"/>
      <c r="Z379" s="45"/>
      <c r="AA379" s="45"/>
    </row>
    <row r="380" spans="2:27" x14ac:dyDescent="0.45">
      <c r="B380" s="45" t="s">
        <v>186</v>
      </c>
      <c r="C380" s="90"/>
      <c r="D380" s="56"/>
      <c r="E380" s="57"/>
      <c r="F380" s="58" t="e">
        <f>VLOOKUP($C380,'Daily_BU설비데이터 '!$C$20:$T$1000,4,0)</f>
        <v>#N/A</v>
      </c>
      <c r="G380" s="58" t="e">
        <f>VLOOKUP($C380,'Daily_BU설비데이터 '!$C$20:$T$1000,5,0)</f>
        <v>#N/A</v>
      </c>
      <c r="H380" s="58" t="e">
        <f>VLOOKUP($C380,'Daily_BU설비데이터 '!$C$20:$T$1000,6,0)</f>
        <v>#N/A</v>
      </c>
      <c r="I380" s="58" t="e">
        <f>VLOOKUP($C380,'Daily_BU설비데이터 '!$C$20:$T$1000,7,0)</f>
        <v>#N/A</v>
      </c>
      <c r="J380" s="58" t="e">
        <f>VLOOKUP($C380,'Daily_BU설비데이터 '!$C$20:$T$1000,8,0)</f>
        <v>#N/A</v>
      </c>
      <c r="K380" s="58" t="e">
        <f>VLOOKUP($C380,'Daily_BU설비데이터 '!$C$20:$T$1000,9,0)</f>
        <v>#N/A</v>
      </c>
      <c r="L380" s="59" t="e">
        <f t="shared" si="47"/>
        <v>#N/A</v>
      </c>
      <c r="M380" s="68" t="e">
        <f>VLOOKUP($C380,'Daily_BU설비데이터 '!$C$20:$T$1000,11,0)</f>
        <v>#N/A</v>
      </c>
      <c r="N380" s="68" t="e">
        <f>VLOOKUP($C380,'Daily_BU설비데이터 '!$C$20:$T$1000,12,0)</f>
        <v>#N/A</v>
      </c>
      <c r="O380" s="68" t="e">
        <f>VLOOKUP($C380,'Daily_BU설비데이터 '!$C$20:$T$1000,13,0)</f>
        <v>#N/A</v>
      </c>
      <c r="P380" s="68" t="e">
        <f>VLOOKUP($C380,'Daily_BU설비데이터 '!$C$20:$T$1000,14,0)</f>
        <v>#N/A</v>
      </c>
      <c r="Q380" s="99" t="e">
        <f t="shared" si="48"/>
        <v>#N/A</v>
      </c>
      <c r="R380" s="100" t="e">
        <f t="shared" si="49"/>
        <v>#N/A</v>
      </c>
      <c r="S380" s="83" t="e">
        <f>VLOOKUP($C380,'Daily_BU설비데이터 '!$C$20:$T$1000,17,0)</f>
        <v>#N/A</v>
      </c>
      <c r="T380" s="83" t="e">
        <f>VLOOKUP($C380,'Daily_BU설비데이터 '!$C$20:$T$1000,18,0)</f>
        <v>#N/A</v>
      </c>
      <c r="U380" s="101" t="e">
        <f t="shared" si="50"/>
        <v>#N/A</v>
      </c>
      <c r="V380" s="45"/>
      <c r="W380" s="45"/>
      <c r="X380" s="45"/>
      <c r="Y380" s="45"/>
      <c r="Z380" s="45"/>
      <c r="AA380" s="45"/>
    </row>
    <row r="381" spans="2:27" x14ac:dyDescent="0.45">
      <c r="B381" s="45" t="s">
        <v>187</v>
      </c>
      <c r="C381" s="90"/>
      <c r="D381" s="56"/>
      <c r="E381" s="80"/>
      <c r="F381" s="58" t="e">
        <f>VLOOKUP($C381,'Daily_BU설비데이터 '!$C$20:$T$1000,4,0)</f>
        <v>#N/A</v>
      </c>
      <c r="G381" s="58" t="e">
        <f>VLOOKUP($C381,'Daily_BU설비데이터 '!$C$20:$T$1000,5,0)</f>
        <v>#N/A</v>
      </c>
      <c r="H381" s="58" t="e">
        <f>VLOOKUP($C381,'Daily_BU설비데이터 '!$C$20:$T$1000,6,0)</f>
        <v>#N/A</v>
      </c>
      <c r="I381" s="58" t="e">
        <f>VLOOKUP($C381,'Daily_BU설비데이터 '!$C$20:$T$1000,7,0)</f>
        <v>#N/A</v>
      </c>
      <c r="J381" s="58" t="e">
        <f>VLOOKUP($C381,'Daily_BU설비데이터 '!$C$20:$T$1000,8,0)</f>
        <v>#N/A</v>
      </c>
      <c r="K381" s="58" t="e">
        <f>VLOOKUP($C381,'Daily_BU설비데이터 '!$C$20:$T$1000,9,0)</f>
        <v>#N/A</v>
      </c>
      <c r="L381" s="59" t="e">
        <f t="shared" si="47"/>
        <v>#N/A</v>
      </c>
      <c r="M381" s="68" t="e">
        <f>VLOOKUP($C381,'Daily_BU설비데이터 '!$C$20:$T$1000,11,0)</f>
        <v>#N/A</v>
      </c>
      <c r="N381" s="68" t="e">
        <f>VLOOKUP($C381,'Daily_BU설비데이터 '!$C$20:$T$1000,12,0)</f>
        <v>#N/A</v>
      </c>
      <c r="O381" s="68" t="e">
        <f>VLOOKUP($C381,'Daily_BU설비데이터 '!$C$20:$T$1000,13,0)</f>
        <v>#N/A</v>
      </c>
      <c r="P381" s="68" t="e">
        <f>VLOOKUP($C381,'Daily_BU설비데이터 '!$C$20:$T$1000,14,0)</f>
        <v>#N/A</v>
      </c>
      <c r="Q381" s="99" t="e">
        <f t="shared" si="48"/>
        <v>#N/A</v>
      </c>
      <c r="R381" s="100" t="e">
        <f t="shared" si="49"/>
        <v>#N/A</v>
      </c>
      <c r="S381" s="83" t="e">
        <f>VLOOKUP($C381,'Daily_BU설비데이터 '!$C$20:$T$1000,17,0)</f>
        <v>#N/A</v>
      </c>
      <c r="T381" s="83" t="e">
        <f>VLOOKUP($C381,'Daily_BU설비데이터 '!$C$20:$T$1000,18,0)</f>
        <v>#N/A</v>
      </c>
      <c r="U381" s="101" t="e">
        <f t="shared" si="50"/>
        <v>#N/A</v>
      </c>
      <c r="V381" s="45"/>
      <c r="W381" s="45"/>
      <c r="X381" s="45"/>
      <c r="Y381" s="45"/>
      <c r="Z381" s="45"/>
      <c r="AA381" s="45"/>
    </row>
    <row r="382" spans="2:27" x14ac:dyDescent="0.45">
      <c r="B382" s="45" t="s">
        <v>188</v>
      </c>
      <c r="C382" s="90"/>
      <c r="D382" s="56"/>
      <c r="E382" s="84"/>
      <c r="F382" s="58" t="e">
        <f>VLOOKUP($C382,'Daily_BU설비데이터 '!$C$20:$T$1000,4,0)</f>
        <v>#N/A</v>
      </c>
      <c r="G382" s="58" t="e">
        <f>VLOOKUP($C382,'Daily_BU설비데이터 '!$C$20:$T$1000,5,0)</f>
        <v>#N/A</v>
      </c>
      <c r="H382" s="58" t="e">
        <f>VLOOKUP($C382,'Daily_BU설비데이터 '!$C$20:$T$1000,6,0)</f>
        <v>#N/A</v>
      </c>
      <c r="I382" s="58" t="e">
        <f>VLOOKUP($C382,'Daily_BU설비데이터 '!$C$20:$T$1000,7,0)</f>
        <v>#N/A</v>
      </c>
      <c r="J382" s="58" t="e">
        <f>VLOOKUP($C382,'Daily_BU설비데이터 '!$C$20:$T$1000,8,0)</f>
        <v>#N/A</v>
      </c>
      <c r="K382" s="58" t="e">
        <f>VLOOKUP($C382,'Daily_BU설비데이터 '!$C$20:$T$1000,9,0)</f>
        <v>#N/A</v>
      </c>
      <c r="L382" s="59" t="e">
        <f t="shared" si="47"/>
        <v>#N/A</v>
      </c>
      <c r="M382" s="68" t="e">
        <f>VLOOKUP($C382,'Daily_BU설비데이터 '!$C$20:$T$1000,11,0)</f>
        <v>#N/A</v>
      </c>
      <c r="N382" s="68" t="e">
        <f>VLOOKUP($C382,'Daily_BU설비데이터 '!$C$20:$T$1000,12,0)</f>
        <v>#N/A</v>
      </c>
      <c r="O382" s="68" t="e">
        <f>VLOOKUP($C382,'Daily_BU설비데이터 '!$C$20:$T$1000,13,0)</f>
        <v>#N/A</v>
      </c>
      <c r="P382" s="68" t="e">
        <f>VLOOKUP($C382,'Daily_BU설비데이터 '!$C$20:$T$1000,14,0)</f>
        <v>#N/A</v>
      </c>
      <c r="Q382" s="99" t="e">
        <f t="shared" si="48"/>
        <v>#N/A</v>
      </c>
      <c r="R382" s="100" t="e">
        <f t="shared" si="49"/>
        <v>#N/A</v>
      </c>
      <c r="S382" s="83" t="e">
        <f>VLOOKUP($C382,'Daily_BU설비데이터 '!$C$20:$T$1000,17,0)</f>
        <v>#N/A</v>
      </c>
      <c r="T382" s="83" t="e">
        <f>VLOOKUP($C382,'Daily_BU설비데이터 '!$C$20:$T$1000,18,0)</f>
        <v>#N/A</v>
      </c>
      <c r="U382" s="101" t="e">
        <f t="shared" si="50"/>
        <v>#N/A</v>
      </c>
      <c r="V382" s="45"/>
      <c r="W382" s="45"/>
      <c r="X382" s="45"/>
      <c r="Y382" s="45"/>
      <c r="Z382" s="45"/>
      <c r="AA382" s="45"/>
    </row>
    <row r="383" spans="2:27" x14ac:dyDescent="0.45">
      <c r="B383" s="45" t="s">
        <v>189</v>
      </c>
      <c r="C383" s="90"/>
      <c r="D383" s="56"/>
      <c r="E383" s="57"/>
      <c r="F383" s="58" t="e">
        <f>VLOOKUP($C383,'Daily_BU설비데이터 '!$C$20:$T$1000,4,0)</f>
        <v>#N/A</v>
      </c>
      <c r="G383" s="58" t="e">
        <f>VLOOKUP($C383,'Daily_BU설비데이터 '!$C$20:$T$1000,5,0)</f>
        <v>#N/A</v>
      </c>
      <c r="H383" s="58" t="e">
        <f>VLOOKUP($C383,'Daily_BU설비데이터 '!$C$20:$T$1000,6,0)</f>
        <v>#N/A</v>
      </c>
      <c r="I383" s="58" t="e">
        <f>VLOOKUP($C383,'Daily_BU설비데이터 '!$C$20:$T$1000,7,0)</f>
        <v>#N/A</v>
      </c>
      <c r="J383" s="58" t="e">
        <f>VLOOKUP($C383,'Daily_BU설비데이터 '!$C$20:$T$1000,8,0)</f>
        <v>#N/A</v>
      </c>
      <c r="K383" s="58" t="e">
        <f>VLOOKUP($C383,'Daily_BU설비데이터 '!$C$20:$T$1000,9,0)</f>
        <v>#N/A</v>
      </c>
      <c r="L383" s="59" t="e">
        <f t="shared" si="47"/>
        <v>#N/A</v>
      </c>
      <c r="M383" s="68" t="e">
        <f>VLOOKUP($C383,'Daily_BU설비데이터 '!$C$20:$T$1000,11,0)</f>
        <v>#N/A</v>
      </c>
      <c r="N383" s="68" t="e">
        <f>VLOOKUP($C383,'Daily_BU설비데이터 '!$C$20:$T$1000,12,0)</f>
        <v>#N/A</v>
      </c>
      <c r="O383" s="68" t="e">
        <f>VLOOKUP($C383,'Daily_BU설비데이터 '!$C$20:$T$1000,13,0)</f>
        <v>#N/A</v>
      </c>
      <c r="P383" s="68" t="e">
        <f>VLOOKUP($C383,'Daily_BU설비데이터 '!$C$20:$T$1000,14,0)</f>
        <v>#N/A</v>
      </c>
      <c r="Q383" s="99" t="e">
        <f t="shared" si="48"/>
        <v>#N/A</v>
      </c>
      <c r="R383" s="100" t="e">
        <f t="shared" si="49"/>
        <v>#N/A</v>
      </c>
      <c r="S383" s="83" t="e">
        <f>VLOOKUP($C383,'Daily_BU설비데이터 '!$C$20:$T$1000,17,0)</f>
        <v>#N/A</v>
      </c>
      <c r="T383" s="83" t="e">
        <f>VLOOKUP($C383,'Daily_BU설비데이터 '!$C$20:$T$1000,18,0)</f>
        <v>#N/A</v>
      </c>
      <c r="U383" s="101" t="e">
        <f t="shared" si="50"/>
        <v>#N/A</v>
      </c>
      <c r="V383" s="45"/>
      <c r="W383" s="45"/>
      <c r="X383" s="45"/>
      <c r="Y383" s="45"/>
      <c r="Z383" s="45"/>
      <c r="AA383" s="45"/>
    </row>
    <row r="384" spans="2:27" x14ac:dyDescent="0.45">
      <c r="B384" s="45" t="s">
        <v>190</v>
      </c>
      <c r="C384" s="90"/>
      <c r="D384" s="56"/>
      <c r="E384" s="80"/>
      <c r="F384" s="58" t="e">
        <f>VLOOKUP($C384,'Daily_BU설비데이터 '!$C$20:$T$1000,4,0)</f>
        <v>#N/A</v>
      </c>
      <c r="G384" s="58" t="e">
        <f>VLOOKUP($C384,'Daily_BU설비데이터 '!$C$20:$T$1000,5,0)</f>
        <v>#N/A</v>
      </c>
      <c r="H384" s="58" t="e">
        <f>VLOOKUP($C384,'Daily_BU설비데이터 '!$C$20:$T$1000,6,0)</f>
        <v>#N/A</v>
      </c>
      <c r="I384" s="58" t="e">
        <f>VLOOKUP($C384,'Daily_BU설비데이터 '!$C$20:$T$1000,7,0)</f>
        <v>#N/A</v>
      </c>
      <c r="J384" s="58" t="e">
        <f>VLOOKUP($C384,'Daily_BU설비데이터 '!$C$20:$T$1000,8,0)</f>
        <v>#N/A</v>
      </c>
      <c r="K384" s="58" t="e">
        <f>VLOOKUP($C384,'Daily_BU설비데이터 '!$C$20:$T$1000,9,0)</f>
        <v>#N/A</v>
      </c>
      <c r="L384" s="59" t="e">
        <f t="shared" si="47"/>
        <v>#N/A</v>
      </c>
      <c r="M384" s="68" t="e">
        <f>VLOOKUP($C384,'Daily_BU설비데이터 '!$C$20:$T$1000,11,0)</f>
        <v>#N/A</v>
      </c>
      <c r="N384" s="68" t="e">
        <f>VLOOKUP($C384,'Daily_BU설비데이터 '!$C$20:$T$1000,12,0)</f>
        <v>#N/A</v>
      </c>
      <c r="O384" s="68" t="e">
        <f>VLOOKUP($C384,'Daily_BU설비데이터 '!$C$20:$T$1000,13,0)</f>
        <v>#N/A</v>
      </c>
      <c r="P384" s="68" t="e">
        <f>VLOOKUP($C384,'Daily_BU설비데이터 '!$C$20:$T$1000,14,0)</f>
        <v>#N/A</v>
      </c>
      <c r="Q384" s="99" t="e">
        <f t="shared" si="48"/>
        <v>#N/A</v>
      </c>
      <c r="R384" s="100" t="e">
        <f t="shared" si="49"/>
        <v>#N/A</v>
      </c>
      <c r="S384" s="83" t="e">
        <f>VLOOKUP($C384,'Daily_BU설비데이터 '!$C$20:$T$1000,17,0)</f>
        <v>#N/A</v>
      </c>
      <c r="T384" s="83" t="e">
        <f>VLOOKUP($C384,'Daily_BU설비데이터 '!$C$20:$T$1000,18,0)</f>
        <v>#N/A</v>
      </c>
      <c r="U384" s="101" t="e">
        <f t="shared" si="50"/>
        <v>#N/A</v>
      </c>
      <c r="V384" s="45"/>
      <c r="W384" s="45"/>
      <c r="X384" s="45"/>
      <c r="Y384" s="45"/>
      <c r="Z384" s="45"/>
      <c r="AA384" s="45"/>
    </row>
    <row r="385" spans="2:27" x14ac:dyDescent="0.45">
      <c r="B385" s="45" t="s">
        <v>191</v>
      </c>
      <c r="C385" s="90"/>
      <c r="D385" s="56"/>
      <c r="E385" s="84"/>
      <c r="F385" s="58" t="e">
        <f>VLOOKUP($C385,'Daily_BU설비데이터 '!$C$20:$T$1000,4,0)</f>
        <v>#N/A</v>
      </c>
      <c r="G385" s="58" t="e">
        <f>VLOOKUP($C385,'Daily_BU설비데이터 '!$C$20:$T$1000,5,0)</f>
        <v>#N/A</v>
      </c>
      <c r="H385" s="58" t="e">
        <f>VLOOKUP($C385,'Daily_BU설비데이터 '!$C$20:$T$1000,6,0)</f>
        <v>#N/A</v>
      </c>
      <c r="I385" s="58" t="e">
        <f>VLOOKUP($C385,'Daily_BU설비데이터 '!$C$20:$T$1000,7,0)</f>
        <v>#N/A</v>
      </c>
      <c r="J385" s="58" t="e">
        <f>VLOOKUP($C385,'Daily_BU설비데이터 '!$C$20:$T$1000,8,0)</f>
        <v>#N/A</v>
      </c>
      <c r="K385" s="58" t="e">
        <f>VLOOKUP($C385,'Daily_BU설비데이터 '!$C$20:$T$1000,9,0)</f>
        <v>#N/A</v>
      </c>
      <c r="L385" s="59" t="e">
        <f t="shared" si="47"/>
        <v>#N/A</v>
      </c>
      <c r="M385" s="68" t="e">
        <f>VLOOKUP($C385,'Daily_BU설비데이터 '!$C$20:$T$1000,11,0)</f>
        <v>#N/A</v>
      </c>
      <c r="N385" s="68" t="e">
        <f>VLOOKUP($C385,'Daily_BU설비데이터 '!$C$20:$T$1000,12,0)</f>
        <v>#N/A</v>
      </c>
      <c r="O385" s="68" t="e">
        <f>VLOOKUP($C385,'Daily_BU설비데이터 '!$C$20:$T$1000,13,0)</f>
        <v>#N/A</v>
      </c>
      <c r="P385" s="68" t="e">
        <f>VLOOKUP($C385,'Daily_BU설비데이터 '!$C$20:$T$1000,14,0)</f>
        <v>#N/A</v>
      </c>
      <c r="Q385" s="99" t="e">
        <f t="shared" si="48"/>
        <v>#N/A</v>
      </c>
      <c r="R385" s="100" t="e">
        <f t="shared" si="49"/>
        <v>#N/A</v>
      </c>
      <c r="S385" s="83" t="e">
        <f>VLOOKUP($C385,'Daily_BU설비데이터 '!$C$20:$T$1000,17,0)</f>
        <v>#N/A</v>
      </c>
      <c r="T385" s="83" t="e">
        <f>VLOOKUP($C385,'Daily_BU설비데이터 '!$C$20:$T$1000,18,0)</f>
        <v>#N/A</v>
      </c>
      <c r="U385" s="101" t="e">
        <f t="shared" si="50"/>
        <v>#N/A</v>
      </c>
      <c r="V385" s="45"/>
      <c r="W385" s="45"/>
      <c r="X385" s="45"/>
      <c r="Y385" s="45"/>
      <c r="Z385" s="45"/>
      <c r="AA385" s="45"/>
    </row>
    <row r="386" spans="2:27" x14ac:dyDescent="0.45">
      <c r="B386" s="45" t="s">
        <v>192</v>
      </c>
      <c r="C386" s="90"/>
      <c r="D386" s="56"/>
      <c r="E386" s="57"/>
      <c r="F386" s="58" t="e">
        <f>VLOOKUP($C386,'Daily_BU설비데이터 '!$C$20:$T$1000,4,0)</f>
        <v>#N/A</v>
      </c>
      <c r="G386" s="58" t="e">
        <f>VLOOKUP($C386,'Daily_BU설비데이터 '!$C$20:$T$1000,5,0)</f>
        <v>#N/A</v>
      </c>
      <c r="H386" s="58" t="e">
        <f>VLOOKUP($C386,'Daily_BU설비데이터 '!$C$20:$T$1000,6,0)</f>
        <v>#N/A</v>
      </c>
      <c r="I386" s="58" t="e">
        <f>VLOOKUP($C386,'Daily_BU설비데이터 '!$C$20:$T$1000,7,0)</f>
        <v>#N/A</v>
      </c>
      <c r="J386" s="58" t="e">
        <f>VLOOKUP($C386,'Daily_BU설비데이터 '!$C$20:$T$1000,8,0)</f>
        <v>#N/A</v>
      </c>
      <c r="K386" s="58" t="e">
        <f>VLOOKUP($C386,'Daily_BU설비데이터 '!$C$20:$T$1000,9,0)</f>
        <v>#N/A</v>
      </c>
      <c r="L386" s="59" t="e">
        <f t="shared" si="47"/>
        <v>#N/A</v>
      </c>
      <c r="M386" s="68" t="e">
        <f>VLOOKUP($C386,'Daily_BU설비데이터 '!$C$20:$T$1000,11,0)</f>
        <v>#N/A</v>
      </c>
      <c r="N386" s="68" t="e">
        <f>VLOOKUP($C386,'Daily_BU설비데이터 '!$C$20:$T$1000,12,0)</f>
        <v>#N/A</v>
      </c>
      <c r="O386" s="68" t="e">
        <f>VLOOKUP($C386,'Daily_BU설비데이터 '!$C$20:$T$1000,13,0)</f>
        <v>#N/A</v>
      </c>
      <c r="P386" s="68" t="e">
        <f>VLOOKUP($C386,'Daily_BU설비데이터 '!$C$20:$T$1000,14,0)</f>
        <v>#N/A</v>
      </c>
      <c r="Q386" s="99" t="e">
        <f t="shared" si="48"/>
        <v>#N/A</v>
      </c>
      <c r="R386" s="100" t="e">
        <f t="shared" si="49"/>
        <v>#N/A</v>
      </c>
      <c r="S386" s="83" t="e">
        <f>VLOOKUP($C386,'Daily_BU설비데이터 '!$C$20:$T$1000,17,0)</f>
        <v>#N/A</v>
      </c>
      <c r="T386" s="83" t="e">
        <f>VLOOKUP($C386,'Daily_BU설비데이터 '!$C$20:$T$1000,18,0)</f>
        <v>#N/A</v>
      </c>
      <c r="U386" s="101" t="e">
        <f t="shared" si="50"/>
        <v>#N/A</v>
      </c>
      <c r="V386" s="45"/>
      <c r="W386" s="45"/>
      <c r="X386" s="45"/>
      <c r="Y386" s="45"/>
      <c r="Z386" s="45"/>
      <c r="AA386" s="45"/>
    </row>
    <row r="387" spans="2:27" x14ac:dyDescent="0.45">
      <c r="B387" s="45" t="s">
        <v>193</v>
      </c>
      <c r="C387" s="90"/>
      <c r="D387" s="56"/>
      <c r="E387" s="80"/>
      <c r="F387" s="58" t="e">
        <f>VLOOKUP($C387,'Daily_BU설비데이터 '!$C$20:$T$1000,4,0)</f>
        <v>#N/A</v>
      </c>
      <c r="G387" s="58" t="e">
        <f>VLOOKUP($C387,'Daily_BU설비데이터 '!$C$20:$T$1000,5,0)</f>
        <v>#N/A</v>
      </c>
      <c r="H387" s="58" t="e">
        <f>VLOOKUP($C387,'Daily_BU설비데이터 '!$C$20:$T$1000,6,0)</f>
        <v>#N/A</v>
      </c>
      <c r="I387" s="58" t="e">
        <f>VLOOKUP($C387,'Daily_BU설비데이터 '!$C$20:$T$1000,7,0)</f>
        <v>#N/A</v>
      </c>
      <c r="J387" s="58" t="e">
        <f>VLOOKUP($C387,'Daily_BU설비데이터 '!$C$20:$T$1000,8,0)</f>
        <v>#N/A</v>
      </c>
      <c r="K387" s="58" t="e">
        <f>VLOOKUP($C387,'Daily_BU설비데이터 '!$C$20:$T$1000,9,0)</f>
        <v>#N/A</v>
      </c>
      <c r="L387" s="59" t="e">
        <f t="shared" si="47"/>
        <v>#N/A</v>
      </c>
      <c r="M387" s="68" t="e">
        <f>VLOOKUP($C387,'Daily_BU설비데이터 '!$C$20:$T$1000,11,0)</f>
        <v>#N/A</v>
      </c>
      <c r="N387" s="68" t="e">
        <f>VLOOKUP($C387,'Daily_BU설비데이터 '!$C$20:$T$1000,12,0)</f>
        <v>#N/A</v>
      </c>
      <c r="O387" s="68" t="e">
        <f>VLOOKUP($C387,'Daily_BU설비데이터 '!$C$20:$T$1000,13,0)</f>
        <v>#N/A</v>
      </c>
      <c r="P387" s="68" t="e">
        <f>VLOOKUP($C387,'Daily_BU설비데이터 '!$C$20:$T$1000,14,0)</f>
        <v>#N/A</v>
      </c>
      <c r="Q387" s="99" t="e">
        <f t="shared" si="48"/>
        <v>#N/A</v>
      </c>
      <c r="R387" s="100" t="e">
        <f t="shared" si="49"/>
        <v>#N/A</v>
      </c>
      <c r="S387" s="83" t="e">
        <f>VLOOKUP($C387,'Daily_BU설비데이터 '!$C$20:$T$1000,17,0)</f>
        <v>#N/A</v>
      </c>
      <c r="T387" s="83" t="e">
        <f>VLOOKUP($C387,'Daily_BU설비데이터 '!$C$20:$T$1000,18,0)</f>
        <v>#N/A</v>
      </c>
      <c r="U387" s="101" t="e">
        <f t="shared" si="50"/>
        <v>#N/A</v>
      </c>
      <c r="V387" s="45"/>
      <c r="W387" s="45"/>
      <c r="X387" s="45"/>
      <c r="Y387" s="45"/>
      <c r="Z387" s="45"/>
      <c r="AA387" s="45"/>
    </row>
    <row r="388" spans="2:27" x14ac:dyDescent="0.45">
      <c r="B388" s="45" t="s">
        <v>194</v>
      </c>
      <c r="C388" s="90"/>
      <c r="D388" s="56"/>
      <c r="E388" s="84"/>
      <c r="F388" s="58" t="e">
        <f>VLOOKUP($C388,'Daily_BU설비데이터 '!$C$20:$T$1000,4,0)</f>
        <v>#N/A</v>
      </c>
      <c r="G388" s="58" t="e">
        <f>VLOOKUP($C388,'Daily_BU설비데이터 '!$C$20:$T$1000,5,0)</f>
        <v>#N/A</v>
      </c>
      <c r="H388" s="58" t="e">
        <f>VLOOKUP($C388,'Daily_BU설비데이터 '!$C$20:$T$1000,6,0)</f>
        <v>#N/A</v>
      </c>
      <c r="I388" s="58" t="e">
        <f>VLOOKUP($C388,'Daily_BU설비데이터 '!$C$20:$T$1000,7,0)</f>
        <v>#N/A</v>
      </c>
      <c r="J388" s="58" t="e">
        <f>VLOOKUP($C388,'Daily_BU설비데이터 '!$C$20:$T$1000,8,0)</f>
        <v>#N/A</v>
      </c>
      <c r="K388" s="58" t="e">
        <f>VLOOKUP($C388,'Daily_BU설비데이터 '!$C$20:$T$1000,9,0)</f>
        <v>#N/A</v>
      </c>
      <c r="L388" s="59" t="e">
        <f t="shared" si="47"/>
        <v>#N/A</v>
      </c>
      <c r="M388" s="68" t="e">
        <f>VLOOKUP($C388,'Daily_BU설비데이터 '!$C$20:$T$1000,11,0)</f>
        <v>#N/A</v>
      </c>
      <c r="N388" s="68" t="e">
        <f>VLOOKUP($C388,'Daily_BU설비데이터 '!$C$20:$T$1000,12,0)</f>
        <v>#N/A</v>
      </c>
      <c r="O388" s="68" t="e">
        <f>VLOOKUP($C388,'Daily_BU설비데이터 '!$C$20:$T$1000,13,0)</f>
        <v>#N/A</v>
      </c>
      <c r="P388" s="68" t="e">
        <f>VLOOKUP($C388,'Daily_BU설비데이터 '!$C$20:$T$1000,14,0)</f>
        <v>#N/A</v>
      </c>
      <c r="Q388" s="99" t="e">
        <f t="shared" si="48"/>
        <v>#N/A</v>
      </c>
      <c r="R388" s="100" t="e">
        <f t="shared" si="49"/>
        <v>#N/A</v>
      </c>
      <c r="S388" s="83" t="e">
        <f>VLOOKUP($C388,'Daily_BU설비데이터 '!$C$20:$T$1000,17,0)</f>
        <v>#N/A</v>
      </c>
      <c r="T388" s="83" t="e">
        <f>VLOOKUP($C388,'Daily_BU설비데이터 '!$C$20:$T$1000,18,0)</f>
        <v>#N/A</v>
      </c>
      <c r="U388" s="101" t="e">
        <f t="shared" si="50"/>
        <v>#N/A</v>
      </c>
      <c r="V388" s="45"/>
      <c r="W388" s="45"/>
      <c r="X388" s="45"/>
      <c r="Y388" s="45"/>
      <c r="Z388" s="45"/>
      <c r="AA388" s="45"/>
    </row>
    <row r="389" spans="2:27" x14ac:dyDescent="0.45">
      <c r="B389" s="45" t="s">
        <v>195</v>
      </c>
      <c r="C389" s="90"/>
      <c r="D389" s="56"/>
      <c r="E389" s="57"/>
      <c r="F389" s="58" t="e">
        <f>VLOOKUP($C389,'Daily_BU설비데이터 '!$C$20:$T$1000,4,0)</f>
        <v>#N/A</v>
      </c>
      <c r="G389" s="58" t="e">
        <f>VLOOKUP($C389,'Daily_BU설비데이터 '!$C$20:$T$1000,5,0)</f>
        <v>#N/A</v>
      </c>
      <c r="H389" s="58" t="e">
        <f>VLOOKUP($C389,'Daily_BU설비데이터 '!$C$20:$T$1000,6,0)</f>
        <v>#N/A</v>
      </c>
      <c r="I389" s="58" t="e">
        <f>VLOOKUP($C389,'Daily_BU설비데이터 '!$C$20:$T$1000,7,0)</f>
        <v>#N/A</v>
      </c>
      <c r="J389" s="58" t="e">
        <f>VLOOKUP($C389,'Daily_BU설비데이터 '!$C$20:$T$1000,8,0)</f>
        <v>#N/A</v>
      </c>
      <c r="K389" s="58" t="e">
        <f>VLOOKUP($C389,'Daily_BU설비데이터 '!$C$20:$T$1000,9,0)</f>
        <v>#N/A</v>
      </c>
      <c r="L389" s="59" t="e">
        <f t="shared" si="47"/>
        <v>#N/A</v>
      </c>
      <c r="M389" s="68" t="e">
        <f>VLOOKUP($C389,'Daily_BU설비데이터 '!$C$20:$T$1000,11,0)</f>
        <v>#N/A</v>
      </c>
      <c r="N389" s="68" t="e">
        <f>VLOOKUP($C389,'Daily_BU설비데이터 '!$C$20:$T$1000,12,0)</f>
        <v>#N/A</v>
      </c>
      <c r="O389" s="68" t="e">
        <f>VLOOKUP($C389,'Daily_BU설비데이터 '!$C$20:$T$1000,13,0)</f>
        <v>#N/A</v>
      </c>
      <c r="P389" s="68" t="e">
        <f>VLOOKUP($C389,'Daily_BU설비데이터 '!$C$20:$T$1000,14,0)</f>
        <v>#N/A</v>
      </c>
      <c r="Q389" s="99" t="e">
        <f t="shared" si="48"/>
        <v>#N/A</v>
      </c>
      <c r="R389" s="100" t="e">
        <f t="shared" si="49"/>
        <v>#N/A</v>
      </c>
      <c r="S389" s="83" t="e">
        <f>VLOOKUP($C389,'Daily_BU설비데이터 '!$C$20:$T$1000,17,0)</f>
        <v>#N/A</v>
      </c>
      <c r="T389" s="83" t="e">
        <f>VLOOKUP($C389,'Daily_BU설비데이터 '!$C$20:$T$1000,18,0)</f>
        <v>#N/A</v>
      </c>
      <c r="U389" s="101" t="e">
        <f t="shared" si="50"/>
        <v>#N/A</v>
      </c>
      <c r="V389" s="45"/>
      <c r="W389" s="45"/>
      <c r="X389" s="45"/>
      <c r="Y389" s="45"/>
      <c r="Z389" s="45"/>
      <c r="AA389" s="45"/>
    </row>
    <row r="390" spans="2:27" x14ac:dyDescent="0.45">
      <c r="B390" s="45" t="s">
        <v>196</v>
      </c>
      <c r="C390" s="90"/>
      <c r="D390" s="56"/>
      <c r="E390" s="80"/>
      <c r="F390" s="58" t="e">
        <f>VLOOKUP($C390,'Daily_BU설비데이터 '!$C$20:$T$1000,4,0)</f>
        <v>#N/A</v>
      </c>
      <c r="G390" s="58" t="e">
        <f>VLOOKUP($C390,'Daily_BU설비데이터 '!$C$20:$T$1000,5,0)</f>
        <v>#N/A</v>
      </c>
      <c r="H390" s="58" t="e">
        <f>VLOOKUP($C390,'Daily_BU설비데이터 '!$C$20:$T$1000,6,0)</f>
        <v>#N/A</v>
      </c>
      <c r="I390" s="58" t="e">
        <f>VLOOKUP($C390,'Daily_BU설비데이터 '!$C$20:$T$1000,7,0)</f>
        <v>#N/A</v>
      </c>
      <c r="J390" s="58" t="e">
        <f>VLOOKUP($C390,'Daily_BU설비데이터 '!$C$20:$T$1000,8,0)</f>
        <v>#N/A</v>
      </c>
      <c r="K390" s="58" t="e">
        <f>VLOOKUP($C390,'Daily_BU설비데이터 '!$C$20:$T$1000,9,0)</f>
        <v>#N/A</v>
      </c>
      <c r="L390" s="59" t="e">
        <f t="shared" si="47"/>
        <v>#N/A</v>
      </c>
      <c r="M390" s="68" t="e">
        <f>VLOOKUP($C390,'Daily_BU설비데이터 '!$C$20:$T$1000,11,0)</f>
        <v>#N/A</v>
      </c>
      <c r="N390" s="68" t="e">
        <f>VLOOKUP($C390,'Daily_BU설비데이터 '!$C$20:$T$1000,12,0)</f>
        <v>#N/A</v>
      </c>
      <c r="O390" s="68" t="e">
        <f>VLOOKUP($C390,'Daily_BU설비데이터 '!$C$20:$T$1000,13,0)</f>
        <v>#N/A</v>
      </c>
      <c r="P390" s="68" t="e">
        <f>VLOOKUP($C390,'Daily_BU설비데이터 '!$C$20:$T$1000,14,0)</f>
        <v>#N/A</v>
      </c>
      <c r="Q390" s="99" t="e">
        <f t="shared" si="48"/>
        <v>#N/A</v>
      </c>
      <c r="R390" s="100" t="e">
        <f t="shared" si="49"/>
        <v>#N/A</v>
      </c>
      <c r="S390" s="83" t="e">
        <f>VLOOKUP($C390,'Daily_BU설비데이터 '!$C$20:$T$1000,17,0)</f>
        <v>#N/A</v>
      </c>
      <c r="T390" s="83" t="e">
        <f>VLOOKUP($C390,'Daily_BU설비데이터 '!$C$20:$T$1000,18,0)</f>
        <v>#N/A</v>
      </c>
      <c r="U390" s="101" t="e">
        <f t="shared" si="50"/>
        <v>#N/A</v>
      </c>
      <c r="V390" s="45"/>
      <c r="W390" s="45"/>
      <c r="X390" s="45"/>
      <c r="Y390" s="45"/>
      <c r="Z390" s="45"/>
      <c r="AA390" s="45"/>
    </row>
    <row r="391" spans="2:27" x14ac:dyDescent="0.45">
      <c r="B391" s="45" t="s">
        <v>197</v>
      </c>
      <c r="C391" s="90"/>
      <c r="D391" s="56"/>
      <c r="E391" s="84"/>
      <c r="F391" s="58" t="e">
        <f>VLOOKUP($C391,'Daily_BU설비데이터 '!$C$20:$T$1000,4,0)</f>
        <v>#N/A</v>
      </c>
      <c r="G391" s="58" t="e">
        <f>VLOOKUP($C391,'Daily_BU설비데이터 '!$C$20:$T$1000,5,0)</f>
        <v>#N/A</v>
      </c>
      <c r="H391" s="58" t="e">
        <f>VLOOKUP($C391,'Daily_BU설비데이터 '!$C$20:$T$1000,6,0)</f>
        <v>#N/A</v>
      </c>
      <c r="I391" s="58" t="e">
        <f>VLOOKUP($C391,'Daily_BU설비데이터 '!$C$20:$T$1000,7,0)</f>
        <v>#N/A</v>
      </c>
      <c r="J391" s="58" t="e">
        <f>VLOOKUP($C391,'Daily_BU설비데이터 '!$C$20:$T$1000,8,0)</f>
        <v>#N/A</v>
      </c>
      <c r="K391" s="58" t="e">
        <f>VLOOKUP($C391,'Daily_BU설비데이터 '!$C$20:$T$1000,9,0)</f>
        <v>#N/A</v>
      </c>
      <c r="L391" s="59" t="e">
        <f t="shared" si="47"/>
        <v>#N/A</v>
      </c>
      <c r="M391" s="68" t="e">
        <f>VLOOKUP($C391,'Daily_BU설비데이터 '!$C$20:$T$1000,11,0)</f>
        <v>#N/A</v>
      </c>
      <c r="N391" s="68" t="e">
        <f>VLOOKUP($C391,'Daily_BU설비데이터 '!$C$20:$T$1000,12,0)</f>
        <v>#N/A</v>
      </c>
      <c r="O391" s="68" t="e">
        <f>VLOOKUP($C391,'Daily_BU설비데이터 '!$C$20:$T$1000,13,0)</f>
        <v>#N/A</v>
      </c>
      <c r="P391" s="68" t="e">
        <f>VLOOKUP($C391,'Daily_BU설비데이터 '!$C$20:$T$1000,14,0)</f>
        <v>#N/A</v>
      </c>
      <c r="Q391" s="99" t="e">
        <f t="shared" si="48"/>
        <v>#N/A</v>
      </c>
      <c r="R391" s="100" t="e">
        <f t="shared" si="49"/>
        <v>#N/A</v>
      </c>
      <c r="S391" s="83" t="e">
        <f>VLOOKUP($C391,'Daily_BU설비데이터 '!$C$20:$T$1000,17,0)</f>
        <v>#N/A</v>
      </c>
      <c r="T391" s="83" t="e">
        <f>VLOOKUP($C391,'Daily_BU설비데이터 '!$C$20:$T$1000,18,0)</f>
        <v>#N/A</v>
      </c>
      <c r="U391" s="101" t="e">
        <f t="shared" si="50"/>
        <v>#N/A</v>
      </c>
      <c r="V391" s="45"/>
      <c r="W391" s="45"/>
      <c r="X391" s="45"/>
      <c r="Y391" s="45"/>
      <c r="Z391" s="45"/>
      <c r="AA391" s="45"/>
    </row>
    <row r="392" spans="2:27" x14ac:dyDescent="0.45">
      <c r="B392" s="45" t="s">
        <v>198</v>
      </c>
      <c r="C392" s="90"/>
      <c r="D392" s="56"/>
      <c r="E392" s="57"/>
      <c r="F392" s="58" t="e">
        <f>VLOOKUP($C392,'Daily_BU설비데이터 '!$C$20:$T$1000,4,0)</f>
        <v>#N/A</v>
      </c>
      <c r="G392" s="58" t="e">
        <f>VLOOKUP($C392,'Daily_BU설비데이터 '!$C$20:$T$1000,5,0)</f>
        <v>#N/A</v>
      </c>
      <c r="H392" s="58" t="e">
        <f>VLOOKUP($C392,'Daily_BU설비데이터 '!$C$20:$T$1000,6,0)</f>
        <v>#N/A</v>
      </c>
      <c r="I392" s="58" t="e">
        <f>VLOOKUP($C392,'Daily_BU설비데이터 '!$C$20:$T$1000,7,0)</f>
        <v>#N/A</v>
      </c>
      <c r="J392" s="58" t="e">
        <f>VLOOKUP($C392,'Daily_BU설비데이터 '!$C$20:$T$1000,8,0)</f>
        <v>#N/A</v>
      </c>
      <c r="K392" s="58" t="e">
        <f>VLOOKUP($C392,'Daily_BU설비데이터 '!$C$20:$T$1000,9,0)</f>
        <v>#N/A</v>
      </c>
      <c r="L392" s="59" t="e">
        <f t="shared" si="47"/>
        <v>#N/A</v>
      </c>
      <c r="M392" s="68" t="e">
        <f>VLOOKUP($C392,'Daily_BU설비데이터 '!$C$20:$T$1000,11,0)</f>
        <v>#N/A</v>
      </c>
      <c r="N392" s="68" t="e">
        <f>VLOOKUP($C392,'Daily_BU설비데이터 '!$C$20:$T$1000,12,0)</f>
        <v>#N/A</v>
      </c>
      <c r="O392" s="68" t="e">
        <f>VLOOKUP($C392,'Daily_BU설비데이터 '!$C$20:$T$1000,13,0)</f>
        <v>#N/A</v>
      </c>
      <c r="P392" s="68" t="e">
        <f>VLOOKUP($C392,'Daily_BU설비데이터 '!$C$20:$T$1000,14,0)</f>
        <v>#N/A</v>
      </c>
      <c r="Q392" s="99" t="e">
        <f t="shared" si="48"/>
        <v>#N/A</v>
      </c>
      <c r="R392" s="100" t="e">
        <f t="shared" si="49"/>
        <v>#N/A</v>
      </c>
      <c r="S392" s="83" t="e">
        <f>VLOOKUP($C392,'Daily_BU설비데이터 '!$C$20:$T$1000,17,0)</f>
        <v>#N/A</v>
      </c>
      <c r="T392" s="83" t="e">
        <f>VLOOKUP($C392,'Daily_BU설비데이터 '!$C$20:$T$1000,18,0)</f>
        <v>#N/A</v>
      </c>
      <c r="U392" s="101" t="e">
        <f t="shared" si="50"/>
        <v>#N/A</v>
      </c>
      <c r="V392" s="45"/>
      <c r="W392" s="45"/>
      <c r="X392" s="45"/>
      <c r="Y392" s="45"/>
      <c r="Z392" s="45"/>
      <c r="AA392" s="45"/>
    </row>
    <row r="393" spans="2:27" x14ac:dyDescent="0.45">
      <c r="B393" s="45" t="s">
        <v>199</v>
      </c>
      <c r="C393" s="90"/>
      <c r="D393" s="56"/>
      <c r="E393" s="80"/>
      <c r="F393" s="58" t="e">
        <f>VLOOKUP($C393,'Daily_BU설비데이터 '!$C$20:$T$1000,4,0)</f>
        <v>#N/A</v>
      </c>
      <c r="G393" s="58" t="e">
        <f>VLOOKUP($C393,'Daily_BU설비데이터 '!$C$20:$T$1000,5,0)</f>
        <v>#N/A</v>
      </c>
      <c r="H393" s="58" t="e">
        <f>VLOOKUP($C393,'Daily_BU설비데이터 '!$C$20:$T$1000,6,0)</f>
        <v>#N/A</v>
      </c>
      <c r="I393" s="58" t="e">
        <f>VLOOKUP($C393,'Daily_BU설비데이터 '!$C$20:$T$1000,7,0)</f>
        <v>#N/A</v>
      </c>
      <c r="J393" s="58" t="e">
        <f>VLOOKUP($C393,'Daily_BU설비데이터 '!$C$20:$T$1000,8,0)</f>
        <v>#N/A</v>
      </c>
      <c r="K393" s="58" t="e">
        <f>VLOOKUP($C393,'Daily_BU설비데이터 '!$C$20:$T$1000,9,0)</f>
        <v>#N/A</v>
      </c>
      <c r="L393" s="59" t="e">
        <f t="shared" si="47"/>
        <v>#N/A</v>
      </c>
      <c r="M393" s="68" t="e">
        <f>VLOOKUP($C393,'Daily_BU설비데이터 '!$C$20:$T$1000,11,0)</f>
        <v>#N/A</v>
      </c>
      <c r="N393" s="68" t="e">
        <f>VLOOKUP($C393,'Daily_BU설비데이터 '!$C$20:$T$1000,12,0)</f>
        <v>#N/A</v>
      </c>
      <c r="O393" s="68" t="e">
        <f>VLOOKUP($C393,'Daily_BU설비데이터 '!$C$20:$T$1000,13,0)</f>
        <v>#N/A</v>
      </c>
      <c r="P393" s="68" t="e">
        <f>VLOOKUP($C393,'Daily_BU설비데이터 '!$C$20:$T$1000,14,0)</f>
        <v>#N/A</v>
      </c>
      <c r="Q393" s="99" t="e">
        <f t="shared" si="48"/>
        <v>#N/A</v>
      </c>
      <c r="R393" s="100" t="e">
        <f t="shared" si="49"/>
        <v>#N/A</v>
      </c>
      <c r="S393" s="83" t="e">
        <f>VLOOKUP($C393,'Daily_BU설비데이터 '!$C$20:$T$1000,17,0)</f>
        <v>#N/A</v>
      </c>
      <c r="T393" s="83" t="e">
        <f>VLOOKUP($C393,'Daily_BU설비데이터 '!$C$20:$T$1000,18,0)</f>
        <v>#N/A</v>
      </c>
      <c r="U393" s="101" t="e">
        <f t="shared" si="50"/>
        <v>#N/A</v>
      </c>
      <c r="V393" s="45"/>
      <c r="W393" s="45"/>
      <c r="X393" s="45"/>
      <c r="Y393" s="45"/>
      <c r="Z393" s="45"/>
      <c r="AA393" s="45"/>
    </row>
    <row r="394" spans="2:27" x14ac:dyDescent="0.45">
      <c r="B394" s="45" t="s">
        <v>200</v>
      </c>
      <c r="C394" s="90"/>
      <c r="D394" s="56"/>
      <c r="E394" s="84"/>
      <c r="F394" s="58" t="e">
        <f>VLOOKUP($C394,'Daily_BU설비데이터 '!$C$20:$T$1000,4,0)</f>
        <v>#N/A</v>
      </c>
      <c r="G394" s="58" t="e">
        <f>VLOOKUP($C394,'Daily_BU설비데이터 '!$C$20:$T$1000,5,0)</f>
        <v>#N/A</v>
      </c>
      <c r="H394" s="58" t="e">
        <f>VLOOKUP($C394,'Daily_BU설비데이터 '!$C$20:$T$1000,6,0)</f>
        <v>#N/A</v>
      </c>
      <c r="I394" s="58" t="e">
        <f>VLOOKUP($C394,'Daily_BU설비데이터 '!$C$20:$T$1000,7,0)</f>
        <v>#N/A</v>
      </c>
      <c r="J394" s="58" t="e">
        <f>VLOOKUP($C394,'Daily_BU설비데이터 '!$C$20:$T$1000,8,0)</f>
        <v>#N/A</v>
      </c>
      <c r="K394" s="58" t="e">
        <f>VLOOKUP($C394,'Daily_BU설비데이터 '!$C$20:$T$1000,9,0)</f>
        <v>#N/A</v>
      </c>
      <c r="L394" s="59" t="e">
        <f t="shared" si="47"/>
        <v>#N/A</v>
      </c>
      <c r="M394" s="68" t="e">
        <f>VLOOKUP($C394,'Daily_BU설비데이터 '!$C$20:$T$1000,11,0)</f>
        <v>#N/A</v>
      </c>
      <c r="N394" s="68" t="e">
        <f>VLOOKUP($C394,'Daily_BU설비데이터 '!$C$20:$T$1000,12,0)</f>
        <v>#N/A</v>
      </c>
      <c r="O394" s="68" t="e">
        <f>VLOOKUP($C394,'Daily_BU설비데이터 '!$C$20:$T$1000,13,0)</f>
        <v>#N/A</v>
      </c>
      <c r="P394" s="68" t="e">
        <f>VLOOKUP($C394,'Daily_BU설비데이터 '!$C$20:$T$1000,14,0)</f>
        <v>#N/A</v>
      </c>
      <c r="Q394" s="99" t="e">
        <f t="shared" si="48"/>
        <v>#N/A</v>
      </c>
      <c r="R394" s="100" t="e">
        <f t="shared" si="49"/>
        <v>#N/A</v>
      </c>
      <c r="S394" s="83" t="e">
        <f>VLOOKUP($C394,'Daily_BU설비데이터 '!$C$20:$T$1000,17,0)</f>
        <v>#N/A</v>
      </c>
      <c r="T394" s="83" t="e">
        <f>VLOOKUP($C394,'Daily_BU설비데이터 '!$C$20:$T$1000,18,0)</f>
        <v>#N/A</v>
      </c>
      <c r="U394" s="101" t="e">
        <f t="shared" si="50"/>
        <v>#N/A</v>
      </c>
      <c r="V394" s="45"/>
      <c r="W394" s="45"/>
      <c r="X394" s="45"/>
      <c r="Y394" s="45"/>
      <c r="Z394" s="45"/>
      <c r="AA394" s="45"/>
    </row>
    <row r="395" spans="2:27" x14ac:dyDescent="0.45">
      <c r="B395" s="45" t="s">
        <v>201</v>
      </c>
      <c r="C395" s="90"/>
      <c r="D395" s="56"/>
      <c r="E395" s="57"/>
      <c r="F395" s="58" t="e">
        <f>VLOOKUP($C395,'Daily_BU설비데이터 '!$C$20:$T$1000,4,0)</f>
        <v>#N/A</v>
      </c>
      <c r="G395" s="58" t="e">
        <f>VLOOKUP($C395,'Daily_BU설비데이터 '!$C$20:$T$1000,5,0)</f>
        <v>#N/A</v>
      </c>
      <c r="H395" s="58" t="e">
        <f>VLOOKUP($C395,'Daily_BU설비데이터 '!$C$20:$T$1000,6,0)</f>
        <v>#N/A</v>
      </c>
      <c r="I395" s="58" t="e">
        <f>VLOOKUP($C395,'Daily_BU설비데이터 '!$C$20:$T$1000,7,0)</f>
        <v>#N/A</v>
      </c>
      <c r="J395" s="58" t="e">
        <f>VLOOKUP($C395,'Daily_BU설비데이터 '!$C$20:$T$1000,8,0)</f>
        <v>#N/A</v>
      </c>
      <c r="K395" s="58" t="e">
        <f>VLOOKUP($C395,'Daily_BU설비데이터 '!$C$20:$T$1000,9,0)</f>
        <v>#N/A</v>
      </c>
      <c r="L395" s="59" t="e">
        <f t="shared" si="47"/>
        <v>#N/A</v>
      </c>
      <c r="M395" s="68" t="e">
        <f>VLOOKUP($C395,'Daily_BU설비데이터 '!$C$20:$T$1000,11,0)</f>
        <v>#N/A</v>
      </c>
      <c r="N395" s="68" t="e">
        <f>VLOOKUP($C395,'Daily_BU설비데이터 '!$C$20:$T$1000,12,0)</f>
        <v>#N/A</v>
      </c>
      <c r="O395" s="68" t="e">
        <f>VLOOKUP($C395,'Daily_BU설비데이터 '!$C$20:$T$1000,13,0)</f>
        <v>#N/A</v>
      </c>
      <c r="P395" s="68" t="e">
        <f>VLOOKUP($C395,'Daily_BU설비데이터 '!$C$20:$T$1000,14,0)</f>
        <v>#N/A</v>
      </c>
      <c r="Q395" s="99" t="e">
        <f t="shared" si="48"/>
        <v>#N/A</v>
      </c>
      <c r="R395" s="100" t="e">
        <f t="shared" si="49"/>
        <v>#N/A</v>
      </c>
      <c r="S395" s="83" t="e">
        <f>VLOOKUP($C395,'Daily_BU설비데이터 '!$C$20:$T$1000,17,0)</f>
        <v>#N/A</v>
      </c>
      <c r="T395" s="83" t="e">
        <f>VLOOKUP($C395,'Daily_BU설비데이터 '!$C$20:$T$1000,18,0)</f>
        <v>#N/A</v>
      </c>
      <c r="U395" s="101" t="e">
        <f t="shared" si="50"/>
        <v>#N/A</v>
      </c>
      <c r="V395" s="45"/>
      <c r="W395" s="45"/>
      <c r="X395" s="45"/>
      <c r="Y395" s="45"/>
      <c r="Z395" s="45"/>
      <c r="AA395" s="45"/>
    </row>
    <row r="396" spans="2:27" x14ac:dyDescent="0.45">
      <c r="B396" s="45" t="s">
        <v>202</v>
      </c>
      <c r="C396" s="90"/>
      <c r="D396" s="56"/>
      <c r="E396" s="80"/>
      <c r="F396" s="58" t="e">
        <f>VLOOKUP($C396,'Daily_BU설비데이터 '!$C$20:$T$1000,4,0)</f>
        <v>#N/A</v>
      </c>
      <c r="G396" s="58" t="e">
        <f>VLOOKUP($C396,'Daily_BU설비데이터 '!$C$20:$T$1000,5,0)</f>
        <v>#N/A</v>
      </c>
      <c r="H396" s="58" t="e">
        <f>VLOOKUP($C396,'Daily_BU설비데이터 '!$C$20:$T$1000,6,0)</f>
        <v>#N/A</v>
      </c>
      <c r="I396" s="58" t="e">
        <f>VLOOKUP($C396,'Daily_BU설비데이터 '!$C$20:$T$1000,7,0)</f>
        <v>#N/A</v>
      </c>
      <c r="J396" s="58" t="e">
        <f>VLOOKUP($C396,'Daily_BU설비데이터 '!$C$20:$T$1000,8,0)</f>
        <v>#N/A</v>
      </c>
      <c r="K396" s="58" t="e">
        <f>VLOOKUP($C396,'Daily_BU설비데이터 '!$C$20:$T$1000,9,0)</f>
        <v>#N/A</v>
      </c>
      <c r="L396" s="59" t="e">
        <f t="shared" si="47"/>
        <v>#N/A</v>
      </c>
      <c r="M396" s="68" t="e">
        <f>VLOOKUP($C396,'Daily_BU설비데이터 '!$C$20:$T$1000,11,0)</f>
        <v>#N/A</v>
      </c>
      <c r="N396" s="68" t="e">
        <f>VLOOKUP($C396,'Daily_BU설비데이터 '!$C$20:$T$1000,12,0)</f>
        <v>#N/A</v>
      </c>
      <c r="O396" s="68" t="e">
        <f>VLOOKUP($C396,'Daily_BU설비데이터 '!$C$20:$T$1000,13,0)</f>
        <v>#N/A</v>
      </c>
      <c r="P396" s="68" t="e">
        <f>VLOOKUP($C396,'Daily_BU설비데이터 '!$C$20:$T$1000,14,0)</f>
        <v>#N/A</v>
      </c>
      <c r="Q396" s="99" t="e">
        <f t="shared" si="48"/>
        <v>#N/A</v>
      </c>
      <c r="R396" s="100" t="e">
        <f t="shared" si="49"/>
        <v>#N/A</v>
      </c>
      <c r="S396" s="83" t="e">
        <f>VLOOKUP($C396,'Daily_BU설비데이터 '!$C$20:$T$1000,17,0)</f>
        <v>#N/A</v>
      </c>
      <c r="T396" s="83" t="e">
        <f>VLOOKUP($C396,'Daily_BU설비데이터 '!$C$20:$T$1000,18,0)</f>
        <v>#N/A</v>
      </c>
      <c r="U396" s="101" t="e">
        <f t="shared" si="50"/>
        <v>#N/A</v>
      </c>
      <c r="V396" s="45"/>
      <c r="W396" s="45"/>
      <c r="X396" s="45"/>
      <c r="Y396" s="45"/>
      <c r="Z396" s="45"/>
      <c r="AA396" s="45"/>
    </row>
    <row r="397" spans="2:27" x14ac:dyDescent="0.45">
      <c r="B397" s="45" t="s">
        <v>203</v>
      </c>
      <c r="C397" s="90"/>
      <c r="D397" s="56"/>
      <c r="E397" s="84"/>
      <c r="F397" s="58" t="e">
        <f>VLOOKUP($C397,'Daily_BU설비데이터 '!$C$20:$T$1000,4,0)</f>
        <v>#N/A</v>
      </c>
      <c r="G397" s="58" t="e">
        <f>VLOOKUP($C397,'Daily_BU설비데이터 '!$C$20:$T$1000,5,0)</f>
        <v>#N/A</v>
      </c>
      <c r="H397" s="58" t="e">
        <f>VLOOKUP($C397,'Daily_BU설비데이터 '!$C$20:$T$1000,6,0)</f>
        <v>#N/A</v>
      </c>
      <c r="I397" s="58" t="e">
        <f>VLOOKUP($C397,'Daily_BU설비데이터 '!$C$20:$T$1000,7,0)</f>
        <v>#N/A</v>
      </c>
      <c r="J397" s="58" t="e">
        <f>VLOOKUP($C397,'Daily_BU설비데이터 '!$C$20:$T$1000,8,0)</f>
        <v>#N/A</v>
      </c>
      <c r="K397" s="58" t="e">
        <f>VLOOKUP($C397,'Daily_BU설비데이터 '!$C$20:$T$1000,9,0)</f>
        <v>#N/A</v>
      </c>
      <c r="L397" s="59" t="e">
        <f t="shared" si="47"/>
        <v>#N/A</v>
      </c>
      <c r="M397" s="68" t="e">
        <f>VLOOKUP($C397,'Daily_BU설비데이터 '!$C$20:$T$1000,11,0)</f>
        <v>#N/A</v>
      </c>
      <c r="N397" s="68" t="e">
        <f>VLOOKUP($C397,'Daily_BU설비데이터 '!$C$20:$T$1000,12,0)</f>
        <v>#N/A</v>
      </c>
      <c r="O397" s="68" t="e">
        <f>VLOOKUP($C397,'Daily_BU설비데이터 '!$C$20:$T$1000,13,0)</f>
        <v>#N/A</v>
      </c>
      <c r="P397" s="68" t="e">
        <f>VLOOKUP($C397,'Daily_BU설비데이터 '!$C$20:$T$1000,14,0)</f>
        <v>#N/A</v>
      </c>
      <c r="Q397" s="99" t="e">
        <f t="shared" si="48"/>
        <v>#N/A</v>
      </c>
      <c r="R397" s="100" t="e">
        <f t="shared" si="49"/>
        <v>#N/A</v>
      </c>
      <c r="S397" s="83" t="e">
        <f>VLOOKUP($C397,'Daily_BU설비데이터 '!$C$20:$T$1000,17,0)</f>
        <v>#N/A</v>
      </c>
      <c r="T397" s="83" t="e">
        <f>VLOOKUP($C397,'Daily_BU설비데이터 '!$C$20:$T$1000,18,0)</f>
        <v>#N/A</v>
      </c>
      <c r="U397" s="101" t="e">
        <f t="shared" si="50"/>
        <v>#N/A</v>
      </c>
      <c r="V397" s="45"/>
      <c r="W397" s="45"/>
      <c r="X397" s="45"/>
      <c r="Y397" s="45"/>
      <c r="Z397" s="45"/>
      <c r="AA397" s="45"/>
    </row>
    <row r="398" spans="2:27" x14ac:dyDescent="0.45">
      <c r="B398" s="45" t="s">
        <v>204</v>
      </c>
      <c r="C398" s="90"/>
      <c r="D398" s="56"/>
      <c r="E398" s="57"/>
      <c r="F398" s="58" t="e">
        <f>VLOOKUP($C398,'Daily_BU설비데이터 '!$C$20:$T$1000,4,0)</f>
        <v>#N/A</v>
      </c>
      <c r="G398" s="58" t="e">
        <f>VLOOKUP($C398,'Daily_BU설비데이터 '!$C$20:$T$1000,5,0)</f>
        <v>#N/A</v>
      </c>
      <c r="H398" s="58" t="e">
        <f>VLOOKUP($C398,'Daily_BU설비데이터 '!$C$20:$T$1000,6,0)</f>
        <v>#N/A</v>
      </c>
      <c r="I398" s="58" t="e">
        <f>VLOOKUP($C398,'Daily_BU설비데이터 '!$C$20:$T$1000,7,0)</f>
        <v>#N/A</v>
      </c>
      <c r="J398" s="58" t="e">
        <f>VLOOKUP($C398,'Daily_BU설비데이터 '!$C$20:$T$1000,8,0)</f>
        <v>#N/A</v>
      </c>
      <c r="K398" s="58" t="e">
        <f>VLOOKUP($C398,'Daily_BU설비데이터 '!$C$20:$T$1000,9,0)</f>
        <v>#N/A</v>
      </c>
      <c r="L398" s="59" t="e">
        <f t="shared" si="47"/>
        <v>#N/A</v>
      </c>
      <c r="M398" s="68" t="e">
        <f>VLOOKUP($C398,'Daily_BU설비데이터 '!$C$20:$T$1000,11,0)</f>
        <v>#N/A</v>
      </c>
      <c r="N398" s="68" t="e">
        <f>VLOOKUP($C398,'Daily_BU설비데이터 '!$C$20:$T$1000,12,0)</f>
        <v>#N/A</v>
      </c>
      <c r="O398" s="68" t="e">
        <f>VLOOKUP($C398,'Daily_BU설비데이터 '!$C$20:$T$1000,13,0)</f>
        <v>#N/A</v>
      </c>
      <c r="P398" s="68" t="e">
        <f>VLOOKUP($C398,'Daily_BU설비데이터 '!$C$20:$T$1000,14,0)</f>
        <v>#N/A</v>
      </c>
      <c r="Q398" s="99" t="e">
        <f t="shared" si="48"/>
        <v>#N/A</v>
      </c>
      <c r="R398" s="100" t="e">
        <f t="shared" si="49"/>
        <v>#N/A</v>
      </c>
      <c r="S398" s="83" t="e">
        <f>VLOOKUP($C398,'Daily_BU설비데이터 '!$C$20:$T$1000,17,0)</f>
        <v>#N/A</v>
      </c>
      <c r="T398" s="83" t="e">
        <f>VLOOKUP($C398,'Daily_BU설비데이터 '!$C$20:$T$1000,18,0)</f>
        <v>#N/A</v>
      </c>
      <c r="U398" s="101" t="e">
        <f t="shared" si="50"/>
        <v>#N/A</v>
      </c>
      <c r="V398" s="45"/>
      <c r="W398" s="45"/>
      <c r="X398" s="45"/>
      <c r="Y398" s="45"/>
      <c r="Z398" s="45"/>
      <c r="AA398" s="45"/>
    </row>
    <row r="399" spans="2:27" x14ac:dyDescent="0.45">
      <c r="B399" s="45" t="s">
        <v>205</v>
      </c>
      <c r="C399" s="90"/>
      <c r="D399" s="56"/>
      <c r="E399" s="80"/>
      <c r="F399" s="58" t="e">
        <f>VLOOKUP($C399,'Daily_BU설비데이터 '!$C$20:$T$1000,4,0)</f>
        <v>#N/A</v>
      </c>
      <c r="G399" s="58" t="e">
        <f>VLOOKUP($C399,'Daily_BU설비데이터 '!$C$20:$T$1000,5,0)</f>
        <v>#N/A</v>
      </c>
      <c r="H399" s="58" t="e">
        <f>VLOOKUP($C399,'Daily_BU설비데이터 '!$C$20:$T$1000,6,0)</f>
        <v>#N/A</v>
      </c>
      <c r="I399" s="58" t="e">
        <f>VLOOKUP($C399,'Daily_BU설비데이터 '!$C$20:$T$1000,7,0)</f>
        <v>#N/A</v>
      </c>
      <c r="J399" s="58" t="e">
        <f>VLOOKUP($C399,'Daily_BU설비데이터 '!$C$20:$T$1000,8,0)</f>
        <v>#N/A</v>
      </c>
      <c r="K399" s="58" t="e">
        <f>VLOOKUP($C399,'Daily_BU설비데이터 '!$C$20:$T$1000,9,0)</f>
        <v>#N/A</v>
      </c>
      <c r="L399" s="59" t="e">
        <f t="shared" si="47"/>
        <v>#N/A</v>
      </c>
      <c r="M399" s="68" t="e">
        <f>VLOOKUP($C399,'Daily_BU설비데이터 '!$C$20:$T$1000,11,0)</f>
        <v>#N/A</v>
      </c>
      <c r="N399" s="68" t="e">
        <f>VLOOKUP($C399,'Daily_BU설비데이터 '!$C$20:$T$1000,12,0)</f>
        <v>#N/A</v>
      </c>
      <c r="O399" s="68" t="e">
        <f>VLOOKUP($C399,'Daily_BU설비데이터 '!$C$20:$T$1000,13,0)</f>
        <v>#N/A</v>
      </c>
      <c r="P399" s="68" t="e">
        <f>VLOOKUP($C399,'Daily_BU설비데이터 '!$C$20:$T$1000,14,0)</f>
        <v>#N/A</v>
      </c>
      <c r="Q399" s="99" t="e">
        <f t="shared" si="48"/>
        <v>#N/A</v>
      </c>
      <c r="R399" s="100" t="e">
        <f t="shared" si="49"/>
        <v>#N/A</v>
      </c>
      <c r="S399" s="83" t="e">
        <f>VLOOKUP($C399,'Daily_BU설비데이터 '!$C$20:$T$1000,17,0)</f>
        <v>#N/A</v>
      </c>
      <c r="T399" s="83" t="e">
        <f>VLOOKUP($C399,'Daily_BU설비데이터 '!$C$20:$T$1000,18,0)</f>
        <v>#N/A</v>
      </c>
      <c r="U399" s="101" t="e">
        <f t="shared" si="50"/>
        <v>#N/A</v>
      </c>
      <c r="V399" s="45"/>
      <c r="W399" s="45"/>
      <c r="X399" s="45"/>
      <c r="Y399" s="45"/>
      <c r="Z399" s="45"/>
      <c r="AA399" s="45"/>
    </row>
    <row r="400" spans="2:27" x14ac:dyDescent="0.45">
      <c r="B400" s="45" t="s">
        <v>206</v>
      </c>
      <c r="C400" s="90"/>
      <c r="D400" s="56"/>
      <c r="E400" s="84"/>
      <c r="F400" s="58" t="e">
        <f>VLOOKUP($C400,'Daily_BU설비데이터 '!$C$20:$T$1000,4,0)</f>
        <v>#N/A</v>
      </c>
      <c r="G400" s="58" t="e">
        <f>VLOOKUP($C400,'Daily_BU설비데이터 '!$C$20:$T$1000,5,0)</f>
        <v>#N/A</v>
      </c>
      <c r="H400" s="58" t="e">
        <f>VLOOKUP($C400,'Daily_BU설비데이터 '!$C$20:$T$1000,6,0)</f>
        <v>#N/A</v>
      </c>
      <c r="I400" s="58" t="e">
        <f>VLOOKUP($C400,'Daily_BU설비데이터 '!$C$20:$T$1000,7,0)</f>
        <v>#N/A</v>
      </c>
      <c r="J400" s="58" t="e">
        <f>VLOOKUP($C400,'Daily_BU설비데이터 '!$C$20:$T$1000,8,0)</f>
        <v>#N/A</v>
      </c>
      <c r="K400" s="58" t="e">
        <f>VLOOKUP($C400,'Daily_BU설비데이터 '!$C$20:$T$1000,9,0)</f>
        <v>#N/A</v>
      </c>
      <c r="L400" s="59" t="e">
        <f t="shared" si="47"/>
        <v>#N/A</v>
      </c>
      <c r="M400" s="68" t="e">
        <f>VLOOKUP($C400,'Daily_BU설비데이터 '!$C$20:$T$1000,11,0)</f>
        <v>#N/A</v>
      </c>
      <c r="N400" s="68" t="e">
        <f>VLOOKUP($C400,'Daily_BU설비데이터 '!$C$20:$T$1000,12,0)</f>
        <v>#N/A</v>
      </c>
      <c r="O400" s="68" t="e">
        <f>VLOOKUP($C400,'Daily_BU설비데이터 '!$C$20:$T$1000,13,0)</f>
        <v>#N/A</v>
      </c>
      <c r="P400" s="68" t="e">
        <f>VLOOKUP($C400,'Daily_BU설비데이터 '!$C$20:$T$1000,14,0)</f>
        <v>#N/A</v>
      </c>
      <c r="Q400" s="99" t="e">
        <f t="shared" si="48"/>
        <v>#N/A</v>
      </c>
      <c r="R400" s="100" t="e">
        <f t="shared" si="49"/>
        <v>#N/A</v>
      </c>
      <c r="S400" s="83" t="e">
        <f>VLOOKUP($C400,'Daily_BU설비데이터 '!$C$20:$T$1000,17,0)</f>
        <v>#N/A</v>
      </c>
      <c r="T400" s="83" t="e">
        <f>VLOOKUP($C400,'Daily_BU설비데이터 '!$C$20:$T$1000,18,0)</f>
        <v>#N/A</v>
      </c>
      <c r="U400" s="101" t="e">
        <f t="shared" si="50"/>
        <v>#N/A</v>
      </c>
      <c r="V400" s="45"/>
      <c r="W400" s="45"/>
      <c r="X400" s="45"/>
      <c r="Y400" s="45"/>
      <c r="Z400" s="45"/>
      <c r="AA400" s="45"/>
    </row>
    <row r="401" spans="2:27" x14ac:dyDescent="0.45">
      <c r="B401" s="45" t="s">
        <v>207</v>
      </c>
      <c r="C401" s="90"/>
      <c r="D401" s="56"/>
      <c r="E401" s="57"/>
      <c r="F401" s="58" t="e">
        <f>VLOOKUP($C401,'Daily_BU설비데이터 '!$C$20:$T$1000,4,0)</f>
        <v>#N/A</v>
      </c>
      <c r="G401" s="58" t="e">
        <f>VLOOKUP($C401,'Daily_BU설비데이터 '!$C$20:$T$1000,5,0)</f>
        <v>#N/A</v>
      </c>
      <c r="H401" s="58" t="e">
        <f>VLOOKUP($C401,'Daily_BU설비데이터 '!$C$20:$T$1000,6,0)</f>
        <v>#N/A</v>
      </c>
      <c r="I401" s="58" t="e">
        <f>VLOOKUP($C401,'Daily_BU설비데이터 '!$C$20:$T$1000,7,0)</f>
        <v>#N/A</v>
      </c>
      <c r="J401" s="58" t="e">
        <f>VLOOKUP($C401,'Daily_BU설비데이터 '!$C$20:$T$1000,8,0)</f>
        <v>#N/A</v>
      </c>
      <c r="K401" s="58" t="e">
        <f>VLOOKUP($C401,'Daily_BU설비데이터 '!$C$20:$T$1000,9,0)</f>
        <v>#N/A</v>
      </c>
      <c r="L401" s="59" t="e">
        <f t="shared" si="47"/>
        <v>#N/A</v>
      </c>
      <c r="M401" s="68" t="e">
        <f>VLOOKUP($C401,'Daily_BU설비데이터 '!$C$20:$T$1000,11,0)</f>
        <v>#N/A</v>
      </c>
      <c r="N401" s="68" t="e">
        <f>VLOOKUP($C401,'Daily_BU설비데이터 '!$C$20:$T$1000,12,0)</f>
        <v>#N/A</v>
      </c>
      <c r="O401" s="68" t="e">
        <f>VLOOKUP($C401,'Daily_BU설비데이터 '!$C$20:$T$1000,13,0)</f>
        <v>#N/A</v>
      </c>
      <c r="P401" s="68" t="e">
        <f>VLOOKUP($C401,'Daily_BU설비데이터 '!$C$20:$T$1000,14,0)</f>
        <v>#N/A</v>
      </c>
      <c r="Q401" s="99" t="e">
        <f t="shared" si="48"/>
        <v>#N/A</v>
      </c>
      <c r="R401" s="100" t="e">
        <f t="shared" si="49"/>
        <v>#N/A</v>
      </c>
      <c r="S401" s="83" t="e">
        <f>VLOOKUP($C401,'Daily_BU설비데이터 '!$C$20:$T$1000,17,0)</f>
        <v>#N/A</v>
      </c>
      <c r="T401" s="83" t="e">
        <f>VLOOKUP($C401,'Daily_BU설비데이터 '!$C$20:$T$1000,18,0)</f>
        <v>#N/A</v>
      </c>
      <c r="U401" s="101" t="e">
        <f t="shared" si="50"/>
        <v>#N/A</v>
      </c>
      <c r="V401" s="45"/>
      <c r="W401" s="45"/>
      <c r="X401" s="45"/>
      <c r="Y401" s="45"/>
      <c r="Z401" s="45"/>
      <c r="AA401" s="45"/>
    </row>
    <row r="402" spans="2:27" x14ac:dyDescent="0.45">
      <c r="B402" s="45" t="s">
        <v>208</v>
      </c>
      <c r="C402" s="90"/>
      <c r="D402" s="56"/>
      <c r="E402" s="80"/>
      <c r="F402" s="58" t="e">
        <f>VLOOKUP($C402,'Daily_BU설비데이터 '!$C$20:$T$1000,4,0)</f>
        <v>#N/A</v>
      </c>
      <c r="G402" s="58" t="e">
        <f>VLOOKUP($C402,'Daily_BU설비데이터 '!$C$20:$T$1000,5,0)</f>
        <v>#N/A</v>
      </c>
      <c r="H402" s="58" t="e">
        <f>VLOOKUP($C402,'Daily_BU설비데이터 '!$C$20:$T$1000,6,0)</f>
        <v>#N/A</v>
      </c>
      <c r="I402" s="58" t="e">
        <f>VLOOKUP($C402,'Daily_BU설비데이터 '!$C$20:$T$1000,7,0)</f>
        <v>#N/A</v>
      </c>
      <c r="J402" s="58" t="e">
        <f>VLOOKUP($C402,'Daily_BU설비데이터 '!$C$20:$T$1000,8,0)</f>
        <v>#N/A</v>
      </c>
      <c r="K402" s="58" t="e">
        <f>VLOOKUP($C402,'Daily_BU설비데이터 '!$C$20:$T$1000,9,0)</f>
        <v>#N/A</v>
      </c>
      <c r="L402" s="59" t="e">
        <f t="shared" ref="L402:L465" si="51">1/2*((F402*I402+H402*K402+J402*G402)-(G402*H402+I402*J402+K402*F402))/0.1582*100</f>
        <v>#N/A</v>
      </c>
      <c r="M402" s="68" t="e">
        <f>VLOOKUP($C402,'Daily_BU설비데이터 '!$C$20:$T$1000,11,0)</f>
        <v>#N/A</v>
      </c>
      <c r="N402" s="68" t="e">
        <f>VLOOKUP($C402,'Daily_BU설비데이터 '!$C$20:$T$1000,12,0)</f>
        <v>#N/A</v>
      </c>
      <c r="O402" s="68" t="e">
        <f>VLOOKUP($C402,'Daily_BU설비데이터 '!$C$20:$T$1000,13,0)</f>
        <v>#N/A</v>
      </c>
      <c r="P402" s="68" t="e">
        <f>VLOOKUP($C402,'Daily_BU설비데이터 '!$C$20:$T$1000,14,0)</f>
        <v>#N/A</v>
      </c>
      <c r="Q402" s="99" t="e">
        <f t="shared" ref="Q402:Q465" si="52">O402/P402</f>
        <v>#N/A</v>
      </c>
      <c r="R402" s="100" t="e">
        <f t="shared" ref="R402:R465" si="53">SQRT(POWER(M402-$M$12,2)+POWER(N402-$N$12,2))</f>
        <v>#N/A</v>
      </c>
      <c r="S402" s="83" t="e">
        <f>VLOOKUP($C402,'Daily_BU설비데이터 '!$C$20:$T$1000,17,0)</f>
        <v>#N/A</v>
      </c>
      <c r="T402" s="83" t="e">
        <f>VLOOKUP($C402,'Daily_BU설비데이터 '!$C$20:$T$1000,18,0)</f>
        <v>#N/A</v>
      </c>
      <c r="U402" s="101" t="e">
        <f t="shared" ref="U402:U465" si="54">(-449*((M402-0.332)/(N402-0.1858))^3)+(3525*((M402-0.332)/(N402-0.1858))^2)+(-6823.3*(M402-0.332)/(N402-0.1858))+5520.33</f>
        <v>#N/A</v>
      </c>
      <c r="V402" s="45"/>
      <c r="W402" s="45"/>
      <c r="X402" s="45"/>
      <c r="Y402" s="45"/>
      <c r="Z402" s="45"/>
      <c r="AA402" s="45"/>
    </row>
    <row r="403" spans="2:27" x14ac:dyDescent="0.45">
      <c r="B403" s="45" t="s">
        <v>209</v>
      </c>
      <c r="C403" s="90"/>
      <c r="D403" s="56"/>
      <c r="E403" s="84"/>
      <c r="F403" s="58" t="e">
        <f>VLOOKUP($C403,'Daily_BU설비데이터 '!$C$20:$T$1000,4,0)</f>
        <v>#N/A</v>
      </c>
      <c r="G403" s="58" t="e">
        <f>VLOOKUP($C403,'Daily_BU설비데이터 '!$C$20:$T$1000,5,0)</f>
        <v>#N/A</v>
      </c>
      <c r="H403" s="58" t="e">
        <f>VLOOKUP($C403,'Daily_BU설비데이터 '!$C$20:$T$1000,6,0)</f>
        <v>#N/A</v>
      </c>
      <c r="I403" s="58" t="e">
        <f>VLOOKUP($C403,'Daily_BU설비데이터 '!$C$20:$T$1000,7,0)</f>
        <v>#N/A</v>
      </c>
      <c r="J403" s="58" t="e">
        <f>VLOOKUP($C403,'Daily_BU설비데이터 '!$C$20:$T$1000,8,0)</f>
        <v>#N/A</v>
      </c>
      <c r="K403" s="58" t="e">
        <f>VLOOKUP($C403,'Daily_BU설비데이터 '!$C$20:$T$1000,9,0)</f>
        <v>#N/A</v>
      </c>
      <c r="L403" s="59" t="e">
        <f t="shared" si="51"/>
        <v>#N/A</v>
      </c>
      <c r="M403" s="68" t="e">
        <f>VLOOKUP($C403,'Daily_BU설비데이터 '!$C$20:$T$1000,11,0)</f>
        <v>#N/A</v>
      </c>
      <c r="N403" s="68" t="e">
        <f>VLOOKUP($C403,'Daily_BU설비데이터 '!$C$20:$T$1000,12,0)</f>
        <v>#N/A</v>
      </c>
      <c r="O403" s="68" t="e">
        <f>VLOOKUP($C403,'Daily_BU설비데이터 '!$C$20:$T$1000,13,0)</f>
        <v>#N/A</v>
      </c>
      <c r="P403" s="68" t="e">
        <f>VLOOKUP($C403,'Daily_BU설비데이터 '!$C$20:$T$1000,14,0)</f>
        <v>#N/A</v>
      </c>
      <c r="Q403" s="99" t="e">
        <f t="shared" si="52"/>
        <v>#N/A</v>
      </c>
      <c r="R403" s="100" t="e">
        <f t="shared" si="53"/>
        <v>#N/A</v>
      </c>
      <c r="S403" s="83" t="e">
        <f>VLOOKUP($C403,'Daily_BU설비데이터 '!$C$20:$T$1000,17,0)</f>
        <v>#N/A</v>
      </c>
      <c r="T403" s="83" t="e">
        <f>VLOOKUP($C403,'Daily_BU설비데이터 '!$C$20:$T$1000,18,0)</f>
        <v>#N/A</v>
      </c>
      <c r="U403" s="101" t="e">
        <f t="shared" si="54"/>
        <v>#N/A</v>
      </c>
      <c r="V403" s="45"/>
      <c r="W403" s="45"/>
      <c r="X403" s="45"/>
      <c r="Y403" s="45"/>
      <c r="Z403" s="45"/>
      <c r="AA403" s="45"/>
    </row>
    <row r="404" spans="2:27" x14ac:dyDescent="0.45">
      <c r="B404" s="45" t="s">
        <v>210</v>
      </c>
      <c r="C404" s="90"/>
      <c r="D404" s="56"/>
      <c r="E404" s="57"/>
      <c r="F404" s="58" t="e">
        <f>VLOOKUP($C404,'Daily_BU설비데이터 '!$C$20:$T$1000,4,0)</f>
        <v>#N/A</v>
      </c>
      <c r="G404" s="58" t="e">
        <f>VLOOKUP($C404,'Daily_BU설비데이터 '!$C$20:$T$1000,5,0)</f>
        <v>#N/A</v>
      </c>
      <c r="H404" s="58" t="e">
        <f>VLOOKUP($C404,'Daily_BU설비데이터 '!$C$20:$T$1000,6,0)</f>
        <v>#N/A</v>
      </c>
      <c r="I404" s="58" t="e">
        <f>VLOOKUP($C404,'Daily_BU설비데이터 '!$C$20:$T$1000,7,0)</f>
        <v>#N/A</v>
      </c>
      <c r="J404" s="58" t="e">
        <f>VLOOKUP($C404,'Daily_BU설비데이터 '!$C$20:$T$1000,8,0)</f>
        <v>#N/A</v>
      </c>
      <c r="K404" s="58" t="e">
        <f>VLOOKUP($C404,'Daily_BU설비데이터 '!$C$20:$T$1000,9,0)</f>
        <v>#N/A</v>
      </c>
      <c r="L404" s="59" t="e">
        <f t="shared" si="51"/>
        <v>#N/A</v>
      </c>
      <c r="M404" s="68" t="e">
        <f>VLOOKUP($C404,'Daily_BU설비데이터 '!$C$20:$T$1000,11,0)</f>
        <v>#N/A</v>
      </c>
      <c r="N404" s="68" t="e">
        <f>VLOOKUP($C404,'Daily_BU설비데이터 '!$C$20:$T$1000,12,0)</f>
        <v>#N/A</v>
      </c>
      <c r="O404" s="68" t="e">
        <f>VLOOKUP($C404,'Daily_BU설비데이터 '!$C$20:$T$1000,13,0)</f>
        <v>#N/A</v>
      </c>
      <c r="P404" s="68" t="e">
        <f>VLOOKUP($C404,'Daily_BU설비데이터 '!$C$20:$T$1000,14,0)</f>
        <v>#N/A</v>
      </c>
      <c r="Q404" s="99" t="e">
        <f t="shared" si="52"/>
        <v>#N/A</v>
      </c>
      <c r="R404" s="100" t="e">
        <f t="shared" si="53"/>
        <v>#N/A</v>
      </c>
      <c r="S404" s="83" t="e">
        <f>VLOOKUP($C404,'Daily_BU설비데이터 '!$C$20:$T$1000,17,0)</f>
        <v>#N/A</v>
      </c>
      <c r="T404" s="83" t="e">
        <f>VLOOKUP($C404,'Daily_BU설비데이터 '!$C$20:$T$1000,18,0)</f>
        <v>#N/A</v>
      </c>
      <c r="U404" s="101" t="e">
        <f t="shared" si="54"/>
        <v>#N/A</v>
      </c>
      <c r="V404" s="45"/>
      <c r="W404" s="45"/>
      <c r="X404" s="45"/>
      <c r="Y404" s="45"/>
      <c r="Z404" s="45"/>
      <c r="AA404" s="45"/>
    </row>
    <row r="405" spans="2:27" x14ac:dyDescent="0.45">
      <c r="B405" s="45" t="s">
        <v>211</v>
      </c>
      <c r="C405" s="90"/>
      <c r="D405" s="56"/>
      <c r="E405" s="80"/>
      <c r="F405" s="58" t="e">
        <f>VLOOKUP($C405,'Daily_BU설비데이터 '!$C$20:$T$1000,4,0)</f>
        <v>#N/A</v>
      </c>
      <c r="G405" s="58" t="e">
        <f>VLOOKUP($C405,'Daily_BU설비데이터 '!$C$20:$T$1000,5,0)</f>
        <v>#N/A</v>
      </c>
      <c r="H405" s="58" t="e">
        <f>VLOOKUP($C405,'Daily_BU설비데이터 '!$C$20:$T$1000,6,0)</f>
        <v>#N/A</v>
      </c>
      <c r="I405" s="58" t="e">
        <f>VLOOKUP($C405,'Daily_BU설비데이터 '!$C$20:$T$1000,7,0)</f>
        <v>#N/A</v>
      </c>
      <c r="J405" s="58" t="e">
        <f>VLOOKUP($C405,'Daily_BU설비데이터 '!$C$20:$T$1000,8,0)</f>
        <v>#N/A</v>
      </c>
      <c r="K405" s="58" t="e">
        <f>VLOOKUP($C405,'Daily_BU설비데이터 '!$C$20:$T$1000,9,0)</f>
        <v>#N/A</v>
      </c>
      <c r="L405" s="59" t="e">
        <f t="shared" si="51"/>
        <v>#N/A</v>
      </c>
      <c r="M405" s="68" t="e">
        <f>VLOOKUP($C405,'Daily_BU설비데이터 '!$C$20:$T$1000,11,0)</f>
        <v>#N/A</v>
      </c>
      <c r="N405" s="68" t="e">
        <f>VLOOKUP($C405,'Daily_BU설비데이터 '!$C$20:$T$1000,12,0)</f>
        <v>#N/A</v>
      </c>
      <c r="O405" s="68" t="e">
        <f>VLOOKUP($C405,'Daily_BU설비데이터 '!$C$20:$T$1000,13,0)</f>
        <v>#N/A</v>
      </c>
      <c r="P405" s="68" t="e">
        <f>VLOOKUP($C405,'Daily_BU설비데이터 '!$C$20:$T$1000,14,0)</f>
        <v>#N/A</v>
      </c>
      <c r="Q405" s="99" t="e">
        <f t="shared" si="52"/>
        <v>#N/A</v>
      </c>
      <c r="R405" s="100" t="e">
        <f t="shared" si="53"/>
        <v>#N/A</v>
      </c>
      <c r="S405" s="83" t="e">
        <f>VLOOKUP($C405,'Daily_BU설비데이터 '!$C$20:$T$1000,17,0)</f>
        <v>#N/A</v>
      </c>
      <c r="T405" s="83" t="e">
        <f>VLOOKUP($C405,'Daily_BU설비데이터 '!$C$20:$T$1000,18,0)</f>
        <v>#N/A</v>
      </c>
      <c r="U405" s="101" t="e">
        <f t="shared" si="54"/>
        <v>#N/A</v>
      </c>
      <c r="V405" s="45"/>
      <c r="W405" s="45"/>
      <c r="X405" s="45"/>
      <c r="Y405" s="45"/>
      <c r="Z405" s="45"/>
      <c r="AA405" s="45"/>
    </row>
    <row r="406" spans="2:27" x14ac:dyDescent="0.45">
      <c r="B406" s="45" t="s">
        <v>212</v>
      </c>
      <c r="C406" s="90"/>
      <c r="D406" s="56"/>
      <c r="E406" s="84"/>
      <c r="F406" s="58" t="e">
        <f>VLOOKUP($C406,'Daily_BU설비데이터 '!$C$20:$T$1000,4,0)</f>
        <v>#N/A</v>
      </c>
      <c r="G406" s="58" t="e">
        <f>VLOOKUP($C406,'Daily_BU설비데이터 '!$C$20:$T$1000,5,0)</f>
        <v>#N/A</v>
      </c>
      <c r="H406" s="58" t="e">
        <f>VLOOKUP($C406,'Daily_BU설비데이터 '!$C$20:$T$1000,6,0)</f>
        <v>#N/A</v>
      </c>
      <c r="I406" s="58" t="e">
        <f>VLOOKUP($C406,'Daily_BU설비데이터 '!$C$20:$T$1000,7,0)</f>
        <v>#N/A</v>
      </c>
      <c r="J406" s="58" t="e">
        <f>VLOOKUP($C406,'Daily_BU설비데이터 '!$C$20:$T$1000,8,0)</f>
        <v>#N/A</v>
      </c>
      <c r="K406" s="58" t="e">
        <f>VLOOKUP($C406,'Daily_BU설비데이터 '!$C$20:$T$1000,9,0)</f>
        <v>#N/A</v>
      </c>
      <c r="L406" s="59" t="e">
        <f t="shared" si="51"/>
        <v>#N/A</v>
      </c>
      <c r="M406" s="68" t="e">
        <f>VLOOKUP($C406,'Daily_BU설비데이터 '!$C$20:$T$1000,11,0)</f>
        <v>#N/A</v>
      </c>
      <c r="N406" s="68" t="e">
        <f>VLOOKUP($C406,'Daily_BU설비데이터 '!$C$20:$T$1000,12,0)</f>
        <v>#N/A</v>
      </c>
      <c r="O406" s="68" t="e">
        <f>VLOOKUP($C406,'Daily_BU설비데이터 '!$C$20:$T$1000,13,0)</f>
        <v>#N/A</v>
      </c>
      <c r="P406" s="68" t="e">
        <f>VLOOKUP($C406,'Daily_BU설비데이터 '!$C$20:$T$1000,14,0)</f>
        <v>#N/A</v>
      </c>
      <c r="Q406" s="99" t="e">
        <f t="shared" si="52"/>
        <v>#N/A</v>
      </c>
      <c r="R406" s="100" t="e">
        <f t="shared" si="53"/>
        <v>#N/A</v>
      </c>
      <c r="S406" s="83" t="e">
        <f>VLOOKUP($C406,'Daily_BU설비데이터 '!$C$20:$T$1000,17,0)</f>
        <v>#N/A</v>
      </c>
      <c r="T406" s="83" t="e">
        <f>VLOOKUP($C406,'Daily_BU설비데이터 '!$C$20:$T$1000,18,0)</f>
        <v>#N/A</v>
      </c>
      <c r="U406" s="101" t="e">
        <f t="shared" si="54"/>
        <v>#N/A</v>
      </c>
      <c r="V406" s="45"/>
      <c r="W406" s="45"/>
      <c r="X406" s="45"/>
      <c r="Y406" s="45"/>
      <c r="Z406" s="45"/>
      <c r="AA406" s="45"/>
    </row>
    <row r="407" spans="2:27" x14ac:dyDescent="0.45">
      <c r="B407" s="45" t="s">
        <v>213</v>
      </c>
      <c r="C407" s="90"/>
      <c r="D407" s="56"/>
      <c r="E407" s="57"/>
      <c r="F407" s="58" t="e">
        <f>VLOOKUP($C407,'Daily_BU설비데이터 '!$C$20:$T$1000,4,0)</f>
        <v>#N/A</v>
      </c>
      <c r="G407" s="58" t="e">
        <f>VLOOKUP($C407,'Daily_BU설비데이터 '!$C$20:$T$1000,5,0)</f>
        <v>#N/A</v>
      </c>
      <c r="H407" s="58" t="e">
        <f>VLOOKUP($C407,'Daily_BU설비데이터 '!$C$20:$T$1000,6,0)</f>
        <v>#N/A</v>
      </c>
      <c r="I407" s="58" t="e">
        <f>VLOOKUP($C407,'Daily_BU설비데이터 '!$C$20:$T$1000,7,0)</f>
        <v>#N/A</v>
      </c>
      <c r="J407" s="58" t="e">
        <f>VLOOKUP($C407,'Daily_BU설비데이터 '!$C$20:$T$1000,8,0)</f>
        <v>#N/A</v>
      </c>
      <c r="K407" s="58" t="e">
        <f>VLOOKUP($C407,'Daily_BU설비데이터 '!$C$20:$T$1000,9,0)</f>
        <v>#N/A</v>
      </c>
      <c r="L407" s="59" t="e">
        <f t="shared" si="51"/>
        <v>#N/A</v>
      </c>
      <c r="M407" s="68" t="e">
        <f>VLOOKUP($C407,'Daily_BU설비데이터 '!$C$20:$T$1000,11,0)</f>
        <v>#N/A</v>
      </c>
      <c r="N407" s="68" t="e">
        <f>VLOOKUP($C407,'Daily_BU설비데이터 '!$C$20:$T$1000,12,0)</f>
        <v>#N/A</v>
      </c>
      <c r="O407" s="68" t="e">
        <f>VLOOKUP($C407,'Daily_BU설비데이터 '!$C$20:$T$1000,13,0)</f>
        <v>#N/A</v>
      </c>
      <c r="P407" s="68" t="e">
        <f>VLOOKUP($C407,'Daily_BU설비데이터 '!$C$20:$T$1000,14,0)</f>
        <v>#N/A</v>
      </c>
      <c r="Q407" s="99" t="e">
        <f t="shared" si="52"/>
        <v>#N/A</v>
      </c>
      <c r="R407" s="100" t="e">
        <f t="shared" si="53"/>
        <v>#N/A</v>
      </c>
      <c r="S407" s="83" t="e">
        <f>VLOOKUP($C407,'Daily_BU설비데이터 '!$C$20:$T$1000,17,0)</f>
        <v>#N/A</v>
      </c>
      <c r="T407" s="83" t="e">
        <f>VLOOKUP($C407,'Daily_BU설비데이터 '!$C$20:$T$1000,18,0)</f>
        <v>#N/A</v>
      </c>
      <c r="U407" s="101" t="e">
        <f t="shared" si="54"/>
        <v>#N/A</v>
      </c>
      <c r="V407" s="45"/>
      <c r="W407" s="45"/>
      <c r="X407" s="45"/>
      <c r="Y407" s="45"/>
      <c r="Z407" s="45"/>
      <c r="AA407" s="45"/>
    </row>
    <row r="408" spans="2:27" x14ac:dyDescent="0.45">
      <c r="B408" s="45" t="s">
        <v>214</v>
      </c>
      <c r="C408" s="90"/>
      <c r="D408" s="56"/>
      <c r="E408" s="80"/>
      <c r="F408" s="58" t="e">
        <f>VLOOKUP($C408,'Daily_BU설비데이터 '!$C$20:$T$1000,4,0)</f>
        <v>#N/A</v>
      </c>
      <c r="G408" s="58" t="e">
        <f>VLOOKUP($C408,'Daily_BU설비데이터 '!$C$20:$T$1000,5,0)</f>
        <v>#N/A</v>
      </c>
      <c r="H408" s="58" t="e">
        <f>VLOOKUP($C408,'Daily_BU설비데이터 '!$C$20:$T$1000,6,0)</f>
        <v>#N/A</v>
      </c>
      <c r="I408" s="58" t="e">
        <f>VLOOKUP($C408,'Daily_BU설비데이터 '!$C$20:$T$1000,7,0)</f>
        <v>#N/A</v>
      </c>
      <c r="J408" s="58" t="e">
        <f>VLOOKUP($C408,'Daily_BU설비데이터 '!$C$20:$T$1000,8,0)</f>
        <v>#N/A</v>
      </c>
      <c r="K408" s="58" t="e">
        <f>VLOOKUP($C408,'Daily_BU설비데이터 '!$C$20:$T$1000,9,0)</f>
        <v>#N/A</v>
      </c>
      <c r="L408" s="59" t="e">
        <f t="shared" si="51"/>
        <v>#N/A</v>
      </c>
      <c r="M408" s="68" t="e">
        <f>VLOOKUP($C408,'Daily_BU설비데이터 '!$C$20:$T$1000,11,0)</f>
        <v>#N/A</v>
      </c>
      <c r="N408" s="68" t="e">
        <f>VLOOKUP($C408,'Daily_BU설비데이터 '!$C$20:$T$1000,12,0)</f>
        <v>#N/A</v>
      </c>
      <c r="O408" s="68" t="e">
        <f>VLOOKUP($C408,'Daily_BU설비데이터 '!$C$20:$T$1000,13,0)</f>
        <v>#N/A</v>
      </c>
      <c r="P408" s="68" t="e">
        <f>VLOOKUP($C408,'Daily_BU설비데이터 '!$C$20:$T$1000,14,0)</f>
        <v>#N/A</v>
      </c>
      <c r="Q408" s="99" t="e">
        <f t="shared" si="52"/>
        <v>#N/A</v>
      </c>
      <c r="R408" s="100" t="e">
        <f t="shared" si="53"/>
        <v>#N/A</v>
      </c>
      <c r="S408" s="83" t="e">
        <f>VLOOKUP($C408,'Daily_BU설비데이터 '!$C$20:$T$1000,17,0)</f>
        <v>#N/A</v>
      </c>
      <c r="T408" s="83" t="e">
        <f>VLOOKUP($C408,'Daily_BU설비데이터 '!$C$20:$T$1000,18,0)</f>
        <v>#N/A</v>
      </c>
      <c r="U408" s="101" t="e">
        <f t="shared" si="54"/>
        <v>#N/A</v>
      </c>
      <c r="V408" s="45"/>
      <c r="W408" s="45"/>
      <c r="X408" s="45"/>
      <c r="Y408" s="45"/>
      <c r="Z408" s="45"/>
      <c r="AA408" s="45"/>
    </row>
    <row r="409" spans="2:27" x14ac:dyDescent="0.45">
      <c r="B409" s="45" t="s">
        <v>215</v>
      </c>
      <c r="C409" s="90"/>
      <c r="D409" s="56"/>
      <c r="E409" s="84"/>
      <c r="F409" s="58" t="e">
        <f>VLOOKUP($C409,'Daily_BU설비데이터 '!$C$20:$T$1000,4,0)</f>
        <v>#N/A</v>
      </c>
      <c r="G409" s="58" t="e">
        <f>VLOOKUP($C409,'Daily_BU설비데이터 '!$C$20:$T$1000,5,0)</f>
        <v>#N/A</v>
      </c>
      <c r="H409" s="58" t="e">
        <f>VLOOKUP($C409,'Daily_BU설비데이터 '!$C$20:$T$1000,6,0)</f>
        <v>#N/A</v>
      </c>
      <c r="I409" s="58" t="e">
        <f>VLOOKUP($C409,'Daily_BU설비데이터 '!$C$20:$T$1000,7,0)</f>
        <v>#N/A</v>
      </c>
      <c r="J409" s="58" t="e">
        <f>VLOOKUP($C409,'Daily_BU설비데이터 '!$C$20:$T$1000,8,0)</f>
        <v>#N/A</v>
      </c>
      <c r="K409" s="58" t="e">
        <f>VLOOKUP($C409,'Daily_BU설비데이터 '!$C$20:$T$1000,9,0)</f>
        <v>#N/A</v>
      </c>
      <c r="L409" s="59" t="e">
        <f t="shared" si="51"/>
        <v>#N/A</v>
      </c>
      <c r="M409" s="68" t="e">
        <f>VLOOKUP($C409,'Daily_BU설비데이터 '!$C$20:$T$1000,11,0)</f>
        <v>#N/A</v>
      </c>
      <c r="N409" s="68" t="e">
        <f>VLOOKUP($C409,'Daily_BU설비데이터 '!$C$20:$T$1000,12,0)</f>
        <v>#N/A</v>
      </c>
      <c r="O409" s="68" t="e">
        <f>VLOOKUP($C409,'Daily_BU설비데이터 '!$C$20:$T$1000,13,0)</f>
        <v>#N/A</v>
      </c>
      <c r="P409" s="68" t="e">
        <f>VLOOKUP($C409,'Daily_BU설비데이터 '!$C$20:$T$1000,14,0)</f>
        <v>#N/A</v>
      </c>
      <c r="Q409" s="99" t="e">
        <f t="shared" si="52"/>
        <v>#N/A</v>
      </c>
      <c r="R409" s="100" t="e">
        <f t="shared" si="53"/>
        <v>#N/A</v>
      </c>
      <c r="S409" s="83" t="e">
        <f>VLOOKUP($C409,'Daily_BU설비데이터 '!$C$20:$T$1000,17,0)</f>
        <v>#N/A</v>
      </c>
      <c r="T409" s="83" t="e">
        <f>VLOOKUP($C409,'Daily_BU설비데이터 '!$C$20:$T$1000,18,0)</f>
        <v>#N/A</v>
      </c>
      <c r="U409" s="101" t="e">
        <f t="shared" si="54"/>
        <v>#N/A</v>
      </c>
      <c r="V409" s="45"/>
      <c r="W409" s="45"/>
      <c r="X409" s="45"/>
      <c r="Y409" s="45"/>
      <c r="Z409" s="45"/>
      <c r="AA409" s="45"/>
    </row>
    <row r="410" spans="2:27" x14ac:dyDescent="0.45">
      <c r="B410" s="45" t="s">
        <v>216</v>
      </c>
      <c r="C410" s="90"/>
      <c r="D410" s="56"/>
      <c r="E410" s="57"/>
      <c r="F410" s="58" t="e">
        <f>VLOOKUP($C410,'Daily_BU설비데이터 '!$C$20:$T$1000,4,0)</f>
        <v>#N/A</v>
      </c>
      <c r="G410" s="58" t="e">
        <f>VLOOKUP($C410,'Daily_BU설비데이터 '!$C$20:$T$1000,5,0)</f>
        <v>#N/A</v>
      </c>
      <c r="H410" s="58" t="e">
        <f>VLOOKUP($C410,'Daily_BU설비데이터 '!$C$20:$T$1000,6,0)</f>
        <v>#N/A</v>
      </c>
      <c r="I410" s="58" t="e">
        <f>VLOOKUP($C410,'Daily_BU설비데이터 '!$C$20:$T$1000,7,0)</f>
        <v>#N/A</v>
      </c>
      <c r="J410" s="58" t="e">
        <f>VLOOKUP($C410,'Daily_BU설비데이터 '!$C$20:$T$1000,8,0)</f>
        <v>#N/A</v>
      </c>
      <c r="K410" s="58" t="e">
        <f>VLOOKUP($C410,'Daily_BU설비데이터 '!$C$20:$T$1000,9,0)</f>
        <v>#N/A</v>
      </c>
      <c r="L410" s="59" t="e">
        <f t="shared" si="51"/>
        <v>#N/A</v>
      </c>
      <c r="M410" s="68" t="e">
        <f>VLOOKUP($C410,'Daily_BU설비데이터 '!$C$20:$T$1000,11,0)</f>
        <v>#N/A</v>
      </c>
      <c r="N410" s="68" t="e">
        <f>VLOOKUP($C410,'Daily_BU설비데이터 '!$C$20:$T$1000,12,0)</f>
        <v>#N/A</v>
      </c>
      <c r="O410" s="68" t="e">
        <f>VLOOKUP($C410,'Daily_BU설비데이터 '!$C$20:$T$1000,13,0)</f>
        <v>#N/A</v>
      </c>
      <c r="P410" s="68" t="e">
        <f>VLOOKUP($C410,'Daily_BU설비데이터 '!$C$20:$T$1000,14,0)</f>
        <v>#N/A</v>
      </c>
      <c r="Q410" s="99" t="e">
        <f t="shared" si="52"/>
        <v>#N/A</v>
      </c>
      <c r="R410" s="100" t="e">
        <f t="shared" si="53"/>
        <v>#N/A</v>
      </c>
      <c r="S410" s="83" t="e">
        <f>VLOOKUP($C410,'Daily_BU설비데이터 '!$C$20:$T$1000,17,0)</f>
        <v>#N/A</v>
      </c>
      <c r="T410" s="83" t="e">
        <f>VLOOKUP($C410,'Daily_BU설비데이터 '!$C$20:$T$1000,18,0)</f>
        <v>#N/A</v>
      </c>
      <c r="U410" s="101" t="e">
        <f t="shared" si="54"/>
        <v>#N/A</v>
      </c>
      <c r="V410" s="45"/>
      <c r="W410" s="45"/>
      <c r="X410" s="45"/>
      <c r="Y410" s="45"/>
      <c r="Z410" s="45"/>
      <c r="AA410" s="45"/>
    </row>
    <row r="411" spans="2:27" x14ac:dyDescent="0.45">
      <c r="B411" s="45" t="s">
        <v>217</v>
      </c>
      <c r="C411" s="90"/>
      <c r="D411" s="56"/>
      <c r="E411" s="80"/>
      <c r="F411" s="58" t="e">
        <f>VLOOKUP($C411,'Daily_BU설비데이터 '!$C$20:$T$1000,4,0)</f>
        <v>#N/A</v>
      </c>
      <c r="G411" s="58" t="e">
        <f>VLOOKUP($C411,'Daily_BU설비데이터 '!$C$20:$T$1000,5,0)</f>
        <v>#N/A</v>
      </c>
      <c r="H411" s="58" t="e">
        <f>VLOOKUP($C411,'Daily_BU설비데이터 '!$C$20:$T$1000,6,0)</f>
        <v>#N/A</v>
      </c>
      <c r="I411" s="58" t="e">
        <f>VLOOKUP($C411,'Daily_BU설비데이터 '!$C$20:$T$1000,7,0)</f>
        <v>#N/A</v>
      </c>
      <c r="J411" s="58" t="e">
        <f>VLOOKUP($C411,'Daily_BU설비데이터 '!$C$20:$T$1000,8,0)</f>
        <v>#N/A</v>
      </c>
      <c r="K411" s="58" t="e">
        <f>VLOOKUP($C411,'Daily_BU설비데이터 '!$C$20:$T$1000,9,0)</f>
        <v>#N/A</v>
      </c>
      <c r="L411" s="59" t="e">
        <f t="shared" si="51"/>
        <v>#N/A</v>
      </c>
      <c r="M411" s="68" t="e">
        <f>VLOOKUP($C411,'Daily_BU설비데이터 '!$C$20:$T$1000,11,0)</f>
        <v>#N/A</v>
      </c>
      <c r="N411" s="68" t="e">
        <f>VLOOKUP($C411,'Daily_BU설비데이터 '!$C$20:$T$1000,12,0)</f>
        <v>#N/A</v>
      </c>
      <c r="O411" s="68" t="e">
        <f>VLOOKUP($C411,'Daily_BU설비데이터 '!$C$20:$T$1000,13,0)</f>
        <v>#N/A</v>
      </c>
      <c r="P411" s="68" t="e">
        <f>VLOOKUP($C411,'Daily_BU설비데이터 '!$C$20:$T$1000,14,0)</f>
        <v>#N/A</v>
      </c>
      <c r="Q411" s="99" t="e">
        <f t="shared" si="52"/>
        <v>#N/A</v>
      </c>
      <c r="R411" s="100" t="e">
        <f t="shared" si="53"/>
        <v>#N/A</v>
      </c>
      <c r="S411" s="83" t="e">
        <f>VLOOKUP($C411,'Daily_BU설비데이터 '!$C$20:$T$1000,17,0)</f>
        <v>#N/A</v>
      </c>
      <c r="T411" s="83" t="e">
        <f>VLOOKUP($C411,'Daily_BU설비데이터 '!$C$20:$T$1000,18,0)</f>
        <v>#N/A</v>
      </c>
      <c r="U411" s="101" t="e">
        <f t="shared" si="54"/>
        <v>#N/A</v>
      </c>
      <c r="V411" s="45"/>
      <c r="W411" s="45"/>
      <c r="X411" s="45"/>
      <c r="Y411" s="45"/>
      <c r="Z411" s="45"/>
      <c r="AA411" s="45"/>
    </row>
    <row r="412" spans="2:27" x14ac:dyDescent="0.45">
      <c r="B412" s="45" t="s">
        <v>218</v>
      </c>
      <c r="C412" s="90"/>
      <c r="D412" s="56"/>
      <c r="E412" s="84"/>
      <c r="F412" s="58" t="e">
        <f>VLOOKUP($C412,'Daily_BU설비데이터 '!$C$20:$T$1000,4,0)</f>
        <v>#N/A</v>
      </c>
      <c r="G412" s="58" t="e">
        <f>VLOOKUP($C412,'Daily_BU설비데이터 '!$C$20:$T$1000,5,0)</f>
        <v>#N/A</v>
      </c>
      <c r="H412" s="58" t="e">
        <f>VLOOKUP($C412,'Daily_BU설비데이터 '!$C$20:$T$1000,6,0)</f>
        <v>#N/A</v>
      </c>
      <c r="I412" s="58" t="e">
        <f>VLOOKUP($C412,'Daily_BU설비데이터 '!$C$20:$T$1000,7,0)</f>
        <v>#N/A</v>
      </c>
      <c r="J412" s="58" t="e">
        <f>VLOOKUP($C412,'Daily_BU설비데이터 '!$C$20:$T$1000,8,0)</f>
        <v>#N/A</v>
      </c>
      <c r="K412" s="58" t="e">
        <f>VLOOKUP($C412,'Daily_BU설비데이터 '!$C$20:$T$1000,9,0)</f>
        <v>#N/A</v>
      </c>
      <c r="L412" s="59" t="e">
        <f t="shared" si="51"/>
        <v>#N/A</v>
      </c>
      <c r="M412" s="68" t="e">
        <f>VLOOKUP($C412,'Daily_BU설비데이터 '!$C$20:$T$1000,11,0)</f>
        <v>#N/A</v>
      </c>
      <c r="N412" s="68" t="e">
        <f>VLOOKUP($C412,'Daily_BU설비데이터 '!$C$20:$T$1000,12,0)</f>
        <v>#N/A</v>
      </c>
      <c r="O412" s="68" t="e">
        <f>VLOOKUP($C412,'Daily_BU설비데이터 '!$C$20:$T$1000,13,0)</f>
        <v>#N/A</v>
      </c>
      <c r="P412" s="68" t="e">
        <f>VLOOKUP($C412,'Daily_BU설비데이터 '!$C$20:$T$1000,14,0)</f>
        <v>#N/A</v>
      </c>
      <c r="Q412" s="99" t="e">
        <f t="shared" si="52"/>
        <v>#N/A</v>
      </c>
      <c r="R412" s="100" t="e">
        <f t="shared" si="53"/>
        <v>#N/A</v>
      </c>
      <c r="S412" s="83" t="e">
        <f>VLOOKUP($C412,'Daily_BU설비데이터 '!$C$20:$T$1000,17,0)</f>
        <v>#N/A</v>
      </c>
      <c r="T412" s="83" t="e">
        <f>VLOOKUP($C412,'Daily_BU설비데이터 '!$C$20:$T$1000,18,0)</f>
        <v>#N/A</v>
      </c>
      <c r="U412" s="101" t="e">
        <f t="shared" si="54"/>
        <v>#N/A</v>
      </c>
      <c r="V412" s="45"/>
      <c r="W412" s="45"/>
      <c r="X412" s="45"/>
      <c r="Y412" s="45"/>
      <c r="Z412" s="45"/>
      <c r="AA412" s="45"/>
    </row>
    <row r="413" spans="2:27" x14ac:dyDescent="0.45">
      <c r="B413" s="45" t="s">
        <v>219</v>
      </c>
      <c r="C413" s="90"/>
      <c r="D413" s="56"/>
      <c r="E413" s="57"/>
      <c r="F413" s="58" t="e">
        <f>VLOOKUP($C413,'Daily_BU설비데이터 '!$C$20:$T$1000,4,0)</f>
        <v>#N/A</v>
      </c>
      <c r="G413" s="58" t="e">
        <f>VLOOKUP($C413,'Daily_BU설비데이터 '!$C$20:$T$1000,5,0)</f>
        <v>#N/A</v>
      </c>
      <c r="H413" s="58" t="e">
        <f>VLOOKUP($C413,'Daily_BU설비데이터 '!$C$20:$T$1000,6,0)</f>
        <v>#N/A</v>
      </c>
      <c r="I413" s="58" t="e">
        <f>VLOOKUP($C413,'Daily_BU설비데이터 '!$C$20:$T$1000,7,0)</f>
        <v>#N/A</v>
      </c>
      <c r="J413" s="58" t="e">
        <f>VLOOKUP($C413,'Daily_BU설비데이터 '!$C$20:$T$1000,8,0)</f>
        <v>#N/A</v>
      </c>
      <c r="K413" s="58" t="e">
        <f>VLOOKUP($C413,'Daily_BU설비데이터 '!$C$20:$T$1000,9,0)</f>
        <v>#N/A</v>
      </c>
      <c r="L413" s="59" t="e">
        <f t="shared" si="51"/>
        <v>#N/A</v>
      </c>
      <c r="M413" s="68" t="e">
        <f>VLOOKUP($C413,'Daily_BU설비데이터 '!$C$20:$T$1000,11,0)</f>
        <v>#N/A</v>
      </c>
      <c r="N413" s="68" t="e">
        <f>VLOOKUP($C413,'Daily_BU설비데이터 '!$C$20:$T$1000,12,0)</f>
        <v>#N/A</v>
      </c>
      <c r="O413" s="68" t="e">
        <f>VLOOKUP($C413,'Daily_BU설비데이터 '!$C$20:$T$1000,13,0)</f>
        <v>#N/A</v>
      </c>
      <c r="P413" s="68" t="e">
        <f>VLOOKUP($C413,'Daily_BU설비데이터 '!$C$20:$T$1000,14,0)</f>
        <v>#N/A</v>
      </c>
      <c r="Q413" s="99" t="e">
        <f t="shared" si="52"/>
        <v>#N/A</v>
      </c>
      <c r="R413" s="100" t="e">
        <f t="shared" si="53"/>
        <v>#N/A</v>
      </c>
      <c r="S413" s="83" t="e">
        <f>VLOOKUP($C413,'Daily_BU설비데이터 '!$C$20:$T$1000,17,0)</f>
        <v>#N/A</v>
      </c>
      <c r="T413" s="83" t="e">
        <f>VLOOKUP($C413,'Daily_BU설비데이터 '!$C$20:$T$1000,18,0)</f>
        <v>#N/A</v>
      </c>
      <c r="U413" s="101" t="e">
        <f t="shared" si="54"/>
        <v>#N/A</v>
      </c>
      <c r="V413" s="45"/>
      <c r="W413" s="45"/>
      <c r="X413" s="45"/>
      <c r="Y413" s="45"/>
      <c r="Z413" s="45"/>
      <c r="AA413" s="45"/>
    </row>
    <row r="414" spans="2:27" x14ac:dyDescent="0.45">
      <c r="B414" s="45" t="s">
        <v>220</v>
      </c>
      <c r="C414" s="90"/>
      <c r="D414" s="56"/>
      <c r="E414" s="80"/>
      <c r="F414" s="58" t="e">
        <f>VLOOKUP($C414,'Daily_BU설비데이터 '!$C$20:$T$1000,4,0)</f>
        <v>#N/A</v>
      </c>
      <c r="G414" s="58" t="e">
        <f>VLOOKUP($C414,'Daily_BU설비데이터 '!$C$20:$T$1000,5,0)</f>
        <v>#N/A</v>
      </c>
      <c r="H414" s="58" t="e">
        <f>VLOOKUP($C414,'Daily_BU설비데이터 '!$C$20:$T$1000,6,0)</f>
        <v>#N/A</v>
      </c>
      <c r="I414" s="58" t="e">
        <f>VLOOKUP($C414,'Daily_BU설비데이터 '!$C$20:$T$1000,7,0)</f>
        <v>#N/A</v>
      </c>
      <c r="J414" s="58" t="e">
        <f>VLOOKUP($C414,'Daily_BU설비데이터 '!$C$20:$T$1000,8,0)</f>
        <v>#N/A</v>
      </c>
      <c r="K414" s="58" t="e">
        <f>VLOOKUP($C414,'Daily_BU설비데이터 '!$C$20:$T$1000,9,0)</f>
        <v>#N/A</v>
      </c>
      <c r="L414" s="59" t="e">
        <f t="shared" si="51"/>
        <v>#N/A</v>
      </c>
      <c r="M414" s="68" t="e">
        <f>VLOOKUP($C414,'Daily_BU설비데이터 '!$C$20:$T$1000,11,0)</f>
        <v>#N/A</v>
      </c>
      <c r="N414" s="68" t="e">
        <f>VLOOKUP($C414,'Daily_BU설비데이터 '!$C$20:$T$1000,12,0)</f>
        <v>#N/A</v>
      </c>
      <c r="O414" s="68" t="e">
        <f>VLOOKUP($C414,'Daily_BU설비데이터 '!$C$20:$T$1000,13,0)</f>
        <v>#N/A</v>
      </c>
      <c r="P414" s="68" t="e">
        <f>VLOOKUP($C414,'Daily_BU설비데이터 '!$C$20:$T$1000,14,0)</f>
        <v>#N/A</v>
      </c>
      <c r="Q414" s="99" t="e">
        <f t="shared" si="52"/>
        <v>#N/A</v>
      </c>
      <c r="R414" s="100" t="e">
        <f t="shared" si="53"/>
        <v>#N/A</v>
      </c>
      <c r="S414" s="83" t="e">
        <f>VLOOKUP($C414,'Daily_BU설비데이터 '!$C$20:$T$1000,17,0)</f>
        <v>#N/A</v>
      </c>
      <c r="T414" s="83" t="e">
        <f>VLOOKUP($C414,'Daily_BU설비데이터 '!$C$20:$T$1000,18,0)</f>
        <v>#N/A</v>
      </c>
      <c r="U414" s="101" t="e">
        <f t="shared" si="54"/>
        <v>#N/A</v>
      </c>
      <c r="V414" s="45"/>
      <c r="W414" s="45"/>
      <c r="X414" s="45"/>
      <c r="Y414" s="45"/>
      <c r="Z414" s="45"/>
      <c r="AA414" s="45"/>
    </row>
    <row r="415" spans="2:27" x14ac:dyDescent="0.45">
      <c r="B415" s="45" t="s">
        <v>221</v>
      </c>
      <c r="C415" s="90"/>
      <c r="D415" s="56"/>
      <c r="E415" s="84"/>
      <c r="F415" s="58" t="e">
        <f>VLOOKUP($C415,'Daily_BU설비데이터 '!$C$20:$T$1000,4,0)</f>
        <v>#N/A</v>
      </c>
      <c r="G415" s="58" t="e">
        <f>VLOOKUP($C415,'Daily_BU설비데이터 '!$C$20:$T$1000,5,0)</f>
        <v>#N/A</v>
      </c>
      <c r="H415" s="58" t="e">
        <f>VLOOKUP($C415,'Daily_BU설비데이터 '!$C$20:$T$1000,6,0)</f>
        <v>#N/A</v>
      </c>
      <c r="I415" s="58" t="e">
        <f>VLOOKUP($C415,'Daily_BU설비데이터 '!$C$20:$T$1000,7,0)</f>
        <v>#N/A</v>
      </c>
      <c r="J415" s="58" t="e">
        <f>VLOOKUP($C415,'Daily_BU설비데이터 '!$C$20:$T$1000,8,0)</f>
        <v>#N/A</v>
      </c>
      <c r="K415" s="58" t="e">
        <f>VLOOKUP($C415,'Daily_BU설비데이터 '!$C$20:$T$1000,9,0)</f>
        <v>#N/A</v>
      </c>
      <c r="L415" s="59" t="e">
        <f t="shared" si="51"/>
        <v>#N/A</v>
      </c>
      <c r="M415" s="68" t="e">
        <f>VLOOKUP($C415,'Daily_BU설비데이터 '!$C$20:$T$1000,11,0)</f>
        <v>#N/A</v>
      </c>
      <c r="N415" s="68" t="e">
        <f>VLOOKUP($C415,'Daily_BU설비데이터 '!$C$20:$T$1000,12,0)</f>
        <v>#N/A</v>
      </c>
      <c r="O415" s="68" t="e">
        <f>VLOOKUP($C415,'Daily_BU설비데이터 '!$C$20:$T$1000,13,0)</f>
        <v>#N/A</v>
      </c>
      <c r="P415" s="68" t="e">
        <f>VLOOKUP($C415,'Daily_BU설비데이터 '!$C$20:$T$1000,14,0)</f>
        <v>#N/A</v>
      </c>
      <c r="Q415" s="99" t="e">
        <f t="shared" si="52"/>
        <v>#N/A</v>
      </c>
      <c r="R415" s="100" t="e">
        <f t="shared" si="53"/>
        <v>#N/A</v>
      </c>
      <c r="S415" s="83" t="e">
        <f>VLOOKUP($C415,'Daily_BU설비데이터 '!$C$20:$T$1000,17,0)</f>
        <v>#N/A</v>
      </c>
      <c r="T415" s="83" t="e">
        <f>VLOOKUP($C415,'Daily_BU설비데이터 '!$C$20:$T$1000,18,0)</f>
        <v>#N/A</v>
      </c>
      <c r="U415" s="101" t="e">
        <f t="shared" si="54"/>
        <v>#N/A</v>
      </c>
      <c r="V415" s="45"/>
      <c r="W415" s="45"/>
      <c r="X415" s="45"/>
      <c r="Y415" s="45"/>
      <c r="Z415" s="45"/>
      <c r="AA415" s="45"/>
    </row>
    <row r="416" spans="2:27" x14ac:dyDescent="0.45">
      <c r="B416" s="45" t="s">
        <v>222</v>
      </c>
      <c r="C416" s="90"/>
      <c r="D416" s="56"/>
      <c r="E416" s="57"/>
      <c r="F416" s="58" t="e">
        <f>VLOOKUP($C416,'Daily_BU설비데이터 '!$C$20:$T$1000,4,0)</f>
        <v>#N/A</v>
      </c>
      <c r="G416" s="58" t="e">
        <f>VLOOKUP($C416,'Daily_BU설비데이터 '!$C$20:$T$1000,5,0)</f>
        <v>#N/A</v>
      </c>
      <c r="H416" s="58" t="e">
        <f>VLOOKUP($C416,'Daily_BU설비데이터 '!$C$20:$T$1000,6,0)</f>
        <v>#N/A</v>
      </c>
      <c r="I416" s="58" t="e">
        <f>VLOOKUP($C416,'Daily_BU설비데이터 '!$C$20:$T$1000,7,0)</f>
        <v>#N/A</v>
      </c>
      <c r="J416" s="58" t="e">
        <f>VLOOKUP($C416,'Daily_BU설비데이터 '!$C$20:$T$1000,8,0)</f>
        <v>#N/A</v>
      </c>
      <c r="K416" s="58" t="e">
        <f>VLOOKUP($C416,'Daily_BU설비데이터 '!$C$20:$T$1000,9,0)</f>
        <v>#N/A</v>
      </c>
      <c r="L416" s="59" t="e">
        <f t="shared" si="51"/>
        <v>#N/A</v>
      </c>
      <c r="M416" s="68" t="e">
        <f>VLOOKUP($C416,'Daily_BU설비데이터 '!$C$20:$T$1000,11,0)</f>
        <v>#N/A</v>
      </c>
      <c r="N416" s="68" t="e">
        <f>VLOOKUP($C416,'Daily_BU설비데이터 '!$C$20:$T$1000,12,0)</f>
        <v>#N/A</v>
      </c>
      <c r="O416" s="68" t="e">
        <f>VLOOKUP($C416,'Daily_BU설비데이터 '!$C$20:$T$1000,13,0)</f>
        <v>#N/A</v>
      </c>
      <c r="P416" s="68" t="e">
        <f>VLOOKUP($C416,'Daily_BU설비데이터 '!$C$20:$T$1000,14,0)</f>
        <v>#N/A</v>
      </c>
      <c r="Q416" s="99" t="e">
        <f t="shared" si="52"/>
        <v>#N/A</v>
      </c>
      <c r="R416" s="100" t="e">
        <f t="shared" si="53"/>
        <v>#N/A</v>
      </c>
      <c r="S416" s="83" t="e">
        <f>VLOOKUP($C416,'Daily_BU설비데이터 '!$C$20:$T$1000,17,0)</f>
        <v>#N/A</v>
      </c>
      <c r="T416" s="83" t="e">
        <f>VLOOKUP($C416,'Daily_BU설비데이터 '!$C$20:$T$1000,18,0)</f>
        <v>#N/A</v>
      </c>
      <c r="U416" s="101" t="e">
        <f t="shared" si="54"/>
        <v>#N/A</v>
      </c>
      <c r="V416" s="45"/>
      <c r="W416" s="45"/>
      <c r="X416" s="45"/>
      <c r="Y416" s="45"/>
      <c r="Z416" s="45"/>
      <c r="AA416" s="45"/>
    </row>
    <row r="417" spans="2:27" x14ac:dyDescent="0.45">
      <c r="B417" s="45" t="s">
        <v>223</v>
      </c>
      <c r="C417" s="90"/>
      <c r="D417" s="56"/>
      <c r="E417" s="80"/>
      <c r="F417" s="58" t="e">
        <f>VLOOKUP($C417,'Daily_BU설비데이터 '!$C$20:$T$1000,4,0)</f>
        <v>#N/A</v>
      </c>
      <c r="G417" s="58" t="e">
        <f>VLOOKUP($C417,'Daily_BU설비데이터 '!$C$20:$T$1000,5,0)</f>
        <v>#N/A</v>
      </c>
      <c r="H417" s="58" t="e">
        <f>VLOOKUP($C417,'Daily_BU설비데이터 '!$C$20:$T$1000,6,0)</f>
        <v>#N/A</v>
      </c>
      <c r="I417" s="58" t="e">
        <f>VLOOKUP($C417,'Daily_BU설비데이터 '!$C$20:$T$1000,7,0)</f>
        <v>#N/A</v>
      </c>
      <c r="J417" s="58" t="e">
        <f>VLOOKUP($C417,'Daily_BU설비데이터 '!$C$20:$T$1000,8,0)</f>
        <v>#N/A</v>
      </c>
      <c r="K417" s="58" t="e">
        <f>VLOOKUP($C417,'Daily_BU설비데이터 '!$C$20:$T$1000,9,0)</f>
        <v>#N/A</v>
      </c>
      <c r="L417" s="59" t="e">
        <f t="shared" si="51"/>
        <v>#N/A</v>
      </c>
      <c r="M417" s="68" t="e">
        <f>VLOOKUP($C417,'Daily_BU설비데이터 '!$C$20:$T$1000,11,0)</f>
        <v>#N/A</v>
      </c>
      <c r="N417" s="68" t="e">
        <f>VLOOKUP($C417,'Daily_BU설비데이터 '!$C$20:$T$1000,12,0)</f>
        <v>#N/A</v>
      </c>
      <c r="O417" s="68" t="e">
        <f>VLOOKUP($C417,'Daily_BU설비데이터 '!$C$20:$T$1000,13,0)</f>
        <v>#N/A</v>
      </c>
      <c r="P417" s="68" t="e">
        <f>VLOOKUP($C417,'Daily_BU설비데이터 '!$C$20:$T$1000,14,0)</f>
        <v>#N/A</v>
      </c>
      <c r="Q417" s="99" t="e">
        <f t="shared" si="52"/>
        <v>#N/A</v>
      </c>
      <c r="R417" s="100" t="e">
        <f t="shared" si="53"/>
        <v>#N/A</v>
      </c>
      <c r="S417" s="83" t="e">
        <f>VLOOKUP($C417,'Daily_BU설비데이터 '!$C$20:$T$1000,17,0)</f>
        <v>#N/A</v>
      </c>
      <c r="T417" s="83" t="e">
        <f>VLOOKUP($C417,'Daily_BU설비데이터 '!$C$20:$T$1000,18,0)</f>
        <v>#N/A</v>
      </c>
      <c r="U417" s="101" t="e">
        <f t="shared" si="54"/>
        <v>#N/A</v>
      </c>
      <c r="V417" s="45"/>
      <c r="W417" s="45"/>
      <c r="X417" s="45"/>
      <c r="Y417" s="45"/>
      <c r="Z417" s="45"/>
      <c r="AA417" s="45"/>
    </row>
    <row r="418" spans="2:27" x14ac:dyDescent="0.45">
      <c r="B418" s="45" t="s">
        <v>224</v>
      </c>
      <c r="C418" s="90"/>
      <c r="D418" s="56"/>
      <c r="E418" s="84"/>
      <c r="F418" s="58" t="e">
        <f>VLOOKUP($C418,'Daily_BU설비데이터 '!$C$20:$T$1000,4,0)</f>
        <v>#N/A</v>
      </c>
      <c r="G418" s="58" t="e">
        <f>VLOOKUP($C418,'Daily_BU설비데이터 '!$C$20:$T$1000,5,0)</f>
        <v>#N/A</v>
      </c>
      <c r="H418" s="58" t="e">
        <f>VLOOKUP($C418,'Daily_BU설비데이터 '!$C$20:$T$1000,6,0)</f>
        <v>#N/A</v>
      </c>
      <c r="I418" s="58" t="e">
        <f>VLOOKUP($C418,'Daily_BU설비데이터 '!$C$20:$T$1000,7,0)</f>
        <v>#N/A</v>
      </c>
      <c r="J418" s="58" t="e">
        <f>VLOOKUP($C418,'Daily_BU설비데이터 '!$C$20:$T$1000,8,0)</f>
        <v>#N/A</v>
      </c>
      <c r="K418" s="58" t="e">
        <f>VLOOKUP($C418,'Daily_BU설비데이터 '!$C$20:$T$1000,9,0)</f>
        <v>#N/A</v>
      </c>
      <c r="L418" s="59" t="e">
        <f t="shared" si="51"/>
        <v>#N/A</v>
      </c>
      <c r="M418" s="68" t="e">
        <f>VLOOKUP($C418,'Daily_BU설비데이터 '!$C$20:$T$1000,11,0)</f>
        <v>#N/A</v>
      </c>
      <c r="N418" s="68" t="e">
        <f>VLOOKUP($C418,'Daily_BU설비데이터 '!$C$20:$T$1000,12,0)</f>
        <v>#N/A</v>
      </c>
      <c r="O418" s="68" t="e">
        <f>VLOOKUP($C418,'Daily_BU설비데이터 '!$C$20:$T$1000,13,0)</f>
        <v>#N/A</v>
      </c>
      <c r="P418" s="68" t="e">
        <f>VLOOKUP($C418,'Daily_BU설비데이터 '!$C$20:$T$1000,14,0)</f>
        <v>#N/A</v>
      </c>
      <c r="Q418" s="99" t="e">
        <f t="shared" si="52"/>
        <v>#N/A</v>
      </c>
      <c r="R418" s="100" t="e">
        <f t="shared" si="53"/>
        <v>#N/A</v>
      </c>
      <c r="S418" s="83" t="e">
        <f>VLOOKUP($C418,'Daily_BU설비데이터 '!$C$20:$T$1000,17,0)</f>
        <v>#N/A</v>
      </c>
      <c r="T418" s="83" t="e">
        <f>VLOOKUP($C418,'Daily_BU설비데이터 '!$C$20:$T$1000,18,0)</f>
        <v>#N/A</v>
      </c>
      <c r="U418" s="101" t="e">
        <f t="shared" si="54"/>
        <v>#N/A</v>
      </c>
      <c r="V418" s="45"/>
      <c r="W418" s="45"/>
      <c r="X418" s="45"/>
      <c r="Y418" s="45"/>
      <c r="Z418" s="45"/>
      <c r="AA418" s="45"/>
    </row>
    <row r="419" spans="2:27" x14ac:dyDescent="0.45">
      <c r="B419" s="45" t="s">
        <v>225</v>
      </c>
      <c r="C419" s="90"/>
      <c r="D419" s="56"/>
      <c r="E419" s="57"/>
      <c r="F419" s="58" t="e">
        <f>VLOOKUP($C419,'Daily_BU설비데이터 '!$C$20:$T$1000,4,0)</f>
        <v>#N/A</v>
      </c>
      <c r="G419" s="58" t="e">
        <f>VLOOKUP($C419,'Daily_BU설비데이터 '!$C$20:$T$1000,5,0)</f>
        <v>#N/A</v>
      </c>
      <c r="H419" s="58" t="e">
        <f>VLOOKUP($C419,'Daily_BU설비데이터 '!$C$20:$T$1000,6,0)</f>
        <v>#N/A</v>
      </c>
      <c r="I419" s="58" t="e">
        <f>VLOOKUP($C419,'Daily_BU설비데이터 '!$C$20:$T$1000,7,0)</f>
        <v>#N/A</v>
      </c>
      <c r="J419" s="58" t="e">
        <f>VLOOKUP($C419,'Daily_BU설비데이터 '!$C$20:$T$1000,8,0)</f>
        <v>#N/A</v>
      </c>
      <c r="K419" s="58" t="e">
        <f>VLOOKUP($C419,'Daily_BU설비데이터 '!$C$20:$T$1000,9,0)</f>
        <v>#N/A</v>
      </c>
      <c r="L419" s="59" t="e">
        <f t="shared" si="51"/>
        <v>#N/A</v>
      </c>
      <c r="M419" s="68" t="e">
        <f>VLOOKUP($C419,'Daily_BU설비데이터 '!$C$20:$T$1000,11,0)</f>
        <v>#N/A</v>
      </c>
      <c r="N419" s="68" t="e">
        <f>VLOOKUP($C419,'Daily_BU설비데이터 '!$C$20:$T$1000,12,0)</f>
        <v>#N/A</v>
      </c>
      <c r="O419" s="68" t="e">
        <f>VLOOKUP($C419,'Daily_BU설비데이터 '!$C$20:$T$1000,13,0)</f>
        <v>#N/A</v>
      </c>
      <c r="P419" s="68" t="e">
        <f>VLOOKUP($C419,'Daily_BU설비데이터 '!$C$20:$T$1000,14,0)</f>
        <v>#N/A</v>
      </c>
      <c r="Q419" s="99" t="e">
        <f t="shared" si="52"/>
        <v>#N/A</v>
      </c>
      <c r="R419" s="100" t="e">
        <f t="shared" si="53"/>
        <v>#N/A</v>
      </c>
      <c r="S419" s="83" t="e">
        <f>VLOOKUP($C419,'Daily_BU설비데이터 '!$C$20:$T$1000,17,0)</f>
        <v>#N/A</v>
      </c>
      <c r="T419" s="83" t="e">
        <f>VLOOKUP($C419,'Daily_BU설비데이터 '!$C$20:$T$1000,18,0)</f>
        <v>#N/A</v>
      </c>
      <c r="U419" s="101" t="e">
        <f t="shared" si="54"/>
        <v>#N/A</v>
      </c>
      <c r="V419" s="45"/>
      <c r="W419" s="45"/>
      <c r="X419" s="45"/>
      <c r="Y419" s="45"/>
      <c r="Z419" s="45"/>
      <c r="AA419" s="45"/>
    </row>
    <row r="420" spans="2:27" x14ac:dyDescent="0.45">
      <c r="B420" s="45" t="s">
        <v>226</v>
      </c>
      <c r="C420" s="90"/>
      <c r="D420" s="56"/>
      <c r="E420" s="80"/>
      <c r="F420" s="58" t="e">
        <f>VLOOKUP($C420,'Daily_BU설비데이터 '!$C$20:$T$1000,4,0)</f>
        <v>#N/A</v>
      </c>
      <c r="G420" s="58" t="e">
        <f>VLOOKUP($C420,'Daily_BU설비데이터 '!$C$20:$T$1000,5,0)</f>
        <v>#N/A</v>
      </c>
      <c r="H420" s="58" t="e">
        <f>VLOOKUP($C420,'Daily_BU설비데이터 '!$C$20:$T$1000,6,0)</f>
        <v>#N/A</v>
      </c>
      <c r="I420" s="58" t="e">
        <f>VLOOKUP($C420,'Daily_BU설비데이터 '!$C$20:$T$1000,7,0)</f>
        <v>#N/A</v>
      </c>
      <c r="J420" s="58" t="e">
        <f>VLOOKUP($C420,'Daily_BU설비데이터 '!$C$20:$T$1000,8,0)</f>
        <v>#N/A</v>
      </c>
      <c r="K420" s="58" t="e">
        <f>VLOOKUP($C420,'Daily_BU설비데이터 '!$C$20:$T$1000,9,0)</f>
        <v>#N/A</v>
      </c>
      <c r="L420" s="59" t="e">
        <f t="shared" si="51"/>
        <v>#N/A</v>
      </c>
      <c r="M420" s="68" t="e">
        <f>VLOOKUP($C420,'Daily_BU설비데이터 '!$C$20:$T$1000,11,0)</f>
        <v>#N/A</v>
      </c>
      <c r="N420" s="68" t="e">
        <f>VLOOKUP($C420,'Daily_BU설비데이터 '!$C$20:$T$1000,12,0)</f>
        <v>#N/A</v>
      </c>
      <c r="O420" s="68" t="e">
        <f>VLOOKUP($C420,'Daily_BU설비데이터 '!$C$20:$T$1000,13,0)</f>
        <v>#N/A</v>
      </c>
      <c r="P420" s="68" t="e">
        <f>VLOOKUP($C420,'Daily_BU설비데이터 '!$C$20:$T$1000,14,0)</f>
        <v>#N/A</v>
      </c>
      <c r="Q420" s="99" t="e">
        <f t="shared" si="52"/>
        <v>#N/A</v>
      </c>
      <c r="R420" s="100" t="e">
        <f t="shared" si="53"/>
        <v>#N/A</v>
      </c>
      <c r="S420" s="83" t="e">
        <f>VLOOKUP($C420,'Daily_BU설비데이터 '!$C$20:$T$1000,17,0)</f>
        <v>#N/A</v>
      </c>
      <c r="T420" s="83" t="e">
        <f>VLOOKUP($C420,'Daily_BU설비데이터 '!$C$20:$T$1000,18,0)</f>
        <v>#N/A</v>
      </c>
      <c r="U420" s="101" t="e">
        <f t="shared" si="54"/>
        <v>#N/A</v>
      </c>
      <c r="V420" s="45"/>
      <c r="W420" s="45"/>
      <c r="X420" s="45"/>
      <c r="Y420" s="45"/>
      <c r="Z420" s="45"/>
      <c r="AA420" s="45"/>
    </row>
    <row r="421" spans="2:27" x14ac:dyDescent="0.45">
      <c r="B421" s="45" t="s">
        <v>227</v>
      </c>
      <c r="C421" s="90"/>
      <c r="D421" s="56"/>
      <c r="E421" s="84"/>
      <c r="F421" s="58" t="e">
        <f>VLOOKUP($C421,'Daily_BU설비데이터 '!$C$20:$T$1000,4,0)</f>
        <v>#N/A</v>
      </c>
      <c r="G421" s="58" t="e">
        <f>VLOOKUP($C421,'Daily_BU설비데이터 '!$C$20:$T$1000,5,0)</f>
        <v>#N/A</v>
      </c>
      <c r="H421" s="58" t="e">
        <f>VLOOKUP($C421,'Daily_BU설비데이터 '!$C$20:$T$1000,6,0)</f>
        <v>#N/A</v>
      </c>
      <c r="I421" s="58" t="e">
        <f>VLOOKUP($C421,'Daily_BU설비데이터 '!$C$20:$T$1000,7,0)</f>
        <v>#N/A</v>
      </c>
      <c r="J421" s="58" t="e">
        <f>VLOOKUP($C421,'Daily_BU설비데이터 '!$C$20:$T$1000,8,0)</f>
        <v>#N/A</v>
      </c>
      <c r="K421" s="58" t="e">
        <f>VLOOKUP($C421,'Daily_BU설비데이터 '!$C$20:$T$1000,9,0)</f>
        <v>#N/A</v>
      </c>
      <c r="L421" s="59" t="e">
        <f t="shared" si="51"/>
        <v>#N/A</v>
      </c>
      <c r="M421" s="68" t="e">
        <f>VLOOKUP($C421,'Daily_BU설비데이터 '!$C$20:$T$1000,11,0)</f>
        <v>#N/A</v>
      </c>
      <c r="N421" s="68" t="e">
        <f>VLOOKUP($C421,'Daily_BU설비데이터 '!$C$20:$T$1000,12,0)</f>
        <v>#N/A</v>
      </c>
      <c r="O421" s="68" t="e">
        <f>VLOOKUP($C421,'Daily_BU설비데이터 '!$C$20:$T$1000,13,0)</f>
        <v>#N/A</v>
      </c>
      <c r="P421" s="68" t="e">
        <f>VLOOKUP($C421,'Daily_BU설비데이터 '!$C$20:$T$1000,14,0)</f>
        <v>#N/A</v>
      </c>
      <c r="Q421" s="99" t="e">
        <f t="shared" si="52"/>
        <v>#N/A</v>
      </c>
      <c r="R421" s="100" t="e">
        <f t="shared" si="53"/>
        <v>#N/A</v>
      </c>
      <c r="S421" s="83" t="e">
        <f>VLOOKUP($C421,'Daily_BU설비데이터 '!$C$20:$T$1000,17,0)</f>
        <v>#N/A</v>
      </c>
      <c r="T421" s="83" t="e">
        <f>VLOOKUP($C421,'Daily_BU설비데이터 '!$C$20:$T$1000,18,0)</f>
        <v>#N/A</v>
      </c>
      <c r="U421" s="101" t="e">
        <f t="shared" si="54"/>
        <v>#N/A</v>
      </c>
      <c r="V421" s="45"/>
      <c r="W421" s="45"/>
      <c r="X421" s="45"/>
      <c r="Y421" s="45"/>
      <c r="Z421" s="45"/>
      <c r="AA421" s="45"/>
    </row>
    <row r="422" spans="2:27" x14ac:dyDescent="0.45">
      <c r="B422" s="45" t="s">
        <v>228</v>
      </c>
      <c r="C422" s="90"/>
      <c r="D422" s="56"/>
      <c r="E422" s="57"/>
      <c r="F422" s="58" t="e">
        <f>VLOOKUP($C422,'Daily_BU설비데이터 '!$C$20:$T$1000,4,0)</f>
        <v>#N/A</v>
      </c>
      <c r="G422" s="58" t="e">
        <f>VLOOKUP($C422,'Daily_BU설비데이터 '!$C$20:$T$1000,5,0)</f>
        <v>#N/A</v>
      </c>
      <c r="H422" s="58" t="e">
        <f>VLOOKUP($C422,'Daily_BU설비데이터 '!$C$20:$T$1000,6,0)</f>
        <v>#N/A</v>
      </c>
      <c r="I422" s="58" t="e">
        <f>VLOOKUP($C422,'Daily_BU설비데이터 '!$C$20:$T$1000,7,0)</f>
        <v>#N/A</v>
      </c>
      <c r="J422" s="58" t="e">
        <f>VLOOKUP($C422,'Daily_BU설비데이터 '!$C$20:$T$1000,8,0)</f>
        <v>#N/A</v>
      </c>
      <c r="K422" s="58" t="e">
        <f>VLOOKUP($C422,'Daily_BU설비데이터 '!$C$20:$T$1000,9,0)</f>
        <v>#N/A</v>
      </c>
      <c r="L422" s="59" t="e">
        <f t="shared" si="51"/>
        <v>#N/A</v>
      </c>
      <c r="M422" s="68" t="e">
        <f>VLOOKUP($C422,'Daily_BU설비데이터 '!$C$20:$T$1000,11,0)</f>
        <v>#N/A</v>
      </c>
      <c r="N422" s="68" t="e">
        <f>VLOOKUP($C422,'Daily_BU설비데이터 '!$C$20:$T$1000,12,0)</f>
        <v>#N/A</v>
      </c>
      <c r="O422" s="68" t="e">
        <f>VLOOKUP($C422,'Daily_BU설비데이터 '!$C$20:$T$1000,13,0)</f>
        <v>#N/A</v>
      </c>
      <c r="P422" s="68" t="e">
        <f>VLOOKUP($C422,'Daily_BU설비데이터 '!$C$20:$T$1000,14,0)</f>
        <v>#N/A</v>
      </c>
      <c r="Q422" s="99" t="e">
        <f t="shared" si="52"/>
        <v>#N/A</v>
      </c>
      <c r="R422" s="100" t="e">
        <f t="shared" si="53"/>
        <v>#N/A</v>
      </c>
      <c r="S422" s="83" t="e">
        <f>VLOOKUP($C422,'Daily_BU설비데이터 '!$C$20:$T$1000,17,0)</f>
        <v>#N/A</v>
      </c>
      <c r="T422" s="83" t="e">
        <f>VLOOKUP($C422,'Daily_BU설비데이터 '!$C$20:$T$1000,18,0)</f>
        <v>#N/A</v>
      </c>
      <c r="U422" s="101" t="e">
        <f t="shared" si="54"/>
        <v>#N/A</v>
      </c>
      <c r="V422" s="45"/>
      <c r="W422" s="45"/>
      <c r="X422" s="45"/>
      <c r="Y422" s="45"/>
      <c r="Z422" s="45"/>
      <c r="AA422" s="45"/>
    </row>
    <row r="423" spans="2:27" x14ac:dyDescent="0.45">
      <c r="B423" s="45" t="s">
        <v>229</v>
      </c>
      <c r="C423" s="90"/>
      <c r="D423" s="56"/>
      <c r="E423" s="80"/>
      <c r="F423" s="58" t="e">
        <f>VLOOKUP($C423,'Daily_BU설비데이터 '!$C$20:$T$1000,4,0)</f>
        <v>#N/A</v>
      </c>
      <c r="G423" s="58" t="e">
        <f>VLOOKUP($C423,'Daily_BU설비데이터 '!$C$20:$T$1000,5,0)</f>
        <v>#N/A</v>
      </c>
      <c r="H423" s="58" t="e">
        <f>VLOOKUP($C423,'Daily_BU설비데이터 '!$C$20:$T$1000,6,0)</f>
        <v>#N/A</v>
      </c>
      <c r="I423" s="58" t="e">
        <f>VLOOKUP($C423,'Daily_BU설비데이터 '!$C$20:$T$1000,7,0)</f>
        <v>#N/A</v>
      </c>
      <c r="J423" s="58" t="e">
        <f>VLOOKUP($C423,'Daily_BU설비데이터 '!$C$20:$T$1000,8,0)</f>
        <v>#N/A</v>
      </c>
      <c r="K423" s="58" t="e">
        <f>VLOOKUP($C423,'Daily_BU설비데이터 '!$C$20:$T$1000,9,0)</f>
        <v>#N/A</v>
      </c>
      <c r="L423" s="59" t="e">
        <f t="shared" si="51"/>
        <v>#N/A</v>
      </c>
      <c r="M423" s="68" t="e">
        <f>VLOOKUP($C423,'Daily_BU설비데이터 '!$C$20:$T$1000,11,0)</f>
        <v>#N/A</v>
      </c>
      <c r="N423" s="68" t="e">
        <f>VLOOKUP($C423,'Daily_BU설비데이터 '!$C$20:$T$1000,12,0)</f>
        <v>#N/A</v>
      </c>
      <c r="O423" s="68" t="e">
        <f>VLOOKUP($C423,'Daily_BU설비데이터 '!$C$20:$T$1000,13,0)</f>
        <v>#N/A</v>
      </c>
      <c r="P423" s="68" t="e">
        <f>VLOOKUP($C423,'Daily_BU설비데이터 '!$C$20:$T$1000,14,0)</f>
        <v>#N/A</v>
      </c>
      <c r="Q423" s="99" t="e">
        <f t="shared" si="52"/>
        <v>#N/A</v>
      </c>
      <c r="R423" s="100" t="e">
        <f t="shared" si="53"/>
        <v>#N/A</v>
      </c>
      <c r="S423" s="83" t="e">
        <f>VLOOKUP($C423,'Daily_BU설비데이터 '!$C$20:$T$1000,17,0)</f>
        <v>#N/A</v>
      </c>
      <c r="T423" s="83" t="e">
        <f>VLOOKUP($C423,'Daily_BU설비데이터 '!$C$20:$T$1000,18,0)</f>
        <v>#N/A</v>
      </c>
      <c r="U423" s="101" t="e">
        <f t="shared" si="54"/>
        <v>#N/A</v>
      </c>
      <c r="V423" s="45"/>
      <c r="W423" s="45"/>
      <c r="X423" s="45"/>
      <c r="Y423" s="45"/>
      <c r="Z423" s="45"/>
      <c r="AA423" s="45"/>
    </row>
    <row r="424" spans="2:27" x14ac:dyDescent="0.45">
      <c r="B424" s="45" t="s">
        <v>230</v>
      </c>
      <c r="C424" s="90"/>
      <c r="D424" s="56"/>
      <c r="E424" s="84"/>
      <c r="F424" s="58" t="e">
        <f>VLOOKUP($C424,'Daily_BU설비데이터 '!$C$20:$T$1000,4,0)</f>
        <v>#N/A</v>
      </c>
      <c r="G424" s="58" t="e">
        <f>VLOOKUP($C424,'Daily_BU설비데이터 '!$C$20:$T$1000,5,0)</f>
        <v>#N/A</v>
      </c>
      <c r="H424" s="58" t="e">
        <f>VLOOKUP($C424,'Daily_BU설비데이터 '!$C$20:$T$1000,6,0)</f>
        <v>#N/A</v>
      </c>
      <c r="I424" s="58" t="e">
        <f>VLOOKUP($C424,'Daily_BU설비데이터 '!$C$20:$T$1000,7,0)</f>
        <v>#N/A</v>
      </c>
      <c r="J424" s="58" t="e">
        <f>VLOOKUP($C424,'Daily_BU설비데이터 '!$C$20:$T$1000,8,0)</f>
        <v>#N/A</v>
      </c>
      <c r="K424" s="58" t="e">
        <f>VLOOKUP($C424,'Daily_BU설비데이터 '!$C$20:$T$1000,9,0)</f>
        <v>#N/A</v>
      </c>
      <c r="L424" s="59" t="e">
        <f t="shared" si="51"/>
        <v>#N/A</v>
      </c>
      <c r="M424" s="68" t="e">
        <f>VLOOKUP($C424,'Daily_BU설비데이터 '!$C$20:$T$1000,11,0)</f>
        <v>#N/A</v>
      </c>
      <c r="N424" s="68" t="e">
        <f>VLOOKUP($C424,'Daily_BU설비데이터 '!$C$20:$T$1000,12,0)</f>
        <v>#N/A</v>
      </c>
      <c r="O424" s="68" t="e">
        <f>VLOOKUP($C424,'Daily_BU설비데이터 '!$C$20:$T$1000,13,0)</f>
        <v>#N/A</v>
      </c>
      <c r="P424" s="68" t="e">
        <f>VLOOKUP($C424,'Daily_BU설비데이터 '!$C$20:$T$1000,14,0)</f>
        <v>#N/A</v>
      </c>
      <c r="Q424" s="99" t="e">
        <f t="shared" si="52"/>
        <v>#N/A</v>
      </c>
      <c r="R424" s="100" t="e">
        <f t="shared" si="53"/>
        <v>#N/A</v>
      </c>
      <c r="S424" s="83" t="e">
        <f>VLOOKUP($C424,'Daily_BU설비데이터 '!$C$20:$T$1000,17,0)</f>
        <v>#N/A</v>
      </c>
      <c r="T424" s="83" t="e">
        <f>VLOOKUP($C424,'Daily_BU설비데이터 '!$C$20:$T$1000,18,0)</f>
        <v>#N/A</v>
      </c>
      <c r="U424" s="101" t="e">
        <f t="shared" si="54"/>
        <v>#N/A</v>
      </c>
      <c r="V424" s="45"/>
      <c r="W424" s="45"/>
      <c r="X424" s="45"/>
      <c r="Y424" s="45"/>
      <c r="Z424" s="45"/>
      <c r="AA424" s="45"/>
    </row>
    <row r="425" spans="2:27" x14ac:dyDescent="0.45">
      <c r="B425" s="45" t="s">
        <v>231</v>
      </c>
      <c r="C425" s="90"/>
      <c r="D425" s="56"/>
      <c r="E425" s="57"/>
      <c r="F425" s="58" t="e">
        <f>VLOOKUP($C425,'Daily_BU설비데이터 '!$C$20:$T$1000,4,0)</f>
        <v>#N/A</v>
      </c>
      <c r="G425" s="58" t="e">
        <f>VLOOKUP($C425,'Daily_BU설비데이터 '!$C$20:$T$1000,5,0)</f>
        <v>#N/A</v>
      </c>
      <c r="H425" s="58" t="e">
        <f>VLOOKUP($C425,'Daily_BU설비데이터 '!$C$20:$T$1000,6,0)</f>
        <v>#N/A</v>
      </c>
      <c r="I425" s="58" t="e">
        <f>VLOOKUP($C425,'Daily_BU설비데이터 '!$C$20:$T$1000,7,0)</f>
        <v>#N/A</v>
      </c>
      <c r="J425" s="58" t="e">
        <f>VLOOKUP($C425,'Daily_BU설비데이터 '!$C$20:$T$1000,8,0)</f>
        <v>#N/A</v>
      </c>
      <c r="K425" s="58" t="e">
        <f>VLOOKUP($C425,'Daily_BU설비데이터 '!$C$20:$T$1000,9,0)</f>
        <v>#N/A</v>
      </c>
      <c r="L425" s="59" t="e">
        <f t="shared" si="51"/>
        <v>#N/A</v>
      </c>
      <c r="M425" s="68" t="e">
        <f>VLOOKUP($C425,'Daily_BU설비데이터 '!$C$20:$T$1000,11,0)</f>
        <v>#N/A</v>
      </c>
      <c r="N425" s="68" t="e">
        <f>VLOOKUP($C425,'Daily_BU설비데이터 '!$C$20:$T$1000,12,0)</f>
        <v>#N/A</v>
      </c>
      <c r="O425" s="68" t="e">
        <f>VLOOKUP($C425,'Daily_BU설비데이터 '!$C$20:$T$1000,13,0)</f>
        <v>#N/A</v>
      </c>
      <c r="P425" s="68" t="e">
        <f>VLOOKUP($C425,'Daily_BU설비데이터 '!$C$20:$T$1000,14,0)</f>
        <v>#N/A</v>
      </c>
      <c r="Q425" s="99" t="e">
        <f t="shared" si="52"/>
        <v>#N/A</v>
      </c>
      <c r="R425" s="100" t="e">
        <f t="shared" si="53"/>
        <v>#N/A</v>
      </c>
      <c r="S425" s="83" t="e">
        <f>VLOOKUP($C425,'Daily_BU설비데이터 '!$C$20:$T$1000,17,0)</f>
        <v>#N/A</v>
      </c>
      <c r="T425" s="83" t="e">
        <f>VLOOKUP($C425,'Daily_BU설비데이터 '!$C$20:$T$1000,18,0)</f>
        <v>#N/A</v>
      </c>
      <c r="U425" s="101" t="e">
        <f t="shared" si="54"/>
        <v>#N/A</v>
      </c>
      <c r="V425" s="45"/>
      <c r="W425" s="45"/>
      <c r="X425" s="45"/>
      <c r="Y425" s="45"/>
      <c r="Z425" s="45"/>
      <c r="AA425" s="45"/>
    </row>
    <row r="426" spans="2:27" x14ac:dyDescent="0.45">
      <c r="B426" s="45" t="s">
        <v>232</v>
      </c>
      <c r="C426" s="90"/>
      <c r="D426" s="56"/>
      <c r="E426" s="80"/>
      <c r="F426" s="58" t="e">
        <f>VLOOKUP($C426,'Daily_BU설비데이터 '!$C$20:$T$1000,4,0)</f>
        <v>#N/A</v>
      </c>
      <c r="G426" s="58" t="e">
        <f>VLOOKUP($C426,'Daily_BU설비데이터 '!$C$20:$T$1000,5,0)</f>
        <v>#N/A</v>
      </c>
      <c r="H426" s="58" t="e">
        <f>VLOOKUP($C426,'Daily_BU설비데이터 '!$C$20:$T$1000,6,0)</f>
        <v>#N/A</v>
      </c>
      <c r="I426" s="58" t="e">
        <f>VLOOKUP($C426,'Daily_BU설비데이터 '!$C$20:$T$1000,7,0)</f>
        <v>#N/A</v>
      </c>
      <c r="J426" s="58" t="e">
        <f>VLOOKUP($C426,'Daily_BU설비데이터 '!$C$20:$T$1000,8,0)</f>
        <v>#N/A</v>
      </c>
      <c r="K426" s="58" t="e">
        <f>VLOOKUP($C426,'Daily_BU설비데이터 '!$C$20:$T$1000,9,0)</f>
        <v>#N/A</v>
      </c>
      <c r="L426" s="59" t="e">
        <f t="shared" si="51"/>
        <v>#N/A</v>
      </c>
      <c r="M426" s="68" t="e">
        <f>VLOOKUP($C426,'Daily_BU설비데이터 '!$C$20:$T$1000,11,0)</f>
        <v>#N/A</v>
      </c>
      <c r="N426" s="68" t="e">
        <f>VLOOKUP($C426,'Daily_BU설비데이터 '!$C$20:$T$1000,12,0)</f>
        <v>#N/A</v>
      </c>
      <c r="O426" s="68" t="e">
        <f>VLOOKUP($C426,'Daily_BU설비데이터 '!$C$20:$T$1000,13,0)</f>
        <v>#N/A</v>
      </c>
      <c r="P426" s="68" t="e">
        <f>VLOOKUP($C426,'Daily_BU설비데이터 '!$C$20:$T$1000,14,0)</f>
        <v>#N/A</v>
      </c>
      <c r="Q426" s="99" t="e">
        <f t="shared" si="52"/>
        <v>#N/A</v>
      </c>
      <c r="R426" s="100" t="e">
        <f t="shared" si="53"/>
        <v>#N/A</v>
      </c>
      <c r="S426" s="83" t="e">
        <f>VLOOKUP($C426,'Daily_BU설비데이터 '!$C$20:$T$1000,17,0)</f>
        <v>#N/A</v>
      </c>
      <c r="T426" s="83" t="e">
        <f>VLOOKUP($C426,'Daily_BU설비데이터 '!$C$20:$T$1000,18,0)</f>
        <v>#N/A</v>
      </c>
      <c r="U426" s="101" t="e">
        <f t="shared" si="54"/>
        <v>#N/A</v>
      </c>
      <c r="V426" s="45"/>
      <c r="W426" s="45"/>
      <c r="X426" s="45"/>
      <c r="Y426" s="45"/>
      <c r="Z426" s="45"/>
      <c r="AA426" s="45"/>
    </row>
    <row r="427" spans="2:27" x14ac:dyDescent="0.45">
      <c r="B427" s="45" t="s">
        <v>233</v>
      </c>
      <c r="C427" s="90"/>
      <c r="D427" s="56"/>
      <c r="E427" s="84"/>
      <c r="F427" s="58" t="e">
        <f>VLOOKUP($C427,'Daily_BU설비데이터 '!$C$20:$T$1000,4,0)</f>
        <v>#N/A</v>
      </c>
      <c r="G427" s="58" t="e">
        <f>VLOOKUP($C427,'Daily_BU설비데이터 '!$C$20:$T$1000,5,0)</f>
        <v>#N/A</v>
      </c>
      <c r="H427" s="58" t="e">
        <f>VLOOKUP($C427,'Daily_BU설비데이터 '!$C$20:$T$1000,6,0)</f>
        <v>#N/A</v>
      </c>
      <c r="I427" s="58" t="e">
        <f>VLOOKUP($C427,'Daily_BU설비데이터 '!$C$20:$T$1000,7,0)</f>
        <v>#N/A</v>
      </c>
      <c r="J427" s="58" t="e">
        <f>VLOOKUP($C427,'Daily_BU설비데이터 '!$C$20:$T$1000,8,0)</f>
        <v>#N/A</v>
      </c>
      <c r="K427" s="58" t="e">
        <f>VLOOKUP($C427,'Daily_BU설비데이터 '!$C$20:$T$1000,9,0)</f>
        <v>#N/A</v>
      </c>
      <c r="L427" s="59" t="e">
        <f t="shared" si="51"/>
        <v>#N/A</v>
      </c>
      <c r="M427" s="68" t="e">
        <f>VLOOKUP($C427,'Daily_BU설비데이터 '!$C$20:$T$1000,11,0)</f>
        <v>#N/A</v>
      </c>
      <c r="N427" s="68" t="e">
        <f>VLOOKUP($C427,'Daily_BU설비데이터 '!$C$20:$T$1000,12,0)</f>
        <v>#N/A</v>
      </c>
      <c r="O427" s="68" t="e">
        <f>VLOOKUP($C427,'Daily_BU설비데이터 '!$C$20:$T$1000,13,0)</f>
        <v>#N/A</v>
      </c>
      <c r="P427" s="68" t="e">
        <f>VLOOKUP($C427,'Daily_BU설비데이터 '!$C$20:$T$1000,14,0)</f>
        <v>#N/A</v>
      </c>
      <c r="Q427" s="99" t="e">
        <f t="shared" si="52"/>
        <v>#N/A</v>
      </c>
      <c r="R427" s="100" t="e">
        <f t="shared" si="53"/>
        <v>#N/A</v>
      </c>
      <c r="S427" s="83" t="e">
        <f>VLOOKUP($C427,'Daily_BU설비데이터 '!$C$20:$T$1000,17,0)</f>
        <v>#N/A</v>
      </c>
      <c r="T427" s="83" t="e">
        <f>VLOOKUP($C427,'Daily_BU설비데이터 '!$C$20:$T$1000,18,0)</f>
        <v>#N/A</v>
      </c>
      <c r="U427" s="101" t="e">
        <f t="shared" si="54"/>
        <v>#N/A</v>
      </c>
      <c r="V427" s="45"/>
      <c r="W427" s="45"/>
      <c r="X427" s="45"/>
      <c r="Y427" s="45"/>
      <c r="Z427" s="45"/>
      <c r="AA427" s="45"/>
    </row>
    <row r="428" spans="2:27" x14ac:dyDescent="0.45">
      <c r="B428" s="45" t="s">
        <v>234</v>
      </c>
      <c r="C428" s="90"/>
      <c r="D428" s="56"/>
      <c r="E428" s="57"/>
      <c r="F428" s="58" t="e">
        <f>VLOOKUP($C428,'Daily_BU설비데이터 '!$C$20:$T$1000,4,0)</f>
        <v>#N/A</v>
      </c>
      <c r="G428" s="58" t="e">
        <f>VLOOKUP($C428,'Daily_BU설비데이터 '!$C$20:$T$1000,5,0)</f>
        <v>#N/A</v>
      </c>
      <c r="H428" s="58" t="e">
        <f>VLOOKUP($C428,'Daily_BU설비데이터 '!$C$20:$T$1000,6,0)</f>
        <v>#N/A</v>
      </c>
      <c r="I428" s="58" t="e">
        <f>VLOOKUP($C428,'Daily_BU설비데이터 '!$C$20:$T$1000,7,0)</f>
        <v>#N/A</v>
      </c>
      <c r="J428" s="58" t="e">
        <f>VLOOKUP($C428,'Daily_BU설비데이터 '!$C$20:$T$1000,8,0)</f>
        <v>#N/A</v>
      </c>
      <c r="K428" s="58" t="e">
        <f>VLOOKUP($C428,'Daily_BU설비데이터 '!$C$20:$T$1000,9,0)</f>
        <v>#N/A</v>
      </c>
      <c r="L428" s="59" t="e">
        <f t="shared" si="51"/>
        <v>#N/A</v>
      </c>
      <c r="M428" s="68" t="e">
        <f>VLOOKUP($C428,'Daily_BU설비데이터 '!$C$20:$T$1000,11,0)</f>
        <v>#N/A</v>
      </c>
      <c r="N428" s="68" t="e">
        <f>VLOOKUP($C428,'Daily_BU설비데이터 '!$C$20:$T$1000,12,0)</f>
        <v>#N/A</v>
      </c>
      <c r="O428" s="68" t="e">
        <f>VLOOKUP($C428,'Daily_BU설비데이터 '!$C$20:$T$1000,13,0)</f>
        <v>#N/A</v>
      </c>
      <c r="P428" s="68" t="e">
        <f>VLOOKUP($C428,'Daily_BU설비데이터 '!$C$20:$T$1000,14,0)</f>
        <v>#N/A</v>
      </c>
      <c r="Q428" s="99" t="e">
        <f t="shared" si="52"/>
        <v>#N/A</v>
      </c>
      <c r="R428" s="100" t="e">
        <f t="shared" si="53"/>
        <v>#N/A</v>
      </c>
      <c r="S428" s="83" t="e">
        <f>VLOOKUP($C428,'Daily_BU설비데이터 '!$C$20:$T$1000,17,0)</f>
        <v>#N/A</v>
      </c>
      <c r="T428" s="83" t="e">
        <f>VLOOKUP($C428,'Daily_BU설비데이터 '!$C$20:$T$1000,18,0)</f>
        <v>#N/A</v>
      </c>
      <c r="U428" s="101" t="e">
        <f t="shared" si="54"/>
        <v>#N/A</v>
      </c>
      <c r="V428" s="45"/>
      <c r="W428" s="45"/>
      <c r="X428" s="45"/>
      <c r="Y428" s="45"/>
      <c r="Z428" s="45"/>
      <c r="AA428" s="45"/>
    </row>
    <row r="429" spans="2:27" x14ac:dyDescent="0.45">
      <c r="B429" s="45" t="s">
        <v>235</v>
      </c>
      <c r="C429" s="90"/>
      <c r="D429" s="56"/>
      <c r="E429" s="80"/>
      <c r="F429" s="58" t="e">
        <f>VLOOKUP($C429,'Daily_BU설비데이터 '!$C$20:$T$1000,4,0)</f>
        <v>#N/A</v>
      </c>
      <c r="G429" s="58" t="e">
        <f>VLOOKUP($C429,'Daily_BU설비데이터 '!$C$20:$T$1000,5,0)</f>
        <v>#N/A</v>
      </c>
      <c r="H429" s="58" t="e">
        <f>VLOOKUP($C429,'Daily_BU설비데이터 '!$C$20:$T$1000,6,0)</f>
        <v>#N/A</v>
      </c>
      <c r="I429" s="58" t="e">
        <f>VLOOKUP($C429,'Daily_BU설비데이터 '!$C$20:$T$1000,7,0)</f>
        <v>#N/A</v>
      </c>
      <c r="J429" s="58" t="e">
        <f>VLOOKUP($C429,'Daily_BU설비데이터 '!$C$20:$T$1000,8,0)</f>
        <v>#N/A</v>
      </c>
      <c r="K429" s="58" t="e">
        <f>VLOOKUP($C429,'Daily_BU설비데이터 '!$C$20:$T$1000,9,0)</f>
        <v>#N/A</v>
      </c>
      <c r="L429" s="59" t="e">
        <f t="shared" si="51"/>
        <v>#N/A</v>
      </c>
      <c r="M429" s="68" t="e">
        <f>VLOOKUP($C429,'Daily_BU설비데이터 '!$C$20:$T$1000,11,0)</f>
        <v>#N/A</v>
      </c>
      <c r="N429" s="68" t="e">
        <f>VLOOKUP($C429,'Daily_BU설비데이터 '!$C$20:$T$1000,12,0)</f>
        <v>#N/A</v>
      </c>
      <c r="O429" s="68" t="e">
        <f>VLOOKUP($C429,'Daily_BU설비데이터 '!$C$20:$T$1000,13,0)</f>
        <v>#N/A</v>
      </c>
      <c r="P429" s="68" t="e">
        <f>VLOOKUP($C429,'Daily_BU설비데이터 '!$C$20:$T$1000,14,0)</f>
        <v>#N/A</v>
      </c>
      <c r="Q429" s="99" t="e">
        <f t="shared" si="52"/>
        <v>#N/A</v>
      </c>
      <c r="R429" s="100" t="e">
        <f t="shared" si="53"/>
        <v>#N/A</v>
      </c>
      <c r="S429" s="83" t="e">
        <f>VLOOKUP($C429,'Daily_BU설비데이터 '!$C$20:$T$1000,17,0)</f>
        <v>#N/A</v>
      </c>
      <c r="T429" s="83" t="e">
        <f>VLOOKUP($C429,'Daily_BU설비데이터 '!$C$20:$T$1000,18,0)</f>
        <v>#N/A</v>
      </c>
      <c r="U429" s="101" t="e">
        <f t="shared" si="54"/>
        <v>#N/A</v>
      </c>
      <c r="V429" s="45"/>
      <c r="W429" s="45"/>
      <c r="X429" s="45"/>
      <c r="Y429" s="45"/>
      <c r="Z429" s="45"/>
      <c r="AA429" s="45"/>
    </row>
    <row r="430" spans="2:27" x14ac:dyDescent="0.45">
      <c r="B430" s="45" t="s">
        <v>236</v>
      </c>
      <c r="C430" s="90"/>
      <c r="D430" s="56"/>
      <c r="E430" s="84"/>
      <c r="F430" s="58" t="e">
        <f>VLOOKUP($C430,'Daily_BU설비데이터 '!$C$20:$T$1000,4,0)</f>
        <v>#N/A</v>
      </c>
      <c r="G430" s="58" t="e">
        <f>VLOOKUP($C430,'Daily_BU설비데이터 '!$C$20:$T$1000,5,0)</f>
        <v>#N/A</v>
      </c>
      <c r="H430" s="58" t="e">
        <f>VLOOKUP($C430,'Daily_BU설비데이터 '!$C$20:$T$1000,6,0)</f>
        <v>#N/A</v>
      </c>
      <c r="I430" s="58" t="e">
        <f>VLOOKUP($C430,'Daily_BU설비데이터 '!$C$20:$T$1000,7,0)</f>
        <v>#N/A</v>
      </c>
      <c r="J430" s="58" t="e">
        <f>VLOOKUP($C430,'Daily_BU설비데이터 '!$C$20:$T$1000,8,0)</f>
        <v>#N/A</v>
      </c>
      <c r="K430" s="58" t="e">
        <f>VLOOKUP($C430,'Daily_BU설비데이터 '!$C$20:$T$1000,9,0)</f>
        <v>#N/A</v>
      </c>
      <c r="L430" s="59" t="e">
        <f t="shared" si="51"/>
        <v>#N/A</v>
      </c>
      <c r="M430" s="68" t="e">
        <f>VLOOKUP($C430,'Daily_BU설비데이터 '!$C$20:$T$1000,11,0)</f>
        <v>#N/A</v>
      </c>
      <c r="N430" s="68" t="e">
        <f>VLOOKUP($C430,'Daily_BU설비데이터 '!$C$20:$T$1000,12,0)</f>
        <v>#N/A</v>
      </c>
      <c r="O430" s="68" t="e">
        <f>VLOOKUP($C430,'Daily_BU설비데이터 '!$C$20:$T$1000,13,0)</f>
        <v>#N/A</v>
      </c>
      <c r="P430" s="68" t="e">
        <f>VLOOKUP($C430,'Daily_BU설비데이터 '!$C$20:$T$1000,14,0)</f>
        <v>#N/A</v>
      </c>
      <c r="Q430" s="99" t="e">
        <f t="shared" si="52"/>
        <v>#N/A</v>
      </c>
      <c r="R430" s="100" t="e">
        <f t="shared" si="53"/>
        <v>#N/A</v>
      </c>
      <c r="S430" s="83" t="e">
        <f>VLOOKUP($C430,'Daily_BU설비데이터 '!$C$20:$T$1000,17,0)</f>
        <v>#N/A</v>
      </c>
      <c r="T430" s="83" t="e">
        <f>VLOOKUP($C430,'Daily_BU설비데이터 '!$C$20:$T$1000,18,0)</f>
        <v>#N/A</v>
      </c>
      <c r="U430" s="101" t="e">
        <f t="shared" si="54"/>
        <v>#N/A</v>
      </c>
      <c r="V430" s="45"/>
      <c r="W430" s="45"/>
      <c r="X430" s="45"/>
      <c r="Y430" s="45"/>
      <c r="Z430" s="45"/>
      <c r="AA430" s="45"/>
    </row>
    <row r="431" spans="2:27" x14ac:dyDescent="0.45">
      <c r="B431" s="45" t="s">
        <v>237</v>
      </c>
      <c r="C431" s="90"/>
      <c r="D431" s="56"/>
      <c r="E431" s="57"/>
      <c r="F431" s="58" t="e">
        <f>VLOOKUP($C431,'Daily_BU설비데이터 '!$C$20:$T$1000,4,0)</f>
        <v>#N/A</v>
      </c>
      <c r="G431" s="58" t="e">
        <f>VLOOKUP($C431,'Daily_BU설비데이터 '!$C$20:$T$1000,5,0)</f>
        <v>#N/A</v>
      </c>
      <c r="H431" s="58" t="e">
        <f>VLOOKUP($C431,'Daily_BU설비데이터 '!$C$20:$T$1000,6,0)</f>
        <v>#N/A</v>
      </c>
      <c r="I431" s="58" t="e">
        <f>VLOOKUP($C431,'Daily_BU설비데이터 '!$C$20:$T$1000,7,0)</f>
        <v>#N/A</v>
      </c>
      <c r="J431" s="58" t="e">
        <f>VLOOKUP($C431,'Daily_BU설비데이터 '!$C$20:$T$1000,8,0)</f>
        <v>#N/A</v>
      </c>
      <c r="K431" s="58" t="e">
        <f>VLOOKUP($C431,'Daily_BU설비데이터 '!$C$20:$T$1000,9,0)</f>
        <v>#N/A</v>
      </c>
      <c r="L431" s="59" t="e">
        <f t="shared" si="51"/>
        <v>#N/A</v>
      </c>
      <c r="M431" s="68" t="e">
        <f>VLOOKUP($C431,'Daily_BU설비데이터 '!$C$20:$T$1000,11,0)</f>
        <v>#N/A</v>
      </c>
      <c r="N431" s="68" t="e">
        <f>VLOOKUP($C431,'Daily_BU설비데이터 '!$C$20:$T$1000,12,0)</f>
        <v>#N/A</v>
      </c>
      <c r="O431" s="68" t="e">
        <f>VLOOKUP($C431,'Daily_BU설비데이터 '!$C$20:$T$1000,13,0)</f>
        <v>#N/A</v>
      </c>
      <c r="P431" s="68" t="e">
        <f>VLOOKUP($C431,'Daily_BU설비데이터 '!$C$20:$T$1000,14,0)</f>
        <v>#N/A</v>
      </c>
      <c r="Q431" s="99" t="e">
        <f t="shared" si="52"/>
        <v>#N/A</v>
      </c>
      <c r="R431" s="100" t="e">
        <f t="shared" si="53"/>
        <v>#N/A</v>
      </c>
      <c r="S431" s="83" t="e">
        <f>VLOOKUP($C431,'Daily_BU설비데이터 '!$C$20:$T$1000,17,0)</f>
        <v>#N/A</v>
      </c>
      <c r="T431" s="83" t="e">
        <f>VLOOKUP($C431,'Daily_BU설비데이터 '!$C$20:$T$1000,18,0)</f>
        <v>#N/A</v>
      </c>
      <c r="U431" s="101" t="e">
        <f t="shared" si="54"/>
        <v>#N/A</v>
      </c>
      <c r="V431" s="45"/>
      <c r="W431" s="45"/>
      <c r="X431" s="45"/>
      <c r="Y431" s="45"/>
      <c r="Z431" s="45"/>
      <c r="AA431" s="45"/>
    </row>
    <row r="432" spans="2:27" x14ac:dyDescent="0.45">
      <c r="B432" s="45" t="s">
        <v>238</v>
      </c>
      <c r="C432" s="90"/>
      <c r="D432" s="56"/>
      <c r="E432" s="80"/>
      <c r="F432" s="58" t="e">
        <f>VLOOKUP($C432,'Daily_BU설비데이터 '!$C$20:$T$1000,4,0)</f>
        <v>#N/A</v>
      </c>
      <c r="G432" s="58" t="e">
        <f>VLOOKUP($C432,'Daily_BU설비데이터 '!$C$20:$T$1000,5,0)</f>
        <v>#N/A</v>
      </c>
      <c r="H432" s="58" t="e">
        <f>VLOOKUP($C432,'Daily_BU설비데이터 '!$C$20:$T$1000,6,0)</f>
        <v>#N/A</v>
      </c>
      <c r="I432" s="58" t="e">
        <f>VLOOKUP($C432,'Daily_BU설비데이터 '!$C$20:$T$1000,7,0)</f>
        <v>#N/A</v>
      </c>
      <c r="J432" s="58" t="e">
        <f>VLOOKUP($C432,'Daily_BU설비데이터 '!$C$20:$T$1000,8,0)</f>
        <v>#N/A</v>
      </c>
      <c r="K432" s="58" t="e">
        <f>VLOOKUP($C432,'Daily_BU설비데이터 '!$C$20:$T$1000,9,0)</f>
        <v>#N/A</v>
      </c>
      <c r="L432" s="59" t="e">
        <f t="shared" si="51"/>
        <v>#N/A</v>
      </c>
      <c r="M432" s="68" t="e">
        <f>VLOOKUP($C432,'Daily_BU설비데이터 '!$C$20:$T$1000,11,0)</f>
        <v>#N/A</v>
      </c>
      <c r="N432" s="68" t="e">
        <f>VLOOKUP($C432,'Daily_BU설비데이터 '!$C$20:$T$1000,12,0)</f>
        <v>#N/A</v>
      </c>
      <c r="O432" s="68" t="e">
        <f>VLOOKUP($C432,'Daily_BU설비데이터 '!$C$20:$T$1000,13,0)</f>
        <v>#N/A</v>
      </c>
      <c r="P432" s="68" t="e">
        <f>VLOOKUP($C432,'Daily_BU설비데이터 '!$C$20:$T$1000,14,0)</f>
        <v>#N/A</v>
      </c>
      <c r="Q432" s="99" t="e">
        <f t="shared" si="52"/>
        <v>#N/A</v>
      </c>
      <c r="R432" s="100" t="e">
        <f t="shared" si="53"/>
        <v>#N/A</v>
      </c>
      <c r="S432" s="83" t="e">
        <f>VLOOKUP($C432,'Daily_BU설비데이터 '!$C$20:$T$1000,17,0)</f>
        <v>#N/A</v>
      </c>
      <c r="T432" s="83" t="e">
        <f>VLOOKUP($C432,'Daily_BU설비데이터 '!$C$20:$T$1000,18,0)</f>
        <v>#N/A</v>
      </c>
      <c r="U432" s="101" t="e">
        <f t="shared" si="54"/>
        <v>#N/A</v>
      </c>
      <c r="V432" s="45"/>
      <c r="W432" s="45"/>
      <c r="X432" s="45"/>
      <c r="Y432" s="45"/>
      <c r="Z432" s="45"/>
      <c r="AA432" s="45"/>
    </row>
    <row r="433" spans="2:27" x14ac:dyDescent="0.45">
      <c r="B433" s="45" t="s">
        <v>239</v>
      </c>
      <c r="C433" s="90"/>
      <c r="D433" s="56"/>
      <c r="E433" s="84"/>
      <c r="F433" s="58" t="e">
        <f>VLOOKUP($C433,'Daily_BU설비데이터 '!$C$20:$T$1000,4,0)</f>
        <v>#N/A</v>
      </c>
      <c r="G433" s="58" t="e">
        <f>VLOOKUP($C433,'Daily_BU설비데이터 '!$C$20:$T$1000,5,0)</f>
        <v>#N/A</v>
      </c>
      <c r="H433" s="58" t="e">
        <f>VLOOKUP($C433,'Daily_BU설비데이터 '!$C$20:$T$1000,6,0)</f>
        <v>#N/A</v>
      </c>
      <c r="I433" s="58" t="e">
        <f>VLOOKUP($C433,'Daily_BU설비데이터 '!$C$20:$T$1000,7,0)</f>
        <v>#N/A</v>
      </c>
      <c r="J433" s="58" t="e">
        <f>VLOOKUP($C433,'Daily_BU설비데이터 '!$C$20:$T$1000,8,0)</f>
        <v>#N/A</v>
      </c>
      <c r="K433" s="58" t="e">
        <f>VLOOKUP($C433,'Daily_BU설비데이터 '!$C$20:$T$1000,9,0)</f>
        <v>#N/A</v>
      </c>
      <c r="L433" s="59" t="e">
        <f t="shared" si="51"/>
        <v>#N/A</v>
      </c>
      <c r="M433" s="68" t="e">
        <f>VLOOKUP($C433,'Daily_BU설비데이터 '!$C$20:$T$1000,11,0)</f>
        <v>#N/A</v>
      </c>
      <c r="N433" s="68" t="e">
        <f>VLOOKUP($C433,'Daily_BU설비데이터 '!$C$20:$T$1000,12,0)</f>
        <v>#N/A</v>
      </c>
      <c r="O433" s="68" t="e">
        <f>VLOOKUP($C433,'Daily_BU설비데이터 '!$C$20:$T$1000,13,0)</f>
        <v>#N/A</v>
      </c>
      <c r="P433" s="68" t="e">
        <f>VLOOKUP($C433,'Daily_BU설비데이터 '!$C$20:$T$1000,14,0)</f>
        <v>#N/A</v>
      </c>
      <c r="Q433" s="99" t="e">
        <f t="shared" si="52"/>
        <v>#N/A</v>
      </c>
      <c r="R433" s="100" t="e">
        <f t="shared" si="53"/>
        <v>#N/A</v>
      </c>
      <c r="S433" s="83" t="e">
        <f>VLOOKUP($C433,'Daily_BU설비데이터 '!$C$20:$T$1000,17,0)</f>
        <v>#N/A</v>
      </c>
      <c r="T433" s="83" t="e">
        <f>VLOOKUP($C433,'Daily_BU설비데이터 '!$C$20:$T$1000,18,0)</f>
        <v>#N/A</v>
      </c>
      <c r="U433" s="101" t="e">
        <f t="shared" si="54"/>
        <v>#N/A</v>
      </c>
      <c r="V433" s="45"/>
      <c r="W433" s="45"/>
      <c r="X433" s="45"/>
      <c r="Y433" s="45"/>
      <c r="Z433" s="45"/>
      <c r="AA433" s="45"/>
    </row>
    <row r="434" spans="2:27" x14ac:dyDescent="0.45">
      <c r="B434" s="45" t="s">
        <v>240</v>
      </c>
      <c r="C434" s="90"/>
      <c r="D434" s="56"/>
      <c r="E434" s="57"/>
      <c r="F434" s="58" t="e">
        <f>VLOOKUP($C434,'Daily_BU설비데이터 '!$C$20:$T$1000,4,0)</f>
        <v>#N/A</v>
      </c>
      <c r="G434" s="58" t="e">
        <f>VLOOKUP($C434,'Daily_BU설비데이터 '!$C$20:$T$1000,5,0)</f>
        <v>#N/A</v>
      </c>
      <c r="H434" s="58" t="e">
        <f>VLOOKUP($C434,'Daily_BU설비데이터 '!$C$20:$T$1000,6,0)</f>
        <v>#N/A</v>
      </c>
      <c r="I434" s="58" t="e">
        <f>VLOOKUP($C434,'Daily_BU설비데이터 '!$C$20:$T$1000,7,0)</f>
        <v>#N/A</v>
      </c>
      <c r="J434" s="58" t="e">
        <f>VLOOKUP($C434,'Daily_BU설비데이터 '!$C$20:$T$1000,8,0)</f>
        <v>#N/A</v>
      </c>
      <c r="K434" s="58" t="e">
        <f>VLOOKUP($C434,'Daily_BU설비데이터 '!$C$20:$T$1000,9,0)</f>
        <v>#N/A</v>
      </c>
      <c r="L434" s="59" t="e">
        <f t="shared" si="51"/>
        <v>#N/A</v>
      </c>
      <c r="M434" s="68" t="e">
        <f>VLOOKUP($C434,'Daily_BU설비데이터 '!$C$20:$T$1000,11,0)</f>
        <v>#N/A</v>
      </c>
      <c r="N434" s="68" t="e">
        <f>VLOOKUP($C434,'Daily_BU설비데이터 '!$C$20:$T$1000,12,0)</f>
        <v>#N/A</v>
      </c>
      <c r="O434" s="68" t="e">
        <f>VLOOKUP($C434,'Daily_BU설비데이터 '!$C$20:$T$1000,13,0)</f>
        <v>#N/A</v>
      </c>
      <c r="P434" s="68" t="e">
        <f>VLOOKUP($C434,'Daily_BU설비데이터 '!$C$20:$T$1000,14,0)</f>
        <v>#N/A</v>
      </c>
      <c r="Q434" s="99" t="e">
        <f t="shared" si="52"/>
        <v>#N/A</v>
      </c>
      <c r="R434" s="100" t="e">
        <f t="shared" si="53"/>
        <v>#N/A</v>
      </c>
      <c r="S434" s="83" t="e">
        <f>VLOOKUP($C434,'Daily_BU설비데이터 '!$C$20:$T$1000,17,0)</f>
        <v>#N/A</v>
      </c>
      <c r="T434" s="83" t="e">
        <f>VLOOKUP($C434,'Daily_BU설비데이터 '!$C$20:$T$1000,18,0)</f>
        <v>#N/A</v>
      </c>
      <c r="U434" s="101" t="e">
        <f t="shared" si="54"/>
        <v>#N/A</v>
      </c>
      <c r="V434" s="45"/>
      <c r="W434" s="45"/>
      <c r="X434" s="45"/>
      <c r="Y434" s="45"/>
      <c r="Z434" s="45"/>
      <c r="AA434" s="45"/>
    </row>
    <row r="435" spans="2:27" x14ac:dyDescent="0.45">
      <c r="B435" s="45" t="s">
        <v>241</v>
      </c>
      <c r="C435" s="90"/>
      <c r="D435" s="56"/>
      <c r="E435" s="80"/>
      <c r="F435" s="58" t="e">
        <f>VLOOKUP($C435,'Daily_BU설비데이터 '!$C$20:$T$1000,4,0)</f>
        <v>#N/A</v>
      </c>
      <c r="G435" s="58" t="e">
        <f>VLOOKUP($C435,'Daily_BU설비데이터 '!$C$20:$T$1000,5,0)</f>
        <v>#N/A</v>
      </c>
      <c r="H435" s="58" t="e">
        <f>VLOOKUP($C435,'Daily_BU설비데이터 '!$C$20:$T$1000,6,0)</f>
        <v>#N/A</v>
      </c>
      <c r="I435" s="58" t="e">
        <f>VLOOKUP($C435,'Daily_BU설비데이터 '!$C$20:$T$1000,7,0)</f>
        <v>#N/A</v>
      </c>
      <c r="J435" s="58" t="e">
        <f>VLOOKUP($C435,'Daily_BU설비데이터 '!$C$20:$T$1000,8,0)</f>
        <v>#N/A</v>
      </c>
      <c r="K435" s="58" t="e">
        <f>VLOOKUP($C435,'Daily_BU설비데이터 '!$C$20:$T$1000,9,0)</f>
        <v>#N/A</v>
      </c>
      <c r="L435" s="59" t="e">
        <f t="shared" si="51"/>
        <v>#N/A</v>
      </c>
      <c r="M435" s="68" t="e">
        <f>VLOOKUP($C435,'Daily_BU설비데이터 '!$C$20:$T$1000,11,0)</f>
        <v>#N/A</v>
      </c>
      <c r="N435" s="68" t="e">
        <f>VLOOKUP($C435,'Daily_BU설비데이터 '!$C$20:$T$1000,12,0)</f>
        <v>#N/A</v>
      </c>
      <c r="O435" s="68" t="e">
        <f>VLOOKUP($C435,'Daily_BU설비데이터 '!$C$20:$T$1000,13,0)</f>
        <v>#N/A</v>
      </c>
      <c r="P435" s="68" t="e">
        <f>VLOOKUP($C435,'Daily_BU설비데이터 '!$C$20:$T$1000,14,0)</f>
        <v>#N/A</v>
      </c>
      <c r="Q435" s="99" t="e">
        <f t="shared" si="52"/>
        <v>#N/A</v>
      </c>
      <c r="R435" s="100" t="e">
        <f t="shared" si="53"/>
        <v>#N/A</v>
      </c>
      <c r="S435" s="83" t="e">
        <f>VLOOKUP($C435,'Daily_BU설비데이터 '!$C$20:$T$1000,17,0)</f>
        <v>#N/A</v>
      </c>
      <c r="T435" s="83" t="e">
        <f>VLOOKUP($C435,'Daily_BU설비데이터 '!$C$20:$T$1000,18,0)</f>
        <v>#N/A</v>
      </c>
      <c r="U435" s="101" t="e">
        <f t="shared" si="54"/>
        <v>#N/A</v>
      </c>
      <c r="V435" s="45"/>
      <c r="W435" s="45"/>
      <c r="X435" s="45"/>
      <c r="Y435" s="45"/>
      <c r="Z435" s="45"/>
      <c r="AA435" s="45"/>
    </row>
    <row r="436" spans="2:27" x14ac:dyDescent="0.45">
      <c r="B436" s="45" t="s">
        <v>242</v>
      </c>
      <c r="C436" s="90"/>
      <c r="D436" s="56"/>
      <c r="E436" s="84"/>
      <c r="F436" s="58" t="e">
        <f>VLOOKUP($C436,'Daily_BU설비데이터 '!$C$20:$T$1000,4,0)</f>
        <v>#N/A</v>
      </c>
      <c r="G436" s="58" t="e">
        <f>VLOOKUP($C436,'Daily_BU설비데이터 '!$C$20:$T$1000,5,0)</f>
        <v>#N/A</v>
      </c>
      <c r="H436" s="58" t="e">
        <f>VLOOKUP($C436,'Daily_BU설비데이터 '!$C$20:$T$1000,6,0)</f>
        <v>#N/A</v>
      </c>
      <c r="I436" s="58" t="e">
        <f>VLOOKUP($C436,'Daily_BU설비데이터 '!$C$20:$T$1000,7,0)</f>
        <v>#N/A</v>
      </c>
      <c r="J436" s="58" t="e">
        <f>VLOOKUP($C436,'Daily_BU설비데이터 '!$C$20:$T$1000,8,0)</f>
        <v>#N/A</v>
      </c>
      <c r="K436" s="58" t="e">
        <f>VLOOKUP($C436,'Daily_BU설비데이터 '!$C$20:$T$1000,9,0)</f>
        <v>#N/A</v>
      </c>
      <c r="L436" s="59" t="e">
        <f t="shared" si="51"/>
        <v>#N/A</v>
      </c>
      <c r="M436" s="68" t="e">
        <f>VLOOKUP($C436,'Daily_BU설비데이터 '!$C$20:$T$1000,11,0)</f>
        <v>#N/A</v>
      </c>
      <c r="N436" s="68" t="e">
        <f>VLOOKUP($C436,'Daily_BU설비데이터 '!$C$20:$T$1000,12,0)</f>
        <v>#N/A</v>
      </c>
      <c r="O436" s="68" t="e">
        <f>VLOOKUP($C436,'Daily_BU설비데이터 '!$C$20:$T$1000,13,0)</f>
        <v>#N/A</v>
      </c>
      <c r="P436" s="68" t="e">
        <f>VLOOKUP($C436,'Daily_BU설비데이터 '!$C$20:$T$1000,14,0)</f>
        <v>#N/A</v>
      </c>
      <c r="Q436" s="99" t="e">
        <f t="shared" si="52"/>
        <v>#N/A</v>
      </c>
      <c r="R436" s="100" t="e">
        <f t="shared" si="53"/>
        <v>#N/A</v>
      </c>
      <c r="S436" s="83" t="e">
        <f>VLOOKUP($C436,'Daily_BU설비데이터 '!$C$20:$T$1000,17,0)</f>
        <v>#N/A</v>
      </c>
      <c r="T436" s="83" t="e">
        <f>VLOOKUP($C436,'Daily_BU설비데이터 '!$C$20:$T$1000,18,0)</f>
        <v>#N/A</v>
      </c>
      <c r="U436" s="101" t="e">
        <f t="shared" si="54"/>
        <v>#N/A</v>
      </c>
      <c r="V436" s="45"/>
      <c r="W436" s="45"/>
      <c r="X436" s="45"/>
      <c r="Y436" s="45"/>
      <c r="Z436" s="45"/>
      <c r="AA436" s="45"/>
    </row>
    <row r="437" spans="2:27" x14ac:dyDescent="0.45">
      <c r="B437" s="45" t="s">
        <v>243</v>
      </c>
      <c r="C437" s="90"/>
      <c r="D437" s="56"/>
      <c r="E437" s="57"/>
      <c r="F437" s="58" t="e">
        <f>VLOOKUP($C437,'Daily_BU설비데이터 '!$C$20:$T$1000,4,0)</f>
        <v>#N/A</v>
      </c>
      <c r="G437" s="58" t="e">
        <f>VLOOKUP($C437,'Daily_BU설비데이터 '!$C$20:$T$1000,5,0)</f>
        <v>#N/A</v>
      </c>
      <c r="H437" s="58" t="e">
        <f>VLOOKUP($C437,'Daily_BU설비데이터 '!$C$20:$T$1000,6,0)</f>
        <v>#N/A</v>
      </c>
      <c r="I437" s="58" t="e">
        <f>VLOOKUP($C437,'Daily_BU설비데이터 '!$C$20:$T$1000,7,0)</f>
        <v>#N/A</v>
      </c>
      <c r="J437" s="58" t="e">
        <f>VLOOKUP($C437,'Daily_BU설비데이터 '!$C$20:$T$1000,8,0)</f>
        <v>#N/A</v>
      </c>
      <c r="K437" s="58" t="e">
        <f>VLOOKUP($C437,'Daily_BU설비데이터 '!$C$20:$T$1000,9,0)</f>
        <v>#N/A</v>
      </c>
      <c r="L437" s="59" t="e">
        <f t="shared" si="51"/>
        <v>#N/A</v>
      </c>
      <c r="M437" s="68" t="e">
        <f>VLOOKUP($C437,'Daily_BU설비데이터 '!$C$20:$T$1000,11,0)</f>
        <v>#N/A</v>
      </c>
      <c r="N437" s="68" t="e">
        <f>VLOOKUP($C437,'Daily_BU설비데이터 '!$C$20:$T$1000,12,0)</f>
        <v>#N/A</v>
      </c>
      <c r="O437" s="68" t="e">
        <f>VLOOKUP($C437,'Daily_BU설비데이터 '!$C$20:$T$1000,13,0)</f>
        <v>#N/A</v>
      </c>
      <c r="P437" s="68" t="e">
        <f>VLOOKUP($C437,'Daily_BU설비데이터 '!$C$20:$T$1000,14,0)</f>
        <v>#N/A</v>
      </c>
      <c r="Q437" s="99" t="e">
        <f t="shared" si="52"/>
        <v>#N/A</v>
      </c>
      <c r="R437" s="100" t="e">
        <f t="shared" si="53"/>
        <v>#N/A</v>
      </c>
      <c r="S437" s="83" t="e">
        <f>VLOOKUP($C437,'Daily_BU설비데이터 '!$C$20:$T$1000,17,0)</f>
        <v>#N/A</v>
      </c>
      <c r="T437" s="83" t="e">
        <f>VLOOKUP($C437,'Daily_BU설비데이터 '!$C$20:$T$1000,18,0)</f>
        <v>#N/A</v>
      </c>
      <c r="U437" s="101" t="e">
        <f t="shared" si="54"/>
        <v>#N/A</v>
      </c>
      <c r="V437" s="45"/>
      <c r="W437" s="45"/>
      <c r="X437" s="45"/>
      <c r="Y437" s="45"/>
      <c r="Z437" s="45"/>
      <c r="AA437" s="45"/>
    </row>
    <row r="438" spans="2:27" x14ac:dyDescent="0.45">
      <c r="B438" s="45" t="s">
        <v>244</v>
      </c>
      <c r="C438" s="90"/>
      <c r="D438" s="56"/>
      <c r="E438" s="80"/>
      <c r="F438" s="58" t="e">
        <f>VLOOKUP($C438,'Daily_BU설비데이터 '!$C$20:$T$1000,4,0)</f>
        <v>#N/A</v>
      </c>
      <c r="G438" s="58" t="e">
        <f>VLOOKUP($C438,'Daily_BU설비데이터 '!$C$20:$T$1000,5,0)</f>
        <v>#N/A</v>
      </c>
      <c r="H438" s="58" t="e">
        <f>VLOOKUP($C438,'Daily_BU설비데이터 '!$C$20:$T$1000,6,0)</f>
        <v>#N/A</v>
      </c>
      <c r="I438" s="58" t="e">
        <f>VLOOKUP($C438,'Daily_BU설비데이터 '!$C$20:$T$1000,7,0)</f>
        <v>#N/A</v>
      </c>
      <c r="J438" s="58" t="e">
        <f>VLOOKUP($C438,'Daily_BU설비데이터 '!$C$20:$T$1000,8,0)</f>
        <v>#N/A</v>
      </c>
      <c r="K438" s="58" t="e">
        <f>VLOOKUP($C438,'Daily_BU설비데이터 '!$C$20:$T$1000,9,0)</f>
        <v>#N/A</v>
      </c>
      <c r="L438" s="59" t="e">
        <f t="shared" si="51"/>
        <v>#N/A</v>
      </c>
      <c r="M438" s="68" t="e">
        <f>VLOOKUP($C438,'Daily_BU설비데이터 '!$C$20:$T$1000,11,0)</f>
        <v>#N/A</v>
      </c>
      <c r="N438" s="68" t="e">
        <f>VLOOKUP($C438,'Daily_BU설비데이터 '!$C$20:$T$1000,12,0)</f>
        <v>#N/A</v>
      </c>
      <c r="O438" s="68" t="e">
        <f>VLOOKUP($C438,'Daily_BU설비데이터 '!$C$20:$T$1000,13,0)</f>
        <v>#N/A</v>
      </c>
      <c r="P438" s="68" t="e">
        <f>VLOOKUP($C438,'Daily_BU설비데이터 '!$C$20:$T$1000,14,0)</f>
        <v>#N/A</v>
      </c>
      <c r="Q438" s="99" t="e">
        <f t="shared" si="52"/>
        <v>#N/A</v>
      </c>
      <c r="R438" s="100" t="e">
        <f t="shared" si="53"/>
        <v>#N/A</v>
      </c>
      <c r="S438" s="83" t="e">
        <f>VLOOKUP($C438,'Daily_BU설비데이터 '!$C$20:$T$1000,17,0)</f>
        <v>#N/A</v>
      </c>
      <c r="T438" s="83" t="e">
        <f>VLOOKUP($C438,'Daily_BU설비데이터 '!$C$20:$T$1000,18,0)</f>
        <v>#N/A</v>
      </c>
      <c r="U438" s="101" t="e">
        <f t="shared" si="54"/>
        <v>#N/A</v>
      </c>
      <c r="V438" s="45"/>
      <c r="W438" s="45"/>
      <c r="X438" s="45"/>
      <c r="Y438" s="45"/>
      <c r="Z438" s="45"/>
      <c r="AA438" s="45"/>
    </row>
    <row r="439" spans="2:27" x14ac:dyDescent="0.45">
      <c r="B439" s="45" t="s">
        <v>245</v>
      </c>
      <c r="C439" s="90"/>
      <c r="D439" s="56"/>
      <c r="E439" s="84"/>
      <c r="F439" s="58" t="e">
        <f>VLOOKUP($C439,'Daily_BU설비데이터 '!$C$20:$T$1000,4,0)</f>
        <v>#N/A</v>
      </c>
      <c r="G439" s="58" t="e">
        <f>VLOOKUP($C439,'Daily_BU설비데이터 '!$C$20:$T$1000,5,0)</f>
        <v>#N/A</v>
      </c>
      <c r="H439" s="58" t="e">
        <f>VLOOKUP($C439,'Daily_BU설비데이터 '!$C$20:$T$1000,6,0)</f>
        <v>#N/A</v>
      </c>
      <c r="I439" s="58" t="e">
        <f>VLOOKUP($C439,'Daily_BU설비데이터 '!$C$20:$T$1000,7,0)</f>
        <v>#N/A</v>
      </c>
      <c r="J439" s="58" t="e">
        <f>VLOOKUP($C439,'Daily_BU설비데이터 '!$C$20:$T$1000,8,0)</f>
        <v>#N/A</v>
      </c>
      <c r="K439" s="58" t="e">
        <f>VLOOKUP($C439,'Daily_BU설비데이터 '!$C$20:$T$1000,9,0)</f>
        <v>#N/A</v>
      </c>
      <c r="L439" s="59" t="e">
        <f t="shared" si="51"/>
        <v>#N/A</v>
      </c>
      <c r="M439" s="68" t="e">
        <f>VLOOKUP($C439,'Daily_BU설비데이터 '!$C$20:$T$1000,11,0)</f>
        <v>#N/A</v>
      </c>
      <c r="N439" s="68" t="e">
        <f>VLOOKUP($C439,'Daily_BU설비데이터 '!$C$20:$T$1000,12,0)</f>
        <v>#N/A</v>
      </c>
      <c r="O439" s="68" t="e">
        <f>VLOOKUP($C439,'Daily_BU설비데이터 '!$C$20:$T$1000,13,0)</f>
        <v>#N/A</v>
      </c>
      <c r="P439" s="68" t="e">
        <f>VLOOKUP($C439,'Daily_BU설비데이터 '!$C$20:$T$1000,14,0)</f>
        <v>#N/A</v>
      </c>
      <c r="Q439" s="99" t="e">
        <f t="shared" si="52"/>
        <v>#N/A</v>
      </c>
      <c r="R439" s="100" t="e">
        <f t="shared" si="53"/>
        <v>#N/A</v>
      </c>
      <c r="S439" s="83" t="e">
        <f>VLOOKUP($C439,'Daily_BU설비데이터 '!$C$20:$T$1000,17,0)</f>
        <v>#N/A</v>
      </c>
      <c r="T439" s="83" t="e">
        <f>VLOOKUP($C439,'Daily_BU설비데이터 '!$C$20:$T$1000,18,0)</f>
        <v>#N/A</v>
      </c>
      <c r="U439" s="101" t="e">
        <f t="shared" si="54"/>
        <v>#N/A</v>
      </c>
      <c r="V439" s="45"/>
      <c r="W439" s="45"/>
      <c r="X439" s="45"/>
      <c r="Y439" s="45"/>
      <c r="Z439" s="45"/>
      <c r="AA439" s="45"/>
    </row>
    <row r="440" spans="2:27" x14ac:dyDescent="0.45">
      <c r="B440" s="45" t="s">
        <v>246</v>
      </c>
      <c r="C440" s="90"/>
      <c r="D440" s="56"/>
      <c r="E440" s="57"/>
      <c r="F440" s="58" t="e">
        <f>VLOOKUP($C440,'Daily_BU설비데이터 '!$C$20:$T$1000,4,0)</f>
        <v>#N/A</v>
      </c>
      <c r="G440" s="58" t="e">
        <f>VLOOKUP($C440,'Daily_BU설비데이터 '!$C$20:$T$1000,5,0)</f>
        <v>#N/A</v>
      </c>
      <c r="H440" s="58" t="e">
        <f>VLOOKUP($C440,'Daily_BU설비데이터 '!$C$20:$T$1000,6,0)</f>
        <v>#N/A</v>
      </c>
      <c r="I440" s="58" t="e">
        <f>VLOOKUP($C440,'Daily_BU설비데이터 '!$C$20:$T$1000,7,0)</f>
        <v>#N/A</v>
      </c>
      <c r="J440" s="58" t="e">
        <f>VLOOKUP($C440,'Daily_BU설비데이터 '!$C$20:$T$1000,8,0)</f>
        <v>#N/A</v>
      </c>
      <c r="K440" s="58" t="e">
        <f>VLOOKUP($C440,'Daily_BU설비데이터 '!$C$20:$T$1000,9,0)</f>
        <v>#N/A</v>
      </c>
      <c r="L440" s="59" t="e">
        <f t="shared" si="51"/>
        <v>#N/A</v>
      </c>
      <c r="M440" s="68" t="e">
        <f>VLOOKUP($C440,'Daily_BU설비데이터 '!$C$20:$T$1000,11,0)</f>
        <v>#N/A</v>
      </c>
      <c r="N440" s="68" t="e">
        <f>VLOOKUP($C440,'Daily_BU설비데이터 '!$C$20:$T$1000,12,0)</f>
        <v>#N/A</v>
      </c>
      <c r="O440" s="68" t="e">
        <f>VLOOKUP($C440,'Daily_BU설비데이터 '!$C$20:$T$1000,13,0)</f>
        <v>#N/A</v>
      </c>
      <c r="P440" s="68" t="e">
        <f>VLOOKUP($C440,'Daily_BU설비데이터 '!$C$20:$T$1000,14,0)</f>
        <v>#N/A</v>
      </c>
      <c r="Q440" s="99" t="e">
        <f t="shared" si="52"/>
        <v>#N/A</v>
      </c>
      <c r="R440" s="100" t="e">
        <f t="shared" si="53"/>
        <v>#N/A</v>
      </c>
      <c r="S440" s="83" t="e">
        <f>VLOOKUP($C440,'Daily_BU설비데이터 '!$C$20:$T$1000,17,0)</f>
        <v>#N/A</v>
      </c>
      <c r="T440" s="83" t="e">
        <f>VLOOKUP($C440,'Daily_BU설비데이터 '!$C$20:$T$1000,18,0)</f>
        <v>#N/A</v>
      </c>
      <c r="U440" s="101" t="e">
        <f t="shared" si="54"/>
        <v>#N/A</v>
      </c>
      <c r="V440" s="45"/>
      <c r="W440" s="45"/>
      <c r="X440" s="45"/>
      <c r="Y440" s="45"/>
      <c r="Z440" s="45"/>
      <c r="AA440" s="45"/>
    </row>
    <row r="441" spans="2:27" x14ac:dyDescent="0.45">
      <c r="B441" s="45" t="s">
        <v>247</v>
      </c>
      <c r="C441" s="90"/>
      <c r="D441" s="56"/>
      <c r="E441" s="80"/>
      <c r="F441" s="58" t="e">
        <f>VLOOKUP($C441,'Daily_BU설비데이터 '!$C$20:$T$1000,4,0)</f>
        <v>#N/A</v>
      </c>
      <c r="G441" s="58" t="e">
        <f>VLOOKUP($C441,'Daily_BU설비데이터 '!$C$20:$T$1000,5,0)</f>
        <v>#N/A</v>
      </c>
      <c r="H441" s="58" t="e">
        <f>VLOOKUP($C441,'Daily_BU설비데이터 '!$C$20:$T$1000,6,0)</f>
        <v>#N/A</v>
      </c>
      <c r="I441" s="58" t="e">
        <f>VLOOKUP($C441,'Daily_BU설비데이터 '!$C$20:$T$1000,7,0)</f>
        <v>#N/A</v>
      </c>
      <c r="J441" s="58" t="e">
        <f>VLOOKUP($C441,'Daily_BU설비데이터 '!$C$20:$T$1000,8,0)</f>
        <v>#N/A</v>
      </c>
      <c r="K441" s="58" t="e">
        <f>VLOOKUP($C441,'Daily_BU설비데이터 '!$C$20:$T$1000,9,0)</f>
        <v>#N/A</v>
      </c>
      <c r="L441" s="59" t="e">
        <f t="shared" si="51"/>
        <v>#N/A</v>
      </c>
      <c r="M441" s="68" t="e">
        <f>VLOOKUP($C441,'Daily_BU설비데이터 '!$C$20:$T$1000,11,0)</f>
        <v>#N/A</v>
      </c>
      <c r="N441" s="68" t="e">
        <f>VLOOKUP($C441,'Daily_BU설비데이터 '!$C$20:$T$1000,12,0)</f>
        <v>#N/A</v>
      </c>
      <c r="O441" s="68" t="e">
        <f>VLOOKUP($C441,'Daily_BU설비데이터 '!$C$20:$T$1000,13,0)</f>
        <v>#N/A</v>
      </c>
      <c r="P441" s="68" t="e">
        <f>VLOOKUP($C441,'Daily_BU설비데이터 '!$C$20:$T$1000,14,0)</f>
        <v>#N/A</v>
      </c>
      <c r="Q441" s="99" t="e">
        <f t="shared" si="52"/>
        <v>#N/A</v>
      </c>
      <c r="R441" s="100" t="e">
        <f t="shared" si="53"/>
        <v>#N/A</v>
      </c>
      <c r="S441" s="83" t="e">
        <f>VLOOKUP($C441,'Daily_BU설비데이터 '!$C$20:$T$1000,17,0)</f>
        <v>#N/A</v>
      </c>
      <c r="T441" s="83" t="e">
        <f>VLOOKUP($C441,'Daily_BU설비데이터 '!$C$20:$T$1000,18,0)</f>
        <v>#N/A</v>
      </c>
      <c r="U441" s="101" t="e">
        <f t="shared" si="54"/>
        <v>#N/A</v>
      </c>
      <c r="V441" s="45"/>
      <c r="W441" s="45"/>
      <c r="X441" s="45"/>
      <c r="Y441" s="45"/>
      <c r="Z441" s="45"/>
      <c r="AA441" s="45"/>
    </row>
    <row r="442" spans="2:27" x14ac:dyDescent="0.45">
      <c r="B442" s="45" t="s">
        <v>248</v>
      </c>
      <c r="C442" s="90"/>
      <c r="D442" s="56"/>
      <c r="E442" s="84"/>
      <c r="F442" s="58" t="e">
        <f>VLOOKUP($C442,'Daily_BU설비데이터 '!$C$20:$T$1000,4,0)</f>
        <v>#N/A</v>
      </c>
      <c r="G442" s="58" t="e">
        <f>VLOOKUP($C442,'Daily_BU설비데이터 '!$C$20:$T$1000,5,0)</f>
        <v>#N/A</v>
      </c>
      <c r="H442" s="58" t="e">
        <f>VLOOKUP($C442,'Daily_BU설비데이터 '!$C$20:$T$1000,6,0)</f>
        <v>#N/A</v>
      </c>
      <c r="I442" s="58" t="e">
        <f>VLOOKUP($C442,'Daily_BU설비데이터 '!$C$20:$T$1000,7,0)</f>
        <v>#N/A</v>
      </c>
      <c r="J442" s="58" t="e">
        <f>VLOOKUP($C442,'Daily_BU설비데이터 '!$C$20:$T$1000,8,0)</f>
        <v>#N/A</v>
      </c>
      <c r="K442" s="58" t="e">
        <f>VLOOKUP($C442,'Daily_BU설비데이터 '!$C$20:$T$1000,9,0)</f>
        <v>#N/A</v>
      </c>
      <c r="L442" s="59" t="e">
        <f t="shared" si="51"/>
        <v>#N/A</v>
      </c>
      <c r="M442" s="68" t="e">
        <f>VLOOKUP($C442,'Daily_BU설비데이터 '!$C$20:$T$1000,11,0)</f>
        <v>#N/A</v>
      </c>
      <c r="N442" s="68" t="e">
        <f>VLOOKUP($C442,'Daily_BU설비데이터 '!$C$20:$T$1000,12,0)</f>
        <v>#N/A</v>
      </c>
      <c r="O442" s="68" t="e">
        <f>VLOOKUP($C442,'Daily_BU설비데이터 '!$C$20:$T$1000,13,0)</f>
        <v>#N/A</v>
      </c>
      <c r="P442" s="68" t="e">
        <f>VLOOKUP($C442,'Daily_BU설비데이터 '!$C$20:$T$1000,14,0)</f>
        <v>#N/A</v>
      </c>
      <c r="Q442" s="99" t="e">
        <f t="shared" si="52"/>
        <v>#N/A</v>
      </c>
      <c r="R442" s="100" t="e">
        <f t="shared" si="53"/>
        <v>#N/A</v>
      </c>
      <c r="S442" s="83" t="e">
        <f>VLOOKUP($C442,'Daily_BU설비데이터 '!$C$20:$T$1000,17,0)</f>
        <v>#N/A</v>
      </c>
      <c r="T442" s="83" t="e">
        <f>VLOOKUP($C442,'Daily_BU설비데이터 '!$C$20:$T$1000,18,0)</f>
        <v>#N/A</v>
      </c>
      <c r="U442" s="101" t="e">
        <f t="shared" si="54"/>
        <v>#N/A</v>
      </c>
      <c r="V442" s="45"/>
      <c r="W442" s="45"/>
      <c r="X442" s="45"/>
      <c r="Y442" s="45"/>
      <c r="Z442" s="45"/>
      <c r="AA442" s="45"/>
    </row>
    <row r="443" spans="2:27" x14ac:dyDescent="0.45">
      <c r="B443" s="45" t="s">
        <v>249</v>
      </c>
      <c r="C443" s="90"/>
      <c r="D443" s="56"/>
      <c r="E443" s="57"/>
      <c r="F443" s="58" t="e">
        <f>VLOOKUP($C443,'Daily_BU설비데이터 '!$C$20:$T$1000,4,0)</f>
        <v>#N/A</v>
      </c>
      <c r="G443" s="58" t="e">
        <f>VLOOKUP($C443,'Daily_BU설비데이터 '!$C$20:$T$1000,5,0)</f>
        <v>#N/A</v>
      </c>
      <c r="H443" s="58" t="e">
        <f>VLOOKUP($C443,'Daily_BU설비데이터 '!$C$20:$T$1000,6,0)</f>
        <v>#N/A</v>
      </c>
      <c r="I443" s="58" t="e">
        <f>VLOOKUP($C443,'Daily_BU설비데이터 '!$C$20:$T$1000,7,0)</f>
        <v>#N/A</v>
      </c>
      <c r="J443" s="58" t="e">
        <f>VLOOKUP($C443,'Daily_BU설비데이터 '!$C$20:$T$1000,8,0)</f>
        <v>#N/A</v>
      </c>
      <c r="K443" s="58" t="e">
        <f>VLOOKUP($C443,'Daily_BU설비데이터 '!$C$20:$T$1000,9,0)</f>
        <v>#N/A</v>
      </c>
      <c r="L443" s="59" t="e">
        <f t="shared" si="51"/>
        <v>#N/A</v>
      </c>
      <c r="M443" s="68" t="e">
        <f>VLOOKUP($C443,'Daily_BU설비데이터 '!$C$20:$T$1000,11,0)</f>
        <v>#N/A</v>
      </c>
      <c r="N443" s="68" t="e">
        <f>VLOOKUP($C443,'Daily_BU설비데이터 '!$C$20:$T$1000,12,0)</f>
        <v>#N/A</v>
      </c>
      <c r="O443" s="68" t="e">
        <f>VLOOKUP($C443,'Daily_BU설비데이터 '!$C$20:$T$1000,13,0)</f>
        <v>#N/A</v>
      </c>
      <c r="P443" s="68" t="e">
        <f>VLOOKUP($C443,'Daily_BU설비데이터 '!$C$20:$T$1000,14,0)</f>
        <v>#N/A</v>
      </c>
      <c r="Q443" s="99" t="e">
        <f t="shared" si="52"/>
        <v>#N/A</v>
      </c>
      <c r="R443" s="100" t="e">
        <f t="shared" si="53"/>
        <v>#N/A</v>
      </c>
      <c r="S443" s="83" t="e">
        <f>VLOOKUP($C443,'Daily_BU설비데이터 '!$C$20:$T$1000,17,0)</f>
        <v>#N/A</v>
      </c>
      <c r="T443" s="83" t="e">
        <f>VLOOKUP($C443,'Daily_BU설비데이터 '!$C$20:$T$1000,18,0)</f>
        <v>#N/A</v>
      </c>
      <c r="U443" s="101" t="e">
        <f t="shared" si="54"/>
        <v>#N/A</v>
      </c>
      <c r="V443" s="45"/>
      <c r="W443" s="45"/>
      <c r="X443" s="45"/>
      <c r="Y443" s="45"/>
      <c r="Z443" s="45"/>
      <c r="AA443" s="45"/>
    </row>
    <row r="444" spans="2:27" x14ac:dyDescent="0.45">
      <c r="B444" s="45" t="s">
        <v>250</v>
      </c>
      <c r="C444" s="90"/>
      <c r="D444" s="56"/>
      <c r="E444" s="80"/>
      <c r="F444" s="58" t="e">
        <f>VLOOKUP($C444,'Daily_BU설비데이터 '!$C$20:$T$1000,4,0)</f>
        <v>#N/A</v>
      </c>
      <c r="G444" s="58" t="e">
        <f>VLOOKUP($C444,'Daily_BU설비데이터 '!$C$20:$T$1000,5,0)</f>
        <v>#N/A</v>
      </c>
      <c r="H444" s="58" t="e">
        <f>VLOOKUP($C444,'Daily_BU설비데이터 '!$C$20:$T$1000,6,0)</f>
        <v>#N/A</v>
      </c>
      <c r="I444" s="58" t="e">
        <f>VLOOKUP($C444,'Daily_BU설비데이터 '!$C$20:$T$1000,7,0)</f>
        <v>#N/A</v>
      </c>
      <c r="J444" s="58" t="e">
        <f>VLOOKUP($C444,'Daily_BU설비데이터 '!$C$20:$T$1000,8,0)</f>
        <v>#N/A</v>
      </c>
      <c r="K444" s="58" t="e">
        <f>VLOOKUP($C444,'Daily_BU설비데이터 '!$C$20:$T$1000,9,0)</f>
        <v>#N/A</v>
      </c>
      <c r="L444" s="59" t="e">
        <f t="shared" si="51"/>
        <v>#N/A</v>
      </c>
      <c r="M444" s="68" t="e">
        <f>VLOOKUP($C444,'Daily_BU설비데이터 '!$C$20:$T$1000,11,0)</f>
        <v>#N/A</v>
      </c>
      <c r="N444" s="68" t="e">
        <f>VLOOKUP($C444,'Daily_BU설비데이터 '!$C$20:$T$1000,12,0)</f>
        <v>#N/A</v>
      </c>
      <c r="O444" s="68" t="e">
        <f>VLOOKUP($C444,'Daily_BU설비데이터 '!$C$20:$T$1000,13,0)</f>
        <v>#N/A</v>
      </c>
      <c r="P444" s="68" t="e">
        <f>VLOOKUP($C444,'Daily_BU설비데이터 '!$C$20:$T$1000,14,0)</f>
        <v>#N/A</v>
      </c>
      <c r="Q444" s="99" t="e">
        <f t="shared" si="52"/>
        <v>#N/A</v>
      </c>
      <c r="R444" s="100" t="e">
        <f t="shared" si="53"/>
        <v>#N/A</v>
      </c>
      <c r="S444" s="83" t="e">
        <f>VLOOKUP($C444,'Daily_BU설비데이터 '!$C$20:$T$1000,17,0)</f>
        <v>#N/A</v>
      </c>
      <c r="T444" s="83" t="e">
        <f>VLOOKUP($C444,'Daily_BU설비데이터 '!$C$20:$T$1000,18,0)</f>
        <v>#N/A</v>
      </c>
      <c r="U444" s="101" t="e">
        <f t="shared" si="54"/>
        <v>#N/A</v>
      </c>
      <c r="V444" s="45"/>
      <c r="W444" s="45"/>
      <c r="X444" s="45"/>
      <c r="Y444" s="45"/>
      <c r="Z444" s="45"/>
      <c r="AA444" s="45"/>
    </row>
    <row r="445" spans="2:27" x14ac:dyDescent="0.45">
      <c r="B445" s="45" t="s">
        <v>251</v>
      </c>
      <c r="C445" s="90"/>
      <c r="D445" s="56"/>
      <c r="E445" s="84"/>
      <c r="F445" s="58" t="e">
        <f>VLOOKUP($C445,'Daily_BU설비데이터 '!$C$20:$T$1000,4,0)</f>
        <v>#N/A</v>
      </c>
      <c r="G445" s="58" t="e">
        <f>VLOOKUP($C445,'Daily_BU설비데이터 '!$C$20:$T$1000,5,0)</f>
        <v>#N/A</v>
      </c>
      <c r="H445" s="58" t="e">
        <f>VLOOKUP($C445,'Daily_BU설비데이터 '!$C$20:$T$1000,6,0)</f>
        <v>#N/A</v>
      </c>
      <c r="I445" s="58" t="e">
        <f>VLOOKUP($C445,'Daily_BU설비데이터 '!$C$20:$T$1000,7,0)</f>
        <v>#N/A</v>
      </c>
      <c r="J445" s="58" t="e">
        <f>VLOOKUP($C445,'Daily_BU설비데이터 '!$C$20:$T$1000,8,0)</f>
        <v>#N/A</v>
      </c>
      <c r="K445" s="58" t="e">
        <f>VLOOKUP($C445,'Daily_BU설비데이터 '!$C$20:$T$1000,9,0)</f>
        <v>#N/A</v>
      </c>
      <c r="L445" s="59" t="e">
        <f t="shared" si="51"/>
        <v>#N/A</v>
      </c>
      <c r="M445" s="68" t="e">
        <f>VLOOKUP($C445,'Daily_BU설비데이터 '!$C$20:$T$1000,11,0)</f>
        <v>#N/A</v>
      </c>
      <c r="N445" s="68" t="e">
        <f>VLOOKUP($C445,'Daily_BU설비데이터 '!$C$20:$T$1000,12,0)</f>
        <v>#N/A</v>
      </c>
      <c r="O445" s="68" t="e">
        <f>VLOOKUP($C445,'Daily_BU설비데이터 '!$C$20:$T$1000,13,0)</f>
        <v>#N/A</v>
      </c>
      <c r="P445" s="68" t="e">
        <f>VLOOKUP($C445,'Daily_BU설비데이터 '!$C$20:$T$1000,14,0)</f>
        <v>#N/A</v>
      </c>
      <c r="Q445" s="99" t="e">
        <f t="shared" si="52"/>
        <v>#N/A</v>
      </c>
      <c r="R445" s="100" t="e">
        <f t="shared" si="53"/>
        <v>#N/A</v>
      </c>
      <c r="S445" s="83" t="e">
        <f>VLOOKUP($C445,'Daily_BU설비데이터 '!$C$20:$T$1000,17,0)</f>
        <v>#N/A</v>
      </c>
      <c r="T445" s="83" t="e">
        <f>VLOOKUP($C445,'Daily_BU설비데이터 '!$C$20:$T$1000,18,0)</f>
        <v>#N/A</v>
      </c>
      <c r="U445" s="101" t="e">
        <f t="shared" si="54"/>
        <v>#N/A</v>
      </c>
      <c r="V445" s="45"/>
      <c r="W445" s="45"/>
      <c r="X445" s="45"/>
      <c r="Y445" s="45"/>
      <c r="Z445" s="45"/>
      <c r="AA445" s="45"/>
    </row>
    <row r="446" spans="2:27" x14ac:dyDescent="0.45">
      <c r="B446" s="45" t="s">
        <v>252</v>
      </c>
      <c r="C446" s="90"/>
      <c r="D446" s="56"/>
      <c r="E446" s="57"/>
      <c r="F446" s="58" t="e">
        <f>VLOOKUP($C446,'Daily_BU설비데이터 '!$C$20:$T$1000,4,0)</f>
        <v>#N/A</v>
      </c>
      <c r="G446" s="58" t="e">
        <f>VLOOKUP($C446,'Daily_BU설비데이터 '!$C$20:$T$1000,5,0)</f>
        <v>#N/A</v>
      </c>
      <c r="H446" s="58" t="e">
        <f>VLOOKUP($C446,'Daily_BU설비데이터 '!$C$20:$T$1000,6,0)</f>
        <v>#N/A</v>
      </c>
      <c r="I446" s="58" t="e">
        <f>VLOOKUP($C446,'Daily_BU설비데이터 '!$C$20:$T$1000,7,0)</f>
        <v>#N/A</v>
      </c>
      <c r="J446" s="58" t="e">
        <f>VLOOKUP($C446,'Daily_BU설비데이터 '!$C$20:$T$1000,8,0)</f>
        <v>#N/A</v>
      </c>
      <c r="K446" s="58" t="e">
        <f>VLOOKUP($C446,'Daily_BU설비데이터 '!$C$20:$T$1000,9,0)</f>
        <v>#N/A</v>
      </c>
      <c r="L446" s="59" t="e">
        <f t="shared" si="51"/>
        <v>#N/A</v>
      </c>
      <c r="M446" s="68" t="e">
        <f>VLOOKUP($C446,'Daily_BU설비데이터 '!$C$20:$T$1000,11,0)</f>
        <v>#N/A</v>
      </c>
      <c r="N446" s="68" t="e">
        <f>VLOOKUP($C446,'Daily_BU설비데이터 '!$C$20:$T$1000,12,0)</f>
        <v>#N/A</v>
      </c>
      <c r="O446" s="68" t="e">
        <f>VLOOKUP($C446,'Daily_BU설비데이터 '!$C$20:$T$1000,13,0)</f>
        <v>#N/A</v>
      </c>
      <c r="P446" s="68" t="e">
        <f>VLOOKUP($C446,'Daily_BU설비데이터 '!$C$20:$T$1000,14,0)</f>
        <v>#N/A</v>
      </c>
      <c r="Q446" s="99" t="e">
        <f t="shared" si="52"/>
        <v>#N/A</v>
      </c>
      <c r="R446" s="100" t="e">
        <f t="shared" si="53"/>
        <v>#N/A</v>
      </c>
      <c r="S446" s="83" t="e">
        <f>VLOOKUP($C446,'Daily_BU설비데이터 '!$C$20:$T$1000,17,0)</f>
        <v>#N/A</v>
      </c>
      <c r="T446" s="83" t="e">
        <f>VLOOKUP($C446,'Daily_BU설비데이터 '!$C$20:$T$1000,18,0)</f>
        <v>#N/A</v>
      </c>
      <c r="U446" s="101" t="e">
        <f t="shared" si="54"/>
        <v>#N/A</v>
      </c>
      <c r="V446" s="45"/>
      <c r="W446" s="45"/>
      <c r="X446" s="45"/>
      <c r="Y446" s="45"/>
      <c r="Z446" s="45"/>
      <c r="AA446" s="45"/>
    </row>
    <row r="447" spans="2:27" x14ac:dyDescent="0.45">
      <c r="B447" s="45" t="s">
        <v>253</v>
      </c>
      <c r="C447" s="90"/>
      <c r="D447" s="56"/>
      <c r="E447" s="80"/>
      <c r="F447" s="58" t="e">
        <f>VLOOKUP($C447,'Daily_BU설비데이터 '!$C$20:$T$1000,4,0)</f>
        <v>#N/A</v>
      </c>
      <c r="G447" s="58" t="e">
        <f>VLOOKUP($C447,'Daily_BU설비데이터 '!$C$20:$T$1000,5,0)</f>
        <v>#N/A</v>
      </c>
      <c r="H447" s="58" t="e">
        <f>VLOOKUP($C447,'Daily_BU설비데이터 '!$C$20:$T$1000,6,0)</f>
        <v>#N/A</v>
      </c>
      <c r="I447" s="58" t="e">
        <f>VLOOKUP($C447,'Daily_BU설비데이터 '!$C$20:$T$1000,7,0)</f>
        <v>#N/A</v>
      </c>
      <c r="J447" s="58" t="e">
        <f>VLOOKUP($C447,'Daily_BU설비데이터 '!$C$20:$T$1000,8,0)</f>
        <v>#N/A</v>
      </c>
      <c r="K447" s="58" t="e">
        <f>VLOOKUP($C447,'Daily_BU설비데이터 '!$C$20:$T$1000,9,0)</f>
        <v>#N/A</v>
      </c>
      <c r="L447" s="59" t="e">
        <f t="shared" si="51"/>
        <v>#N/A</v>
      </c>
      <c r="M447" s="68" t="e">
        <f>VLOOKUP($C447,'Daily_BU설비데이터 '!$C$20:$T$1000,11,0)</f>
        <v>#N/A</v>
      </c>
      <c r="N447" s="68" t="e">
        <f>VLOOKUP($C447,'Daily_BU설비데이터 '!$C$20:$T$1000,12,0)</f>
        <v>#N/A</v>
      </c>
      <c r="O447" s="68" t="e">
        <f>VLOOKUP($C447,'Daily_BU설비데이터 '!$C$20:$T$1000,13,0)</f>
        <v>#N/A</v>
      </c>
      <c r="P447" s="68" t="e">
        <f>VLOOKUP($C447,'Daily_BU설비데이터 '!$C$20:$T$1000,14,0)</f>
        <v>#N/A</v>
      </c>
      <c r="Q447" s="99" t="e">
        <f t="shared" si="52"/>
        <v>#N/A</v>
      </c>
      <c r="R447" s="100" t="e">
        <f t="shared" si="53"/>
        <v>#N/A</v>
      </c>
      <c r="S447" s="83" t="e">
        <f>VLOOKUP($C447,'Daily_BU설비데이터 '!$C$20:$T$1000,17,0)</f>
        <v>#N/A</v>
      </c>
      <c r="T447" s="83" t="e">
        <f>VLOOKUP($C447,'Daily_BU설비데이터 '!$C$20:$T$1000,18,0)</f>
        <v>#N/A</v>
      </c>
      <c r="U447" s="101" t="e">
        <f t="shared" si="54"/>
        <v>#N/A</v>
      </c>
      <c r="V447" s="45"/>
      <c r="W447" s="45"/>
      <c r="X447" s="45"/>
      <c r="Y447" s="45"/>
      <c r="Z447" s="45"/>
      <c r="AA447" s="45"/>
    </row>
    <row r="448" spans="2:27" x14ac:dyDescent="0.45">
      <c r="B448" s="45" t="s">
        <v>254</v>
      </c>
      <c r="C448" s="90"/>
      <c r="D448" s="56"/>
      <c r="E448" s="84"/>
      <c r="F448" s="58" t="e">
        <f>VLOOKUP($C448,'Daily_BU설비데이터 '!$C$20:$T$1000,4,0)</f>
        <v>#N/A</v>
      </c>
      <c r="G448" s="58" t="e">
        <f>VLOOKUP($C448,'Daily_BU설비데이터 '!$C$20:$T$1000,5,0)</f>
        <v>#N/A</v>
      </c>
      <c r="H448" s="58" t="e">
        <f>VLOOKUP($C448,'Daily_BU설비데이터 '!$C$20:$T$1000,6,0)</f>
        <v>#N/A</v>
      </c>
      <c r="I448" s="58" t="e">
        <f>VLOOKUP($C448,'Daily_BU설비데이터 '!$C$20:$T$1000,7,0)</f>
        <v>#N/A</v>
      </c>
      <c r="J448" s="58" t="e">
        <f>VLOOKUP($C448,'Daily_BU설비데이터 '!$C$20:$T$1000,8,0)</f>
        <v>#N/A</v>
      </c>
      <c r="K448" s="58" t="e">
        <f>VLOOKUP($C448,'Daily_BU설비데이터 '!$C$20:$T$1000,9,0)</f>
        <v>#N/A</v>
      </c>
      <c r="L448" s="59" t="e">
        <f t="shared" si="51"/>
        <v>#N/A</v>
      </c>
      <c r="M448" s="68" t="e">
        <f>VLOOKUP($C448,'Daily_BU설비데이터 '!$C$20:$T$1000,11,0)</f>
        <v>#N/A</v>
      </c>
      <c r="N448" s="68" t="e">
        <f>VLOOKUP($C448,'Daily_BU설비데이터 '!$C$20:$T$1000,12,0)</f>
        <v>#N/A</v>
      </c>
      <c r="O448" s="68" t="e">
        <f>VLOOKUP($C448,'Daily_BU설비데이터 '!$C$20:$T$1000,13,0)</f>
        <v>#N/A</v>
      </c>
      <c r="P448" s="68" t="e">
        <f>VLOOKUP($C448,'Daily_BU설비데이터 '!$C$20:$T$1000,14,0)</f>
        <v>#N/A</v>
      </c>
      <c r="Q448" s="99" t="e">
        <f t="shared" si="52"/>
        <v>#N/A</v>
      </c>
      <c r="R448" s="100" t="e">
        <f t="shared" si="53"/>
        <v>#N/A</v>
      </c>
      <c r="S448" s="83" t="e">
        <f>VLOOKUP($C448,'Daily_BU설비데이터 '!$C$20:$T$1000,17,0)</f>
        <v>#N/A</v>
      </c>
      <c r="T448" s="83" t="e">
        <f>VLOOKUP($C448,'Daily_BU설비데이터 '!$C$20:$T$1000,18,0)</f>
        <v>#N/A</v>
      </c>
      <c r="U448" s="101" t="e">
        <f t="shared" si="54"/>
        <v>#N/A</v>
      </c>
      <c r="V448" s="45"/>
      <c r="W448" s="45"/>
      <c r="X448" s="45"/>
      <c r="Y448" s="45"/>
      <c r="Z448" s="45"/>
      <c r="AA448" s="45"/>
    </row>
    <row r="449" spans="2:27" x14ac:dyDescent="0.45">
      <c r="B449" s="45" t="s">
        <v>255</v>
      </c>
      <c r="C449" s="90"/>
      <c r="D449" s="56"/>
      <c r="E449" s="57"/>
      <c r="F449" s="58" t="e">
        <f>VLOOKUP($C449,'Daily_BU설비데이터 '!$C$20:$T$1000,4,0)</f>
        <v>#N/A</v>
      </c>
      <c r="G449" s="58" t="e">
        <f>VLOOKUP($C449,'Daily_BU설비데이터 '!$C$20:$T$1000,5,0)</f>
        <v>#N/A</v>
      </c>
      <c r="H449" s="58" t="e">
        <f>VLOOKUP($C449,'Daily_BU설비데이터 '!$C$20:$T$1000,6,0)</f>
        <v>#N/A</v>
      </c>
      <c r="I449" s="58" t="e">
        <f>VLOOKUP($C449,'Daily_BU설비데이터 '!$C$20:$T$1000,7,0)</f>
        <v>#N/A</v>
      </c>
      <c r="J449" s="58" t="e">
        <f>VLOOKUP($C449,'Daily_BU설비데이터 '!$C$20:$T$1000,8,0)</f>
        <v>#N/A</v>
      </c>
      <c r="K449" s="58" t="e">
        <f>VLOOKUP($C449,'Daily_BU설비데이터 '!$C$20:$T$1000,9,0)</f>
        <v>#N/A</v>
      </c>
      <c r="L449" s="59" t="e">
        <f t="shared" si="51"/>
        <v>#N/A</v>
      </c>
      <c r="M449" s="68" t="e">
        <f>VLOOKUP($C449,'Daily_BU설비데이터 '!$C$20:$T$1000,11,0)</f>
        <v>#N/A</v>
      </c>
      <c r="N449" s="68" t="e">
        <f>VLOOKUP($C449,'Daily_BU설비데이터 '!$C$20:$T$1000,12,0)</f>
        <v>#N/A</v>
      </c>
      <c r="O449" s="68" t="e">
        <f>VLOOKUP($C449,'Daily_BU설비데이터 '!$C$20:$T$1000,13,0)</f>
        <v>#N/A</v>
      </c>
      <c r="P449" s="68" t="e">
        <f>VLOOKUP($C449,'Daily_BU설비데이터 '!$C$20:$T$1000,14,0)</f>
        <v>#N/A</v>
      </c>
      <c r="Q449" s="99" t="e">
        <f t="shared" si="52"/>
        <v>#N/A</v>
      </c>
      <c r="R449" s="100" t="e">
        <f t="shared" si="53"/>
        <v>#N/A</v>
      </c>
      <c r="S449" s="83" t="e">
        <f>VLOOKUP($C449,'Daily_BU설비데이터 '!$C$20:$T$1000,17,0)</f>
        <v>#N/A</v>
      </c>
      <c r="T449" s="83" t="e">
        <f>VLOOKUP($C449,'Daily_BU설비데이터 '!$C$20:$T$1000,18,0)</f>
        <v>#N/A</v>
      </c>
      <c r="U449" s="101" t="e">
        <f t="shared" si="54"/>
        <v>#N/A</v>
      </c>
      <c r="V449" s="45"/>
      <c r="W449" s="45"/>
      <c r="X449" s="45"/>
      <c r="Y449" s="45"/>
      <c r="Z449" s="45"/>
      <c r="AA449" s="45"/>
    </row>
    <row r="450" spans="2:27" x14ac:dyDescent="0.45">
      <c r="B450" s="45" t="s">
        <v>256</v>
      </c>
      <c r="C450" s="90"/>
      <c r="D450" s="56"/>
      <c r="E450" s="80"/>
      <c r="F450" s="58" t="e">
        <f>VLOOKUP($C450,'Daily_BU설비데이터 '!$C$20:$T$1000,4,0)</f>
        <v>#N/A</v>
      </c>
      <c r="G450" s="58" t="e">
        <f>VLOOKUP($C450,'Daily_BU설비데이터 '!$C$20:$T$1000,5,0)</f>
        <v>#N/A</v>
      </c>
      <c r="H450" s="58" t="e">
        <f>VLOOKUP($C450,'Daily_BU설비데이터 '!$C$20:$T$1000,6,0)</f>
        <v>#N/A</v>
      </c>
      <c r="I450" s="58" t="e">
        <f>VLOOKUP($C450,'Daily_BU설비데이터 '!$C$20:$T$1000,7,0)</f>
        <v>#N/A</v>
      </c>
      <c r="J450" s="58" t="e">
        <f>VLOOKUP($C450,'Daily_BU설비데이터 '!$C$20:$T$1000,8,0)</f>
        <v>#N/A</v>
      </c>
      <c r="K450" s="58" t="e">
        <f>VLOOKUP($C450,'Daily_BU설비데이터 '!$C$20:$T$1000,9,0)</f>
        <v>#N/A</v>
      </c>
      <c r="L450" s="59" t="e">
        <f t="shared" si="51"/>
        <v>#N/A</v>
      </c>
      <c r="M450" s="68" t="e">
        <f>VLOOKUP($C450,'Daily_BU설비데이터 '!$C$20:$T$1000,11,0)</f>
        <v>#N/A</v>
      </c>
      <c r="N450" s="68" t="e">
        <f>VLOOKUP($C450,'Daily_BU설비데이터 '!$C$20:$T$1000,12,0)</f>
        <v>#N/A</v>
      </c>
      <c r="O450" s="68" t="e">
        <f>VLOOKUP($C450,'Daily_BU설비데이터 '!$C$20:$T$1000,13,0)</f>
        <v>#N/A</v>
      </c>
      <c r="P450" s="68" t="e">
        <f>VLOOKUP($C450,'Daily_BU설비데이터 '!$C$20:$T$1000,14,0)</f>
        <v>#N/A</v>
      </c>
      <c r="Q450" s="99" t="e">
        <f t="shared" si="52"/>
        <v>#N/A</v>
      </c>
      <c r="R450" s="100" t="e">
        <f t="shared" si="53"/>
        <v>#N/A</v>
      </c>
      <c r="S450" s="83" t="e">
        <f>VLOOKUP($C450,'Daily_BU설비데이터 '!$C$20:$T$1000,17,0)</f>
        <v>#N/A</v>
      </c>
      <c r="T450" s="83" t="e">
        <f>VLOOKUP($C450,'Daily_BU설비데이터 '!$C$20:$T$1000,18,0)</f>
        <v>#N/A</v>
      </c>
      <c r="U450" s="101" t="e">
        <f t="shared" si="54"/>
        <v>#N/A</v>
      </c>
      <c r="V450" s="45"/>
      <c r="W450" s="45"/>
      <c r="X450" s="45"/>
      <c r="Y450" s="45"/>
      <c r="Z450" s="45"/>
      <c r="AA450" s="45"/>
    </row>
    <row r="451" spans="2:27" x14ac:dyDescent="0.45">
      <c r="B451" s="45" t="s">
        <v>257</v>
      </c>
      <c r="C451" s="90"/>
      <c r="D451" s="56"/>
      <c r="E451" s="84"/>
      <c r="F451" s="58" t="e">
        <f>VLOOKUP($C451,'Daily_BU설비데이터 '!$C$20:$T$1000,4,0)</f>
        <v>#N/A</v>
      </c>
      <c r="G451" s="58" t="e">
        <f>VLOOKUP($C451,'Daily_BU설비데이터 '!$C$20:$T$1000,5,0)</f>
        <v>#N/A</v>
      </c>
      <c r="H451" s="58" t="e">
        <f>VLOOKUP($C451,'Daily_BU설비데이터 '!$C$20:$T$1000,6,0)</f>
        <v>#N/A</v>
      </c>
      <c r="I451" s="58" t="e">
        <f>VLOOKUP($C451,'Daily_BU설비데이터 '!$C$20:$T$1000,7,0)</f>
        <v>#N/A</v>
      </c>
      <c r="J451" s="58" t="e">
        <f>VLOOKUP($C451,'Daily_BU설비데이터 '!$C$20:$T$1000,8,0)</f>
        <v>#N/A</v>
      </c>
      <c r="K451" s="58" t="e">
        <f>VLOOKUP($C451,'Daily_BU설비데이터 '!$C$20:$T$1000,9,0)</f>
        <v>#N/A</v>
      </c>
      <c r="L451" s="59" t="e">
        <f t="shared" si="51"/>
        <v>#N/A</v>
      </c>
      <c r="M451" s="68" t="e">
        <f>VLOOKUP($C451,'Daily_BU설비데이터 '!$C$20:$T$1000,11,0)</f>
        <v>#N/A</v>
      </c>
      <c r="N451" s="68" t="e">
        <f>VLOOKUP($C451,'Daily_BU설비데이터 '!$C$20:$T$1000,12,0)</f>
        <v>#N/A</v>
      </c>
      <c r="O451" s="68" t="e">
        <f>VLOOKUP($C451,'Daily_BU설비데이터 '!$C$20:$T$1000,13,0)</f>
        <v>#N/A</v>
      </c>
      <c r="P451" s="68" t="e">
        <f>VLOOKUP($C451,'Daily_BU설비데이터 '!$C$20:$T$1000,14,0)</f>
        <v>#N/A</v>
      </c>
      <c r="Q451" s="99" t="e">
        <f t="shared" si="52"/>
        <v>#N/A</v>
      </c>
      <c r="R451" s="100" t="e">
        <f t="shared" si="53"/>
        <v>#N/A</v>
      </c>
      <c r="S451" s="83" t="e">
        <f>VLOOKUP($C451,'Daily_BU설비데이터 '!$C$20:$T$1000,17,0)</f>
        <v>#N/A</v>
      </c>
      <c r="T451" s="83" t="e">
        <f>VLOOKUP($C451,'Daily_BU설비데이터 '!$C$20:$T$1000,18,0)</f>
        <v>#N/A</v>
      </c>
      <c r="U451" s="101" t="e">
        <f t="shared" si="54"/>
        <v>#N/A</v>
      </c>
      <c r="V451" s="45"/>
      <c r="W451" s="45"/>
      <c r="X451" s="45"/>
      <c r="Y451" s="45"/>
      <c r="Z451" s="45"/>
      <c r="AA451" s="45"/>
    </row>
    <row r="452" spans="2:27" x14ac:dyDescent="0.45">
      <c r="B452" s="45" t="s">
        <v>258</v>
      </c>
      <c r="C452" s="90"/>
      <c r="D452" s="56"/>
      <c r="E452" s="57"/>
      <c r="F452" s="58" t="e">
        <f>VLOOKUP($C452,'Daily_BU설비데이터 '!$C$20:$T$1000,4,0)</f>
        <v>#N/A</v>
      </c>
      <c r="G452" s="58" t="e">
        <f>VLOOKUP($C452,'Daily_BU설비데이터 '!$C$20:$T$1000,5,0)</f>
        <v>#N/A</v>
      </c>
      <c r="H452" s="58" t="e">
        <f>VLOOKUP($C452,'Daily_BU설비데이터 '!$C$20:$T$1000,6,0)</f>
        <v>#N/A</v>
      </c>
      <c r="I452" s="58" t="e">
        <f>VLOOKUP($C452,'Daily_BU설비데이터 '!$C$20:$T$1000,7,0)</f>
        <v>#N/A</v>
      </c>
      <c r="J452" s="58" t="e">
        <f>VLOOKUP($C452,'Daily_BU설비데이터 '!$C$20:$T$1000,8,0)</f>
        <v>#N/A</v>
      </c>
      <c r="K452" s="58" t="e">
        <f>VLOOKUP($C452,'Daily_BU설비데이터 '!$C$20:$T$1000,9,0)</f>
        <v>#N/A</v>
      </c>
      <c r="L452" s="59" t="e">
        <f t="shared" si="51"/>
        <v>#N/A</v>
      </c>
      <c r="M452" s="68" t="e">
        <f>VLOOKUP($C452,'Daily_BU설비데이터 '!$C$20:$T$1000,11,0)</f>
        <v>#N/A</v>
      </c>
      <c r="N452" s="68" t="e">
        <f>VLOOKUP($C452,'Daily_BU설비데이터 '!$C$20:$T$1000,12,0)</f>
        <v>#N/A</v>
      </c>
      <c r="O452" s="68" t="e">
        <f>VLOOKUP($C452,'Daily_BU설비데이터 '!$C$20:$T$1000,13,0)</f>
        <v>#N/A</v>
      </c>
      <c r="P452" s="68" t="e">
        <f>VLOOKUP($C452,'Daily_BU설비데이터 '!$C$20:$T$1000,14,0)</f>
        <v>#N/A</v>
      </c>
      <c r="Q452" s="99" t="e">
        <f t="shared" si="52"/>
        <v>#N/A</v>
      </c>
      <c r="R452" s="100" t="e">
        <f t="shared" si="53"/>
        <v>#N/A</v>
      </c>
      <c r="S452" s="83" t="e">
        <f>VLOOKUP($C452,'Daily_BU설비데이터 '!$C$20:$T$1000,17,0)</f>
        <v>#N/A</v>
      </c>
      <c r="T452" s="83" t="e">
        <f>VLOOKUP($C452,'Daily_BU설비데이터 '!$C$20:$T$1000,18,0)</f>
        <v>#N/A</v>
      </c>
      <c r="U452" s="101" t="e">
        <f t="shared" si="54"/>
        <v>#N/A</v>
      </c>
      <c r="V452" s="45"/>
      <c r="W452" s="45"/>
      <c r="X452" s="45"/>
      <c r="Y452" s="45"/>
      <c r="Z452" s="45"/>
      <c r="AA452" s="45"/>
    </row>
    <row r="453" spans="2:27" x14ac:dyDescent="0.45">
      <c r="B453" s="45" t="s">
        <v>259</v>
      </c>
      <c r="C453" s="90"/>
      <c r="D453" s="56"/>
      <c r="E453" s="80"/>
      <c r="F453" s="58" t="e">
        <f>VLOOKUP($C453,'Daily_BU설비데이터 '!$C$20:$T$1000,4,0)</f>
        <v>#N/A</v>
      </c>
      <c r="G453" s="58" t="e">
        <f>VLOOKUP($C453,'Daily_BU설비데이터 '!$C$20:$T$1000,5,0)</f>
        <v>#N/A</v>
      </c>
      <c r="H453" s="58" t="e">
        <f>VLOOKUP($C453,'Daily_BU설비데이터 '!$C$20:$T$1000,6,0)</f>
        <v>#N/A</v>
      </c>
      <c r="I453" s="58" t="e">
        <f>VLOOKUP($C453,'Daily_BU설비데이터 '!$C$20:$T$1000,7,0)</f>
        <v>#N/A</v>
      </c>
      <c r="J453" s="58" t="e">
        <f>VLOOKUP($C453,'Daily_BU설비데이터 '!$C$20:$T$1000,8,0)</f>
        <v>#N/A</v>
      </c>
      <c r="K453" s="58" t="e">
        <f>VLOOKUP($C453,'Daily_BU설비데이터 '!$C$20:$T$1000,9,0)</f>
        <v>#N/A</v>
      </c>
      <c r="L453" s="59" t="e">
        <f t="shared" si="51"/>
        <v>#N/A</v>
      </c>
      <c r="M453" s="68" t="e">
        <f>VLOOKUP($C453,'Daily_BU설비데이터 '!$C$20:$T$1000,11,0)</f>
        <v>#N/A</v>
      </c>
      <c r="N453" s="68" t="e">
        <f>VLOOKUP($C453,'Daily_BU설비데이터 '!$C$20:$T$1000,12,0)</f>
        <v>#N/A</v>
      </c>
      <c r="O453" s="68" t="e">
        <f>VLOOKUP($C453,'Daily_BU설비데이터 '!$C$20:$T$1000,13,0)</f>
        <v>#N/A</v>
      </c>
      <c r="P453" s="68" t="e">
        <f>VLOOKUP($C453,'Daily_BU설비데이터 '!$C$20:$T$1000,14,0)</f>
        <v>#N/A</v>
      </c>
      <c r="Q453" s="99" t="e">
        <f t="shared" si="52"/>
        <v>#N/A</v>
      </c>
      <c r="R453" s="100" t="e">
        <f t="shared" si="53"/>
        <v>#N/A</v>
      </c>
      <c r="S453" s="83" t="e">
        <f>VLOOKUP($C453,'Daily_BU설비데이터 '!$C$20:$T$1000,17,0)</f>
        <v>#N/A</v>
      </c>
      <c r="T453" s="83" t="e">
        <f>VLOOKUP($C453,'Daily_BU설비데이터 '!$C$20:$T$1000,18,0)</f>
        <v>#N/A</v>
      </c>
      <c r="U453" s="101" t="e">
        <f t="shared" si="54"/>
        <v>#N/A</v>
      </c>
      <c r="V453" s="45"/>
      <c r="W453" s="45"/>
      <c r="X453" s="45"/>
      <c r="Y453" s="45"/>
      <c r="Z453" s="45"/>
      <c r="AA453" s="45"/>
    </row>
    <row r="454" spans="2:27" x14ac:dyDescent="0.45">
      <c r="B454" s="45" t="s">
        <v>260</v>
      </c>
      <c r="C454" s="90"/>
      <c r="D454" s="56"/>
      <c r="E454" s="84"/>
      <c r="F454" s="58" t="e">
        <f>VLOOKUP($C454,'Daily_BU설비데이터 '!$C$20:$T$1000,4,0)</f>
        <v>#N/A</v>
      </c>
      <c r="G454" s="58" t="e">
        <f>VLOOKUP($C454,'Daily_BU설비데이터 '!$C$20:$T$1000,5,0)</f>
        <v>#N/A</v>
      </c>
      <c r="H454" s="58" t="e">
        <f>VLOOKUP($C454,'Daily_BU설비데이터 '!$C$20:$T$1000,6,0)</f>
        <v>#N/A</v>
      </c>
      <c r="I454" s="58" t="e">
        <f>VLOOKUP($C454,'Daily_BU설비데이터 '!$C$20:$T$1000,7,0)</f>
        <v>#N/A</v>
      </c>
      <c r="J454" s="58" t="e">
        <f>VLOOKUP($C454,'Daily_BU설비데이터 '!$C$20:$T$1000,8,0)</f>
        <v>#N/A</v>
      </c>
      <c r="K454" s="58" t="e">
        <f>VLOOKUP($C454,'Daily_BU설비데이터 '!$C$20:$T$1000,9,0)</f>
        <v>#N/A</v>
      </c>
      <c r="L454" s="59" t="e">
        <f t="shared" si="51"/>
        <v>#N/A</v>
      </c>
      <c r="M454" s="68" t="e">
        <f>VLOOKUP($C454,'Daily_BU설비데이터 '!$C$20:$T$1000,11,0)</f>
        <v>#N/A</v>
      </c>
      <c r="N454" s="68" t="e">
        <f>VLOOKUP($C454,'Daily_BU설비데이터 '!$C$20:$T$1000,12,0)</f>
        <v>#N/A</v>
      </c>
      <c r="O454" s="68" t="e">
        <f>VLOOKUP($C454,'Daily_BU설비데이터 '!$C$20:$T$1000,13,0)</f>
        <v>#N/A</v>
      </c>
      <c r="P454" s="68" t="e">
        <f>VLOOKUP($C454,'Daily_BU설비데이터 '!$C$20:$T$1000,14,0)</f>
        <v>#N/A</v>
      </c>
      <c r="Q454" s="99" t="e">
        <f t="shared" si="52"/>
        <v>#N/A</v>
      </c>
      <c r="R454" s="100" t="e">
        <f t="shared" si="53"/>
        <v>#N/A</v>
      </c>
      <c r="S454" s="83" t="e">
        <f>VLOOKUP($C454,'Daily_BU설비데이터 '!$C$20:$T$1000,17,0)</f>
        <v>#N/A</v>
      </c>
      <c r="T454" s="83" t="e">
        <f>VLOOKUP($C454,'Daily_BU설비데이터 '!$C$20:$T$1000,18,0)</f>
        <v>#N/A</v>
      </c>
      <c r="U454" s="101" t="e">
        <f t="shared" si="54"/>
        <v>#N/A</v>
      </c>
      <c r="V454" s="45"/>
      <c r="W454" s="45"/>
      <c r="X454" s="45"/>
      <c r="Y454" s="45"/>
      <c r="Z454" s="45"/>
      <c r="AA454" s="45"/>
    </row>
    <row r="455" spans="2:27" x14ac:dyDescent="0.45">
      <c r="B455" s="45" t="s">
        <v>261</v>
      </c>
      <c r="C455" s="90"/>
      <c r="D455" s="56"/>
      <c r="E455" s="57"/>
      <c r="F455" s="58" t="e">
        <f>VLOOKUP($C455,'Daily_BU설비데이터 '!$C$20:$T$1000,4,0)</f>
        <v>#N/A</v>
      </c>
      <c r="G455" s="58" t="e">
        <f>VLOOKUP($C455,'Daily_BU설비데이터 '!$C$20:$T$1000,5,0)</f>
        <v>#N/A</v>
      </c>
      <c r="H455" s="58" t="e">
        <f>VLOOKUP($C455,'Daily_BU설비데이터 '!$C$20:$T$1000,6,0)</f>
        <v>#N/A</v>
      </c>
      <c r="I455" s="58" t="e">
        <f>VLOOKUP($C455,'Daily_BU설비데이터 '!$C$20:$T$1000,7,0)</f>
        <v>#N/A</v>
      </c>
      <c r="J455" s="58" t="e">
        <f>VLOOKUP($C455,'Daily_BU설비데이터 '!$C$20:$T$1000,8,0)</f>
        <v>#N/A</v>
      </c>
      <c r="K455" s="58" t="e">
        <f>VLOOKUP($C455,'Daily_BU설비데이터 '!$C$20:$T$1000,9,0)</f>
        <v>#N/A</v>
      </c>
      <c r="L455" s="59" t="e">
        <f t="shared" si="51"/>
        <v>#N/A</v>
      </c>
      <c r="M455" s="68" t="e">
        <f>VLOOKUP($C455,'Daily_BU설비데이터 '!$C$20:$T$1000,11,0)</f>
        <v>#N/A</v>
      </c>
      <c r="N455" s="68" t="e">
        <f>VLOOKUP($C455,'Daily_BU설비데이터 '!$C$20:$T$1000,12,0)</f>
        <v>#N/A</v>
      </c>
      <c r="O455" s="68" t="e">
        <f>VLOOKUP($C455,'Daily_BU설비데이터 '!$C$20:$T$1000,13,0)</f>
        <v>#N/A</v>
      </c>
      <c r="P455" s="68" t="e">
        <f>VLOOKUP($C455,'Daily_BU설비데이터 '!$C$20:$T$1000,14,0)</f>
        <v>#N/A</v>
      </c>
      <c r="Q455" s="99" t="e">
        <f t="shared" si="52"/>
        <v>#N/A</v>
      </c>
      <c r="R455" s="100" t="e">
        <f t="shared" si="53"/>
        <v>#N/A</v>
      </c>
      <c r="S455" s="83" t="e">
        <f>VLOOKUP($C455,'Daily_BU설비데이터 '!$C$20:$T$1000,17,0)</f>
        <v>#N/A</v>
      </c>
      <c r="T455" s="83" t="e">
        <f>VLOOKUP($C455,'Daily_BU설비데이터 '!$C$20:$T$1000,18,0)</f>
        <v>#N/A</v>
      </c>
      <c r="U455" s="101" t="e">
        <f t="shared" si="54"/>
        <v>#N/A</v>
      </c>
      <c r="V455" s="45"/>
      <c r="W455" s="45"/>
      <c r="X455" s="45"/>
      <c r="Y455" s="45"/>
      <c r="Z455" s="45"/>
      <c r="AA455" s="45"/>
    </row>
    <row r="456" spans="2:27" x14ac:dyDescent="0.45">
      <c r="B456" s="45" t="s">
        <v>262</v>
      </c>
      <c r="C456" s="90"/>
      <c r="D456" s="56"/>
      <c r="E456" s="80"/>
      <c r="F456" s="58" t="e">
        <f>VLOOKUP($C456,'Daily_BU설비데이터 '!$C$20:$T$1000,4,0)</f>
        <v>#N/A</v>
      </c>
      <c r="G456" s="58" t="e">
        <f>VLOOKUP($C456,'Daily_BU설비데이터 '!$C$20:$T$1000,5,0)</f>
        <v>#N/A</v>
      </c>
      <c r="H456" s="58" t="e">
        <f>VLOOKUP($C456,'Daily_BU설비데이터 '!$C$20:$T$1000,6,0)</f>
        <v>#N/A</v>
      </c>
      <c r="I456" s="58" t="e">
        <f>VLOOKUP($C456,'Daily_BU설비데이터 '!$C$20:$T$1000,7,0)</f>
        <v>#N/A</v>
      </c>
      <c r="J456" s="58" t="e">
        <f>VLOOKUP($C456,'Daily_BU설비데이터 '!$C$20:$T$1000,8,0)</f>
        <v>#N/A</v>
      </c>
      <c r="K456" s="58" t="e">
        <f>VLOOKUP($C456,'Daily_BU설비데이터 '!$C$20:$T$1000,9,0)</f>
        <v>#N/A</v>
      </c>
      <c r="L456" s="59" t="e">
        <f t="shared" si="51"/>
        <v>#N/A</v>
      </c>
      <c r="M456" s="68" t="e">
        <f>VLOOKUP($C456,'Daily_BU설비데이터 '!$C$20:$T$1000,11,0)</f>
        <v>#N/A</v>
      </c>
      <c r="N456" s="68" t="e">
        <f>VLOOKUP($C456,'Daily_BU설비데이터 '!$C$20:$T$1000,12,0)</f>
        <v>#N/A</v>
      </c>
      <c r="O456" s="68" t="e">
        <f>VLOOKUP($C456,'Daily_BU설비데이터 '!$C$20:$T$1000,13,0)</f>
        <v>#N/A</v>
      </c>
      <c r="P456" s="68" t="e">
        <f>VLOOKUP($C456,'Daily_BU설비데이터 '!$C$20:$T$1000,14,0)</f>
        <v>#N/A</v>
      </c>
      <c r="Q456" s="99" t="e">
        <f t="shared" si="52"/>
        <v>#N/A</v>
      </c>
      <c r="R456" s="100" t="e">
        <f t="shared" si="53"/>
        <v>#N/A</v>
      </c>
      <c r="S456" s="83" t="e">
        <f>VLOOKUP($C456,'Daily_BU설비데이터 '!$C$20:$T$1000,17,0)</f>
        <v>#N/A</v>
      </c>
      <c r="T456" s="83" t="e">
        <f>VLOOKUP($C456,'Daily_BU설비데이터 '!$C$20:$T$1000,18,0)</f>
        <v>#N/A</v>
      </c>
      <c r="U456" s="101" t="e">
        <f t="shared" si="54"/>
        <v>#N/A</v>
      </c>
      <c r="V456" s="45"/>
      <c r="W456" s="45"/>
      <c r="X456" s="45"/>
      <c r="Y456" s="45"/>
      <c r="Z456" s="45"/>
      <c r="AA456" s="45"/>
    </row>
    <row r="457" spans="2:27" x14ac:dyDescent="0.45">
      <c r="B457" s="45" t="s">
        <v>263</v>
      </c>
      <c r="C457" s="90"/>
      <c r="D457" s="56"/>
      <c r="E457" s="84"/>
      <c r="F457" s="58" t="e">
        <f>VLOOKUP($C457,'Daily_BU설비데이터 '!$C$20:$T$1000,4,0)</f>
        <v>#N/A</v>
      </c>
      <c r="G457" s="58" t="e">
        <f>VLOOKUP($C457,'Daily_BU설비데이터 '!$C$20:$T$1000,5,0)</f>
        <v>#N/A</v>
      </c>
      <c r="H457" s="58" t="e">
        <f>VLOOKUP($C457,'Daily_BU설비데이터 '!$C$20:$T$1000,6,0)</f>
        <v>#N/A</v>
      </c>
      <c r="I457" s="58" t="e">
        <f>VLOOKUP($C457,'Daily_BU설비데이터 '!$C$20:$T$1000,7,0)</f>
        <v>#N/A</v>
      </c>
      <c r="J457" s="58" t="e">
        <f>VLOOKUP($C457,'Daily_BU설비데이터 '!$C$20:$T$1000,8,0)</f>
        <v>#N/A</v>
      </c>
      <c r="K457" s="58" t="e">
        <f>VLOOKUP($C457,'Daily_BU설비데이터 '!$C$20:$T$1000,9,0)</f>
        <v>#N/A</v>
      </c>
      <c r="L457" s="59" t="e">
        <f t="shared" si="51"/>
        <v>#N/A</v>
      </c>
      <c r="M457" s="68" t="e">
        <f>VLOOKUP($C457,'Daily_BU설비데이터 '!$C$20:$T$1000,11,0)</f>
        <v>#N/A</v>
      </c>
      <c r="N457" s="68" t="e">
        <f>VLOOKUP($C457,'Daily_BU설비데이터 '!$C$20:$T$1000,12,0)</f>
        <v>#N/A</v>
      </c>
      <c r="O457" s="68" t="e">
        <f>VLOOKUP($C457,'Daily_BU설비데이터 '!$C$20:$T$1000,13,0)</f>
        <v>#N/A</v>
      </c>
      <c r="P457" s="68" t="e">
        <f>VLOOKUP($C457,'Daily_BU설비데이터 '!$C$20:$T$1000,14,0)</f>
        <v>#N/A</v>
      </c>
      <c r="Q457" s="99" t="e">
        <f t="shared" si="52"/>
        <v>#N/A</v>
      </c>
      <c r="R457" s="100" t="e">
        <f t="shared" si="53"/>
        <v>#N/A</v>
      </c>
      <c r="S457" s="83" t="e">
        <f>VLOOKUP($C457,'Daily_BU설비데이터 '!$C$20:$T$1000,17,0)</f>
        <v>#N/A</v>
      </c>
      <c r="T457" s="83" t="e">
        <f>VLOOKUP($C457,'Daily_BU설비데이터 '!$C$20:$T$1000,18,0)</f>
        <v>#N/A</v>
      </c>
      <c r="U457" s="101" t="e">
        <f t="shared" si="54"/>
        <v>#N/A</v>
      </c>
      <c r="V457" s="45"/>
      <c r="W457" s="45"/>
      <c r="X457" s="45"/>
      <c r="Y457" s="45"/>
      <c r="Z457" s="45"/>
      <c r="AA457" s="45"/>
    </row>
    <row r="458" spans="2:27" x14ac:dyDescent="0.45">
      <c r="B458" s="45" t="s">
        <v>264</v>
      </c>
      <c r="C458" s="90"/>
      <c r="D458" s="56"/>
      <c r="E458" s="57"/>
      <c r="F458" s="58" t="e">
        <f>VLOOKUP($C458,'Daily_BU설비데이터 '!$C$20:$T$1000,4,0)</f>
        <v>#N/A</v>
      </c>
      <c r="G458" s="58" t="e">
        <f>VLOOKUP($C458,'Daily_BU설비데이터 '!$C$20:$T$1000,5,0)</f>
        <v>#N/A</v>
      </c>
      <c r="H458" s="58" t="e">
        <f>VLOOKUP($C458,'Daily_BU설비데이터 '!$C$20:$T$1000,6,0)</f>
        <v>#N/A</v>
      </c>
      <c r="I458" s="58" t="e">
        <f>VLOOKUP($C458,'Daily_BU설비데이터 '!$C$20:$T$1000,7,0)</f>
        <v>#N/A</v>
      </c>
      <c r="J458" s="58" t="e">
        <f>VLOOKUP($C458,'Daily_BU설비데이터 '!$C$20:$T$1000,8,0)</f>
        <v>#N/A</v>
      </c>
      <c r="K458" s="58" t="e">
        <f>VLOOKUP($C458,'Daily_BU설비데이터 '!$C$20:$T$1000,9,0)</f>
        <v>#N/A</v>
      </c>
      <c r="L458" s="59" t="e">
        <f t="shared" si="51"/>
        <v>#N/A</v>
      </c>
      <c r="M458" s="68" t="e">
        <f>VLOOKUP($C458,'Daily_BU설비데이터 '!$C$20:$T$1000,11,0)</f>
        <v>#N/A</v>
      </c>
      <c r="N458" s="68" t="e">
        <f>VLOOKUP($C458,'Daily_BU설비데이터 '!$C$20:$T$1000,12,0)</f>
        <v>#N/A</v>
      </c>
      <c r="O458" s="68" t="e">
        <f>VLOOKUP($C458,'Daily_BU설비데이터 '!$C$20:$T$1000,13,0)</f>
        <v>#N/A</v>
      </c>
      <c r="P458" s="68" t="e">
        <f>VLOOKUP($C458,'Daily_BU설비데이터 '!$C$20:$T$1000,14,0)</f>
        <v>#N/A</v>
      </c>
      <c r="Q458" s="99" t="e">
        <f t="shared" si="52"/>
        <v>#N/A</v>
      </c>
      <c r="R458" s="100" t="e">
        <f t="shared" si="53"/>
        <v>#N/A</v>
      </c>
      <c r="S458" s="83" t="e">
        <f>VLOOKUP($C458,'Daily_BU설비데이터 '!$C$20:$T$1000,17,0)</f>
        <v>#N/A</v>
      </c>
      <c r="T458" s="83" t="e">
        <f>VLOOKUP($C458,'Daily_BU설비데이터 '!$C$20:$T$1000,18,0)</f>
        <v>#N/A</v>
      </c>
      <c r="U458" s="101" t="e">
        <f t="shared" si="54"/>
        <v>#N/A</v>
      </c>
      <c r="V458" s="45"/>
      <c r="W458" s="45"/>
      <c r="X458" s="45"/>
      <c r="Y458" s="45"/>
      <c r="Z458" s="45"/>
      <c r="AA458" s="45"/>
    </row>
    <row r="459" spans="2:27" x14ac:dyDescent="0.45">
      <c r="B459" s="45" t="s">
        <v>265</v>
      </c>
      <c r="C459" s="90"/>
      <c r="D459" s="56"/>
      <c r="E459" s="80"/>
      <c r="F459" s="58" t="e">
        <f>VLOOKUP($C459,'Daily_BU설비데이터 '!$C$20:$T$1000,4,0)</f>
        <v>#N/A</v>
      </c>
      <c r="G459" s="58" t="e">
        <f>VLOOKUP($C459,'Daily_BU설비데이터 '!$C$20:$T$1000,5,0)</f>
        <v>#N/A</v>
      </c>
      <c r="H459" s="58" t="e">
        <f>VLOOKUP($C459,'Daily_BU설비데이터 '!$C$20:$T$1000,6,0)</f>
        <v>#N/A</v>
      </c>
      <c r="I459" s="58" t="e">
        <f>VLOOKUP($C459,'Daily_BU설비데이터 '!$C$20:$T$1000,7,0)</f>
        <v>#N/A</v>
      </c>
      <c r="J459" s="58" t="e">
        <f>VLOOKUP($C459,'Daily_BU설비데이터 '!$C$20:$T$1000,8,0)</f>
        <v>#N/A</v>
      </c>
      <c r="K459" s="58" t="e">
        <f>VLOOKUP($C459,'Daily_BU설비데이터 '!$C$20:$T$1000,9,0)</f>
        <v>#N/A</v>
      </c>
      <c r="L459" s="59" t="e">
        <f t="shared" si="51"/>
        <v>#N/A</v>
      </c>
      <c r="M459" s="68" t="e">
        <f>VLOOKUP($C459,'Daily_BU설비데이터 '!$C$20:$T$1000,11,0)</f>
        <v>#N/A</v>
      </c>
      <c r="N459" s="68" t="e">
        <f>VLOOKUP($C459,'Daily_BU설비데이터 '!$C$20:$T$1000,12,0)</f>
        <v>#N/A</v>
      </c>
      <c r="O459" s="68" t="e">
        <f>VLOOKUP($C459,'Daily_BU설비데이터 '!$C$20:$T$1000,13,0)</f>
        <v>#N/A</v>
      </c>
      <c r="P459" s="68" t="e">
        <f>VLOOKUP($C459,'Daily_BU설비데이터 '!$C$20:$T$1000,14,0)</f>
        <v>#N/A</v>
      </c>
      <c r="Q459" s="99" t="e">
        <f t="shared" si="52"/>
        <v>#N/A</v>
      </c>
      <c r="R459" s="100" t="e">
        <f t="shared" si="53"/>
        <v>#N/A</v>
      </c>
      <c r="S459" s="83" t="e">
        <f>VLOOKUP($C459,'Daily_BU설비데이터 '!$C$20:$T$1000,17,0)</f>
        <v>#N/A</v>
      </c>
      <c r="T459" s="83" t="e">
        <f>VLOOKUP($C459,'Daily_BU설비데이터 '!$C$20:$T$1000,18,0)</f>
        <v>#N/A</v>
      </c>
      <c r="U459" s="101" t="e">
        <f t="shared" si="54"/>
        <v>#N/A</v>
      </c>
      <c r="V459" s="45"/>
      <c r="W459" s="45"/>
      <c r="X459" s="45"/>
      <c r="Y459" s="45"/>
      <c r="Z459" s="45"/>
      <c r="AA459" s="45"/>
    </row>
    <row r="460" spans="2:27" x14ac:dyDescent="0.45">
      <c r="B460" s="45" t="s">
        <v>266</v>
      </c>
      <c r="C460" s="90"/>
      <c r="D460" s="56"/>
      <c r="E460" s="84"/>
      <c r="F460" s="58" t="e">
        <f>VLOOKUP($C460,'Daily_BU설비데이터 '!$C$20:$T$1000,4,0)</f>
        <v>#N/A</v>
      </c>
      <c r="G460" s="58" t="e">
        <f>VLOOKUP($C460,'Daily_BU설비데이터 '!$C$20:$T$1000,5,0)</f>
        <v>#N/A</v>
      </c>
      <c r="H460" s="58" t="e">
        <f>VLOOKUP($C460,'Daily_BU설비데이터 '!$C$20:$T$1000,6,0)</f>
        <v>#N/A</v>
      </c>
      <c r="I460" s="58" t="e">
        <f>VLOOKUP($C460,'Daily_BU설비데이터 '!$C$20:$T$1000,7,0)</f>
        <v>#N/A</v>
      </c>
      <c r="J460" s="58" t="e">
        <f>VLOOKUP($C460,'Daily_BU설비데이터 '!$C$20:$T$1000,8,0)</f>
        <v>#N/A</v>
      </c>
      <c r="K460" s="58" t="e">
        <f>VLOOKUP($C460,'Daily_BU설비데이터 '!$C$20:$T$1000,9,0)</f>
        <v>#N/A</v>
      </c>
      <c r="L460" s="59" t="e">
        <f t="shared" si="51"/>
        <v>#N/A</v>
      </c>
      <c r="M460" s="68" t="e">
        <f>VLOOKUP($C460,'Daily_BU설비데이터 '!$C$20:$T$1000,11,0)</f>
        <v>#N/A</v>
      </c>
      <c r="N460" s="68" t="e">
        <f>VLOOKUP($C460,'Daily_BU설비데이터 '!$C$20:$T$1000,12,0)</f>
        <v>#N/A</v>
      </c>
      <c r="O460" s="68" t="e">
        <f>VLOOKUP($C460,'Daily_BU설비데이터 '!$C$20:$T$1000,13,0)</f>
        <v>#N/A</v>
      </c>
      <c r="P460" s="68" t="e">
        <f>VLOOKUP($C460,'Daily_BU설비데이터 '!$C$20:$T$1000,14,0)</f>
        <v>#N/A</v>
      </c>
      <c r="Q460" s="99" t="e">
        <f t="shared" si="52"/>
        <v>#N/A</v>
      </c>
      <c r="R460" s="100" t="e">
        <f t="shared" si="53"/>
        <v>#N/A</v>
      </c>
      <c r="S460" s="83" t="e">
        <f>VLOOKUP($C460,'Daily_BU설비데이터 '!$C$20:$T$1000,17,0)</f>
        <v>#N/A</v>
      </c>
      <c r="T460" s="83" t="e">
        <f>VLOOKUP($C460,'Daily_BU설비데이터 '!$C$20:$T$1000,18,0)</f>
        <v>#N/A</v>
      </c>
      <c r="U460" s="101" t="e">
        <f t="shared" si="54"/>
        <v>#N/A</v>
      </c>
      <c r="V460" s="45"/>
      <c r="W460" s="45"/>
      <c r="X460" s="45"/>
      <c r="Y460" s="45"/>
      <c r="Z460" s="45"/>
      <c r="AA460" s="45"/>
    </row>
    <row r="461" spans="2:27" x14ac:dyDescent="0.45">
      <c r="B461" s="45" t="s">
        <v>267</v>
      </c>
      <c r="C461" s="90"/>
      <c r="D461" s="56"/>
      <c r="E461" s="57"/>
      <c r="F461" s="58" t="e">
        <f>VLOOKUP($C461,'Daily_BU설비데이터 '!$C$20:$T$1000,4,0)</f>
        <v>#N/A</v>
      </c>
      <c r="G461" s="58" t="e">
        <f>VLOOKUP($C461,'Daily_BU설비데이터 '!$C$20:$T$1000,5,0)</f>
        <v>#N/A</v>
      </c>
      <c r="H461" s="58" t="e">
        <f>VLOOKUP($C461,'Daily_BU설비데이터 '!$C$20:$T$1000,6,0)</f>
        <v>#N/A</v>
      </c>
      <c r="I461" s="58" t="e">
        <f>VLOOKUP($C461,'Daily_BU설비데이터 '!$C$20:$T$1000,7,0)</f>
        <v>#N/A</v>
      </c>
      <c r="J461" s="58" t="e">
        <f>VLOOKUP($C461,'Daily_BU설비데이터 '!$C$20:$T$1000,8,0)</f>
        <v>#N/A</v>
      </c>
      <c r="K461" s="58" t="e">
        <f>VLOOKUP($C461,'Daily_BU설비데이터 '!$C$20:$T$1000,9,0)</f>
        <v>#N/A</v>
      </c>
      <c r="L461" s="59" t="e">
        <f t="shared" si="51"/>
        <v>#N/A</v>
      </c>
      <c r="M461" s="68" t="e">
        <f>VLOOKUP($C461,'Daily_BU설비데이터 '!$C$20:$T$1000,11,0)</f>
        <v>#N/A</v>
      </c>
      <c r="N461" s="68" t="e">
        <f>VLOOKUP($C461,'Daily_BU설비데이터 '!$C$20:$T$1000,12,0)</f>
        <v>#N/A</v>
      </c>
      <c r="O461" s="68" t="e">
        <f>VLOOKUP($C461,'Daily_BU설비데이터 '!$C$20:$T$1000,13,0)</f>
        <v>#N/A</v>
      </c>
      <c r="P461" s="68" t="e">
        <f>VLOOKUP($C461,'Daily_BU설비데이터 '!$C$20:$T$1000,14,0)</f>
        <v>#N/A</v>
      </c>
      <c r="Q461" s="99" t="e">
        <f t="shared" si="52"/>
        <v>#N/A</v>
      </c>
      <c r="R461" s="100" t="e">
        <f t="shared" si="53"/>
        <v>#N/A</v>
      </c>
      <c r="S461" s="83" t="e">
        <f>VLOOKUP($C461,'Daily_BU설비데이터 '!$C$20:$T$1000,17,0)</f>
        <v>#N/A</v>
      </c>
      <c r="T461" s="83" t="e">
        <f>VLOOKUP($C461,'Daily_BU설비데이터 '!$C$20:$T$1000,18,0)</f>
        <v>#N/A</v>
      </c>
      <c r="U461" s="101" t="e">
        <f t="shared" si="54"/>
        <v>#N/A</v>
      </c>
      <c r="V461" s="45"/>
      <c r="W461" s="45"/>
      <c r="X461" s="45"/>
      <c r="Y461" s="45"/>
      <c r="Z461" s="45"/>
      <c r="AA461" s="45"/>
    </row>
    <row r="462" spans="2:27" x14ac:dyDescent="0.45">
      <c r="B462" s="45" t="s">
        <v>268</v>
      </c>
      <c r="C462" s="90"/>
      <c r="D462" s="56"/>
      <c r="E462" s="80"/>
      <c r="F462" s="58" t="e">
        <f>VLOOKUP($C462,'Daily_BU설비데이터 '!$C$20:$T$1000,4,0)</f>
        <v>#N/A</v>
      </c>
      <c r="G462" s="58" t="e">
        <f>VLOOKUP($C462,'Daily_BU설비데이터 '!$C$20:$T$1000,5,0)</f>
        <v>#N/A</v>
      </c>
      <c r="H462" s="58" t="e">
        <f>VLOOKUP($C462,'Daily_BU설비데이터 '!$C$20:$T$1000,6,0)</f>
        <v>#N/A</v>
      </c>
      <c r="I462" s="58" t="e">
        <f>VLOOKUP($C462,'Daily_BU설비데이터 '!$C$20:$T$1000,7,0)</f>
        <v>#N/A</v>
      </c>
      <c r="J462" s="58" t="e">
        <f>VLOOKUP($C462,'Daily_BU설비데이터 '!$C$20:$T$1000,8,0)</f>
        <v>#N/A</v>
      </c>
      <c r="K462" s="58" t="e">
        <f>VLOOKUP($C462,'Daily_BU설비데이터 '!$C$20:$T$1000,9,0)</f>
        <v>#N/A</v>
      </c>
      <c r="L462" s="59" t="e">
        <f t="shared" si="51"/>
        <v>#N/A</v>
      </c>
      <c r="M462" s="68" t="e">
        <f>VLOOKUP($C462,'Daily_BU설비데이터 '!$C$20:$T$1000,11,0)</f>
        <v>#N/A</v>
      </c>
      <c r="N462" s="68" t="e">
        <f>VLOOKUP($C462,'Daily_BU설비데이터 '!$C$20:$T$1000,12,0)</f>
        <v>#N/A</v>
      </c>
      <c r="O462" s="68" t="e">
        <f>VLOOKUP($C462,'Daily_BU설비데이터 '!$C$20:$T$1000,13,0)</f>
        <v>#N/A</v>
      </c>
      <c r="P462" s="68" t="e">
        <f>VLOOKUP($C462,'Daily_BU설비데이터 '!$C$20:$T$1000,14,0)</f>
        <v>#N/A</v>
      </c>
      <c r="Q462" s="99" t="e">
        <f t="shared" si="52"/>
        <v>#N/A</v>
      </c>
      <c r="R462" s="100" t="e">
        <f t="shared" si="53"/>
        <v>#N/A</v>
      </c>
      <c r="S462" s="83" t="e">
        <f>VLOOKUP($C462,'Daily_BU설비데이터 '!$C$20:$T$1000,17,0)</f>
        <v>#N/A</v>
      </c>
      <c r="T462" s="83" t="e">
        <f>VLOOKUP($C462,'Daily_BU설비데이터 '!$C$20:$T$1000,18,0)</f>
        <v>#N/A</v>
      </c>
      <c r="U462" s="101" t="e">
        <f t="shared" si="54"/>
        <v>#N/A</v>
      </c>
      <c r="V462" s="45"/>
      <c r="W462" s="45"/>
      <c r="X462" s="45"/>
      <c r="Y462" s="45"/>
      <c r="Z462" s="45"/>
      <c r="AA462" s="45"/>
    </row>
    <row r="463" spans="2:27" x14ac:dyDescent="0.45">
      <c r="B463" s="45" t="s">
        <v>269</v>
      </c>
      <c r="C463" s="90"/>
      <c r="D463" s="56"/>
      <c r="E463" s="84"/>
      <c r="F463" s="58" t="e">
        <f>VLOOKUP($C463,'Daily_BU설비데이터 '!$C$20:$T$1000,4,0)</f>
        <v>#N/A</v>
      </c>
      <c r="G463" s="58" t="e">
        <f>VLOOKUP($C463,'Daily_BU설비데이터 '!$C$20:$T$1000,5,0)</f>
        <v>#N/A</v>
      </c>
      <c r="H463" s="58" t="e">
        <f>VLOOKUP($C463,'Daily_BU설비데이터 '!$C$20:$T$1000,6,0)</f>
        <v>#N/A</v>
      </c>
      <c r="I463" s="58" t="e">
        <f>VLOOKUP($C463,'Daily_BU설비데이터 '!$C$20:$T$1000,7,0)</f>
        <v>#N/A</v>
      </c>
      <c r="J463" s="58" t="e">
        <f>VLOOKUP($C463,'Daily_BU설비데이터 '!$C$20:$T$1000,8,0)</f>
        <v>#N/A</v>
      </c>
      <c r="K463" s="58" t="e">
        <f>VLOOKUP($C463,'Daily_BU설비데이터 '!$C$20:$T$1000,9,0)</f>
        <v>#N/A</v>
      </c>
      <c r="L463" s="59" t="e">
        <f t="shared" si="51"/>
        <v>#N/A</v>
      </c>
      <c r="M463" s="68" t="e">
        <f>VLOOKUP($C463,'Daily_BU설비데이터 '!$C$20:$T$1000,11,0)</f>
        <v>#N/A</v>
      </c>
      <c r="N463" s="68" t="e">
        <f>VLOOKUP($C463,'Daily_BU설비데이터 '!$C$20:$T$1000,12,0)</f>
        <v>#N/A</v>
      </c>
      <c r="O463" s="68" t="e">
        <f>VLOOKUP($C463,'Daily_BU설비데이터 '!$C$20:$T$1000,13,0)</f>
        <v>#N/A</v>
      </c>
      <c r="P463" s="68" t="e">
        <f>VLOOKUP($C463,'Daily_BU설비데이터 '!$C$20:$T$1000,14,0)</f>
        <v>#N/A</v>
      </c>
      <c r="Q463" s="99" t="e">
        <f t="shared" si="52"/>
        <v>#N/A</v>
      </c>
      <c r="R463" s="100" t="e">
        <f t="shared" si="53"/>
        <v>#N/A</v>
      </c>
      <c r="S463" s="83" t="e">
        <f>VLOOKUP($C463,'Daily_BU설비데이터 '!$C$20:$T$1000,17,0)</f>
        <v>#N/A</v>
      </c>
      <c r="T463" s="83" t="e">
        <f>VLOOKUP($C463,'Daily_BU설비데이터 '!$C$20:$T$1000,18,0)</f>
        <v>#N/A</v>
      </c>
      <c r="U463" s="101" t="e">
        <f t="shared" si="54"/>
        <v>#N/A</v>
      </c>
      <c r="V463" s="45"/>
      <c r="W463" s="45"/>
      <c r="X463" s="45"/>
      <c r="Y463" s="45"/>
      <c r="Z463" s="45"/>
      <c r="AA463" s="45"/>
    </row>
    <row r="464" spans="2:27" x14ac:dyDescent="0.45">
      <c r="B464" s="45" t="s">
        <v>270</v>
      </c>
      <c r="C464" s="90"/>
      <c r="D464" s="56"/>
      <c r="E464" s="57"/>
      <c r="F464" s="58" t="e">
        <f>VLOOKUP($C464,'Daily_BU설비데이터 '!$C$20:$T$1000,4,0)</f>
        <v>#N/A</v>
      </c>
      <c r="G464" s="58" t="e">
        <f>VLOOKUP($C464,'Daily_BU설비데이터 '!$C$20:$T$1000,5,0)</f>
        <v>#N/A</v>
      </c>
      <c r="H464" s="58" t="e">
        <f>VLOOKUP($C464,'Daily_BU설비데이터 '!$C$20:$T$1000,6,0)</f>
        <v>#N/A</v>
      </c>
      <c r="I464" s="58" t="e">
        <f>VLOOKUP($C464,'Daily_BU설비데이터 '!$C$20:$T$1000,7,0)</f>
        <v>#N/A</v>
      </c>
      <c r="J464" s="58" t="e">
        <f>VLOOKUP($C464,'Daily_BU설비데이터 '!$C$20:$T$1000,8,0)</f>
        <v>#N/A</v>
      </c>
      <c r="K464" s="58" t="e">
        <f>VLOOKUP($C464,'Daily_BU설비데이터 '!$C$20:$T$1000,9,0)</f>
        <v>#N/A</v>
      </c>
      <c r="L464" s="59" t="e">
        <f t="shared" si="51"/>
        <v>#N/A</v>
      </c>
      <c r="M464" s="68" t="e">
        <f>VLOOKUP($C464,'Daily_BU설비데이터 '!$C$20:$T$1000,11,0)</f>
        <v>#N/A</v>
      </c>
      <c r="N464" s="68" t="e">
        <f>VLOOKUP($C464,'Daily_BU설비데이터 '!$C$20:$T$1000,12,0)</f>
        <v>#N/A</v>
      </c>
      <c r="O464" s="68" t="e">
        <f>VLOOKUP($C464,'Daily_BU설비데이터 '!$C$20:$T$1000,13,0)</f>
        <v>#N/A</v>
      </c>
      <c r="P464" s="68" t="e">
        <f>VLOOKUP($C464,'Daily_BU설비데이터 '!$C$20:$T$1000,14,0)</f>
        <v>#N/A</v>
      </c>
      <c r="Q464" s="99" t="e">
        <f t="shared" si="52"/>
        <v>#N/A</v>
      </c>
      <c r="R464" s="100" t="e">
        <f t="shared" si="53"/>
        <v>#N/A</v>
      </c>
      <c r="S464" s="83" t="e">
        <f>VLOOKUP($C464,'Daily_BU설비데이터 '!$C$20:$T$1000,17,0)</f>
        <v>#N/A</v>
      </c>
      <c r="T464" s="83" t="e">
        <f>VLOOKUP($C464,'Daily_BU설비데이터 '!$C$20:$T$1000,18,0)</f>
        <v>#N/A</v>
      </c>
      <c r="U464" s="101" t="e">
        <f t="shared" si="54"/>
        <v>#N/A</v>
      </c>
      <c r="V464" s="45"/>
      <c r="W464" s="45"/>
      <c r="X464" s="45"/>
      <c r="Y464" s="45"/>
      <c r="Z464" s="45"/>
      <c r="AA464" s="45"/>
    </row>
    <row r="465" spans="2:27" x14ac:dyDescent="0.45">
      <c r="B465" s="45" t="s">
        <v>271</v>
      </c>
      <c r="C465" s="90"/>
      <c r="D465" s="56"/>
      <c r="E465" s="80"/>
      <c r="F465" s="58" t="e">
        <f>VLOOKUP($C465,'Daily_BU설비데이터 '!$C$20:$T$1000,4,0)</f>
        <v>#N/A</v>
      </c>
      <c r="G465" s="58" t="e">
        <f>VLOOKUP($C465,'Daily_BU설비데이터 '!$C$20:$T$1000,5,0)</f>
        <v>#N/A</v>
      </c>
      <c r="H465" s="58" t="e">
        <f>VLOOKUP($C465,'Daily_BU설비데이터 '!$C$20:$T$1000,6,0)</f>
        <v>#N/A</v>
      </c>
      <c r="I465" s="58" t="e">
        <f>VLOOKUP($C465,'Daily_BU설비데이터 '!$C$20:$T$1000,7,0)</f>
        <v>#N/A</v>
      </c>
      <c r="J465" s="58" t="e">
        <f>VLOOKUP($C465,'Daily_BU설비데이터 '!$C$20:$T$1000,8,0)</f>
        <v>#N/A</v>
      </c>
      <c r="K465" s="58" t="e">
        <f>VLOOKUP($C465,'Daily_BU설비데이터 '!$C$20:$T$1000,9,0)</f>
        <v>#N/A</v>
      </c>
      <c r="L465" s="59" t="e">
        <f t="shared" si="51"/>
        <v>#N/A</v>
      </c>
      <c r="M465" s="68" t="e">
        <f>VLOOKUP($C465,'Daily_BU설비데이터 '!$C$20:$T$1000,11,0)</f>
        <v>#N/A</v>
      </c>
      <c r="N465" s="68" t="e">
        <f>VLOOKUP($C465,'Daily_BU설비데이터 '!$C$20:$T$1000,12,0)</f>
        <v>#N/A</v>
      </c>
      <c r="O465" s="68" t="e">
        <f>VLOOKUP($C465,'Daily_BU설비데이터 '!$C$20:$T$1000,13,0)</f>
        <v>#N/A</v>
      </c>
      <c r="P465" s="68" t="e">
        <f>VLOOKUP($C465,'Daily_BU설비데이터 '!$C$20:$T$1000,14,0)</f>
        <v>#N/A</v>
      </c>
      <c r="Q465" s="99" t="e">
        <f t="shared" si="52"/>
        <v>#N/A</v>
      </c>
      <c r="R465" s="100" t="e">
        <f t="shared" si="53"/>
        <v>#N/A</v>
      </c>
      <c r="S465" s="83" t="e">
        <f>VLOOKUP($C465,'Daily_BU설비데이터 '!$C$20:$T$1000,17,0)</f>
        <v>#N/A</v>
      </c>
      <c r="T465" s="83" t="e">
        <f>VLOOKUP($C465,'Daily_BU설비데이터 '!$C$20:$T$1000,18,0)</f>
        <v>#N/A</v>
      </c>
      <c r="U465" s="101" t="e">
        <f t="shared" si="54"/>
        <v>#N/A</v>
      </c>
      <c r="V465" s="45"/>
      <c r="W465" s="45"/>
      <c r="X465" s="45"/>
      <c r="Y465" s="45"/>
      <c r="Z465" s="45"/>
      <c r="AA465" s="45"/>
    </row>
    <row r="466" spans="2:27" x14ac:dyDescent="0.45">
      <c r="B466" s="45" t="s">
        <v>272</v>
      </c>
      <c r="C466" s="90"/>
      <c r="D466" s="56"/>
      <c r="E466" s="84"/>
      <c r="F466" s="58" t="e">
        <f>VLOOKUP($C466,'Daily_BU설비데이터 '!$C$20:$T$1000,4,0)</f>
        <v>#N/A</v>
      </c>
      <c r="G466" s="58" t="e">
        <f>VLOOKUP($C466,'Daily_BU설비데이터 '!$C$20:$T$1000,5,0)</f>
        <v>#N/A</v>
      </c>
      <c r="H466" s="58" t="e">
        <f>VLOOKUP($C466,'Daily_BU설비데이터 '!$C$20:$T$1000,6,0)</f>
        <v>#N/A</v>
      </c>
      <c r="I466" s="58" t="e">
        <f>VLOOKUP($C466,'Daily_BU설비데이터 '!$C$20:$T$1000,7,0)</f>
        <v>#N/A</v>
      </c>
      <c r="J466" s="58" t="e">
        <f>VLOOKUP($C466,'Daily_BU설비데이터 '!$C$20:$T$1000,8,0)</f>
        <v>#N/A</v>
      </c>
      <c r="K466" s="58" t="e">
        <f>VLOOKUP($C466,'Daily_BU설비데이터 '!$C$20:$T$1000,9,0)</f>
        <v>#N/A</v>
      </c>
      <c r="L466" s="59" t="e">
        <f t="shared" ref="L466:L529" si="55">1/2*((F466*I466+H466*K466+J466*G466)-(G466*H466+I466*J466+K466*F466))/0.1582*100</f>
        <v>#N/A</v>
      </c>
      <c r="M466" s="68" t="e">
        <f>VLOOKUP($C466,'Daily_BU설비데이터 '!$C$20:$T$1000,11,0)</f>
        <v>#N/A</v>
      </c>
      <c r="N466" s="68" t="e">
        <f>VLOOKUP($C466,'Daily_BU설비데이터 '!$C$20:$T$1000,12,0)</f>
        <v>#N/A</v>
      </c>
      <c r="O466" s="68" t="e">
        <f>VLOOKUP($C466,'Daily_BU설비데이터 '!$C$20:$T$1000,13,0)</f>
        <v>#N/A</v>
      </c>
      <c r="P466" s="68" t="e">
        <f>VLOOKUP($C466,'Daily_BU설비데이터 '!$C$20:$T$1000,14,0)</f>
        <v>#N/A</v>
      </c>
      <c r="Q466" s="99" t="e">
        <f t="shared" ref="Q466:Q529" si="56">O466/P466</f>
        <v>#N/A</v>
      </c>
      <c r="R466" s="100" t="e">
        <f t="shared" ref="R466:R529" si="57">SQRT(POWER(M466-$M$12,2)+POWER(N466-$N$12,2))</f>
        <v>#N/A</v>
      </c>
      <c r="S466" s="83" t="e">
        <f>VLOOKUP($C466,'Daily_BU설비데이터 '!$C$20:$T$1000,17,0)</f>
        <v>#N/A</v>
      </c>
      <c r="T466" s="83" t="e">
        <f>VLOOKUP($C466,'Daily_BU설비데이터 '!$C$20:$T$1000,18,0)</f>
        <v>#N/A</v>
      </c>
      <c r="U466" s="101" t="e">
        <f t="shared" ref="U466:U529" si="58">(-449*((M466-0.332)/(N466-0.1858))^3)+(3525*((M466-0.332)/(N466-0.1858))^2)+(-6823.3*(M466-0.332)/(N466-0.1858))+5520.33</f>
        <v>#N/A</v>
      </c>
      <c r="V466" s="45"/>
      <c r="W466" s="45"/>
      <c r="X466" s="45"/>
      <c r="Y466" s="45"/>
      <c r="Z466" s="45"/>
      <c r="AA466" s="45"/>
    </row>
    <row r="467" spans="2:27" x14ac:dyDescent="0.45">
      <c r="B467" s="45" t="s">
        <v>273</v>
      </c>
      <c r="C467" s="90"/>
      <c r="D467" s="56"/>
      <c r="E467" s="57"/>
      <c r="F467" s="58" t="e">
        <f>VLOOKUP($C467,'Daily_BU설비데이터 '!$C$20:$T$1000,4,0)</f>
        <v>#N/A</v>
      </c>
      <c r="G467" s="58" t="e">
        <f>VLOOKUP($C467,'Daily_BU설비데이터 '!$C$20:$T$1000,5,0)</f>
        <v>#N/A</v>
      </c>
      <c r="H467" s="58" t="e">
        <f>VLOOKUP($C467,'Daily_BU설비데이터 '!$C$20:$T$1000,6,0)</f>
        <v>#N/A</v>
      </c>
      <c r="I467" s="58" t="e">
        <f>VLOOKUP($C467,'Daily_BU설비데이터 '!$C$20:$T$1000,7,0)</f>
        <v>#N/A</v>
      </c>
      <c r="J467" s="58" t="e">
        <f>VLOOKUP($C467,'Daily_BU설비데이터 '!$C$20:$T$1000,8,0)</f>
        <v>#N/A</v>
      </c>
      <c r="K467" s="58" t="e">
        <f>VLOOKUP($C467,'Daily_BU설비데이터 '!$C$20:$T$1000,9,0)</f>
        <v>#N/A</v>
      </c>
      <c r="L467" s="59" t="e">
        <f t="shared" si="55"/>
        <v>#N/A</v>
      </c>
      <c r="M467" s="68" t="e">
        <f>VLOOKUP($C467,'Daily_BU설비데이터 '!$C$20:$T$1000,11,0)</f>
        <v>#N/A</v>
      </c>
      <c r="N467" s="68" t="e">
        <f>VLOOKUP($C467,'Daily_BU설비데이터 '!$C$20:$T$1000,12,0)</f>
        <v>#N/A</v>
      </c>
      <c r="O467" s="68" t="e">
        <f>VLOOKUP($C467,'Daily_BU설비데이터 '!$C$20:$T$1000,13,0)</f>
        <v>#N/A</v>
      </c>
      <c r="P467" s="68" t="e">
        <f>VLOOKUP($C467,'Daily_BU설비데이터 '!$C$20:$T$1000,14,0)</f>
        <v>#N/A</v>
      </c>
      <c r="Q467" s="99" t="e">
        <f t="shared" si="56"/>
        <v>#N/A</v>
      </c>
      <c r="R467" s="100" t="e">
        <f t="shared" si="57"/>
        <v>#N/A</v>
      </c>
      <c r="S467" s="83" t="e">
        <f>VLOOKUP($C467,'Daily_BU설비데이터 '!$C$20:$T$1000,17,0)</f>
        <v>#N/A</v>
      </c>
      <c r="T467" s="83" t="e">
        <f>VLOOKUP($C467,'Daily_BU설비데이터 '!$C$20:$T$1000,18,0)</f>
        <v>#N/A</v>
      </c>
      <c r="U467" s="101" t="e">
        <f t="shared" si="58"/>
        <v>#N/A</v>
      </c>
      <c r="V467" s="45"/>
      <c r="W467" s="45"/>
      <c r="X467" s="45"/>
      <c r="Y467" s="45"/>
      <c r="Z467" s="45"/>
      <c r="AA467" s="45"/>
    </row>
    <row r="468" spans="2:27" x14ac:dyDescent="0.45">
      <c r="B468" s="45" t="s">
        <v>274</v>
      </c>
      <c r="C468" s="90"/>
      <c r="D468" s="56"/>
      <c r="E468" s="80"/>
      <c r="F468" s="58" t="e">
        <f>VLOOKUP($C468,'Daily_BU설비데이터 '!$C$20:$T$1000,4,0)</f>
        <v>#N/A</v>
      </c>
      <c r="G468" s="58" t="e">
        <f>VLOOKUP($C468,'Daily_BU설비데이터 '!$C$20:$T$1000,5,0)</f>
        <v>#N/A</v>
      </c>
      <c r="H468" s="58" t="e">
        <f>VLOOKUP($C468,'Daily_BU설비데이터 '!$C$20:$T$1000,6,0)</f>
        <v>#N/A</v>
      </c>
      <c r="I468" s="58" t="e">
        <f>VLOOKUP($C468,'Daily_BU설비데이터 '!$C$20:$T$1000,7,0)</f>
        <v>#N/A</v>
      </c>
      <c r="J468" s="58" t="e">
        <f>VLOOKUP($C468,'Daily_BU설비데이터 '!$C$20:$T$1000,8,0)</f>
        <v>#N/A</v>
      </c>
      <c r="K468" s="58" t="e">
        <f>VLOOKUP($C468,'Daily_BU설비데이터 '!$C$20:$T$1000,9,0)</f>
        <v>#N/A</v>
      </c>
      <c r="L468" s="59" t="e">
        <f t="shared" si="55"/>
        <v>#N/A</v>
      </c>
      <c r="M468" s="68" t="e">
        <f>VLOOKUP($C468,'Daily_BU설비데이터 '!$C$20:$T$1000,11,0)</f>
        <v>#N/A</v>
      </c>
      <c r="N468" s="68" t="e">
        <f>VLOOKUP($C468,'Daily_BU설비데이터 '!$C$20:$T$1000,12,0)</f>
        <v>#N/A</v>
      </c>
      <c r="O468" s="68" t="e">
        <f>VLOOKUP($C468,'Daily_BU설비데이터 '!$C$20:$T$1000,13,0)</f>
        <v>#N/A</v>
      </c>
      <c r="P468" s="68" t="e">
        <f>VLOOKUP($C468,'Daily_BU설비데이터 '!$C$20:$T$1000,14,0)</f>
        <v>#N/A</v>
      </c>
      <c r="Q468" s="99" t="e">
        <f t="shared" si="56"/>
        <v>#N/A</v>
      </c>
      <c r="R468" s="100" t="e">
        <f t="shared" si="57"/>
        <v>#N/A</v>
      </c>
      <c r="S468" s="83" t="e">
        <f>VLOOKUP($C468,'Daily_BU설비데이터 '!$C$20:$T$1000,17,0)</f>
        <v>#N/A</v>
      </c>
      <c r="T468" s="83" t="e">
        <f>VLOOKUP($C468,'Daily_BU설비데이터 '!$C$20:$T$1000,18,0)</f>
        <v>#N/A</v>
      </c>
      <c r="U468" s="101" t="e">
        <f t="shared" si="58"/>
        <v>#N/A</v>
      </c>
      <c r="V468" s="45"/>
      <c r="W468" s="45"/>
      <c r="X468" s="45"/>
      <c r="Y468" s="45"/>
      <c r="Z468" s="45"/>
      <c r="AA468" s="45"/>
    </row>
    <row r="469" spans="2:27" x14ac:dyDescent="0.45">
      <c r="B469" s="45" t="s">
        <v>275</v>
      </c>
      <c r="C469" s="90"/>
      <c r="D469" s="56"/>
      <c r="E469" s="84"/>
      <c r="F469" s="58" t="e">
        <f>VLOOKUP($C469,'Daily_BU설비데이터 '!$C$20:$T$1000,4,0)</f>
        <v>#N/A</v>
      </c>
      <c r="G469" s="58" t="e">
        <f>VLOOKUP($C469,'Daily_BU설비데이터 '!$C$20:$T$1000,5,0)</f>
        <v>#N/A</v>
      </c>
      <c r="H469" s="58" t="e">
        <f>VLOOKUP($C469,'Daily_BU설비데이터 '!$C$20:$T$1000,6,0)</f>
        <v>#N/A</v>
      </c>
      <c r="I469" s="58" t="e">
        <f>VLOOKUP($C469,'Daily_BU설비데이터 '!$C$20:$T$1000,7,0)</f>
        <v>#N/A</v>
      </c>
      <c r="J469" s="58" t="e">
        <f>VLOOKUP($C469,'Daily_BU설비데이터 '!$C$20:$T$1000,8,0)</f>
        <v>#N/A</v>
      </c>
      <c r="K469" s="58" t="e">
        <f>VLOOKUP($C469,'Daily_BU설비데이터 '!$C$20:$T$1000,9,0)</f>
        <v>#N/A</v>
      </c>
      <c r="L469" s="59" t="e">
        <f t="shared" si="55"/>
        <v>#N/A</v>
      </c>
      <c r="M469" s="68" t="e">
        <f>VLOOKUP($C469,'Daily_BU설비데이터 '!$C$20:$T$1000,11,0)</f>
        <v>#N/A</v>
      </c>
      <c r="N469" s="68" t="e">
        <f>VLOOKUP($C469,'Daily_BU설비데이터 '!$C$20:$T$1000,12,0)</f>
        <v>#N/A</v>
      </c>
      <c r="O469" s="68" t="e">
        <f>VLOOKUP($C469,'Daily_BU설비데이터 '!$C$20:$T$1000,13,0)</f>
        <v>#N/A</v>
      </c>
      <c r="P469" s="68" t="e">
        <f>VLOOKUP($C469,'Daily_BU설비데이터 '!$C$20:$T$1000,14,0)</f>
        <v>#N/A</v>
      </c>
      <c r="Q469" s="99" t="e">
        <f t="shared" si="56"/>
        <v>#N/A</v>
      </c>
      <c r="R469" s="100" t="e">
        <f t="shared" si="57"/>
        <v>#N/A</v>
      </c>
      <c r="S469" s="83" t="e">
        <f>VLOOKUP($C469,'Daily_BU설비데이터 '!$C$20:$T$1000,17,0)</f>
        <v>#N/A</v>
      </c>
      <c r="T469" s="83" t="e">
        <f>VLOOKUP($C469,'Daily_BU설비데이터 '!$C$20:$T$1000,18,0)</f>
        <v>#N/A</v>
      </c>
      <c r="U469" s="101" t="e">
        <f t="shared" si="58"/>
        <v>#N/A</v>
      </c>
      <c r="V469" s="45"/>
      <c r="W469" s="45"/>
      <c r="X469" s="45"/>
      <c r="Y469" s="45"/>
      <c r="Z469" s="45"/>
      <c r="AA469" s="45"/>
    </row>
    <row r="470" spans="2:27" x14ac:dyDescent="0.45">
      <c r="B470" s="45" t="s">
        <v>276</v>
      </c>
      <c r="C470" s="90"/>
      <c r="D470" s="56"/>
      <c r="E470" s="57"/>
      <c r="F470" s="58" t="e">
        <f>VLOOKUP($C470,'Daily_BU설비데이터 '!$C$20:$T$1000,4,0)</f>
        <v>#N/A</v>
      </c>
      <c r="G470" s="58" t="e">
        <f>VLOOKUP($C470,'Daily_BU설비데이터 '!$C$20:$T$1000,5,0)</f>
        <v>#N/A</v>
      </c>
      <c r="H470" s="58" t="e">
        <f>VLOOKUP($C470,'Daily_BU설비데이터 '!$C$20:$T$1000,6,0)</f>
        <v>#N/A</v>
      </c>
      <c r="I470" s="58" t="e">
        <f>VLOOKUP($C470,'Daily_BU설비데이터 '!$C$20:$T$1000,7,0)</f>
        <v>#N/A</v>
      </c>
      <c r="J470" s="58" t="e">
        <f>VLOOKUP($C470,'Daily_BU설비데이터 '!$C$20:$T$1000,8,0)</f>
        <v>#N/A</v>
      </c>
      <c r="K470" s="58" t="e">
        <f>VLOOKUP($C470,'Daily_BU설비데이터 '!$C$20:$T$1000,9,0)</f>
        <v>#N/A</v>
      </c>
      <c r="L470" s="59" t="e">
        <f t="shared" si="55"/>
        <v>#N/A</v>
      </c>
      <c r="M470" s="68" t="e">
        <f>VLOOKUP($C470,'Daily_BU설비데이터 '!$C$20:$T$1000,11,0)</f>
        <v>#N/A</v>
      </c>
      <c r="N470" s="68" t="e">
        <f>VLOOKUP($C470,'Daily_BU설비데이터 '!$C$20:$T$1000,12,0)</f>
        <v>#N/A</v>
      </c>
      <c r="O470" s="68" t="e">
        <f>VLOOKUP($C470,'Daily_BU설비데이터 '!$C$20:$T$1000,13,0)</f>
        <v>#N/A</v>
      </c>
      <c r="P470" s="68" t="e">
        <f>VLOOKUP($C470,'Daily_BU설비데이터 '!$C$20:$T$1000,14,0)</f>
        <v>#N/A</v>
      </c>
      <c r="Q470" s="99" t="e">
        <f t="shared" si="56"/>
        <v>#N/A</v>
      </c>
      <c r="R470" s="100" t="e">
        <f t="shared" si="57"/>
        <v>#N/A</v>
      </c>
      <c r="S470" s="83" t="e">
        <f>VLOOKUP($C470,'Daily_BU설비데이터 '!$C$20:$T$1000,17,0)</f>
        <v>#N/A</v>
      </c>
      <c r="T470" s="83" t="e">
        <f>VLOOKUP($C470,'Daily_BU설비데이터 '!$C$20:$T$1000,18,0)</f>
        <v>#N/A</v>
      </c>
      <c r="U470" s="101" t="e">
        <f t="shared" si="58"/>
        <v>#N/A</v>
      </c>
      <c r="V470" s="45"/>
      <c r="W470" s="45"/>
      <c r="X470" s="45"/>
      <c r="Y470" s="45"/>
      <c r="Z470" s="45"/>
      <c r="AA470" s="45"/>
    </row>
    <row r="471" spans="2:27" x14ac:dyDescent="0.45">
      <c r="B471" s="45" t="s">
        <v>277</v>
      </c>
      <c r="C471" s="90"/>
      <c r="D471" s="56"/>
      <c r="E471" s="80"/>
      <c r="F471" s="58" t="e">
        <f>VLOOKUP($C471,'Daily_BU설비데이터 '!$C$20:$T$1000,4,0)</f>
        <v>#N/A</v>
      </c>
      <c r="G471" s="58" t="e">
        <f>VLOOKUP($C471,'Daily_BU설비데이터 '!$C$20:$T$1000,5,0)</f>
        <v>#N/A</v>
      </c>
      <c r="H471" s="58" t="e">
        <f>VLOOKUP($C471,'Daily_BU설비데이터 '!$C$20:$T$1000,6,0)</f>
        <v>#N/A</v>
      </c>
      <c r="I471" s="58" t="e">
        <f>VLOOKUP($C471,'Daily_BU설비데이터 '!$C$20:$T$1000,7,0)</f>
        <v>#N/A</v>
      </c>
      <c r="J471" s="58" t="e">
        <f>VLOOKUP($C471,'Daily_BU설비데이터 '!$C$20:$T$1000,8,0)</f>
        <v>#N/A</v>
      </c>
      <c r="K471" s="58" t="e">
        <f>VLOOKUP($C471,'Daily_BU설비데이터 '!$C$20:$T$1000,9,0)</f>
        <v>#N/A</v>
      </c>
      <c r="L471" s="59" t="e">
        <f t="shared" si="55"/>
        <v>#N/A</v>
      </c>
      <c r="M471" s="68" t="e">
        <f>VLOOKUP($C471,'Daily_BU설비데이터 '!$C$20:$T$1000,11,0)</f>
        <v>#N/A</v>
      </c>
      <c r="N471" s="68" t="e">
        <f>VLOOKUP($C471,'Daily_BU설비데이터 '!$C$20:$T$1000,12,0)</f>
        <v>#N/A</v>
      </c>
      <c r="O471" s="68" t="e">
        <f>VLOOKUP($C471,'Daily_BU설비데이터 '!$C$20:$T$1000,13,0)</f>
        <v>#N/A</v>
      </c>
      <c r="P471" s="68" t="e">
        <f>VLOOKUP($C471,'Daily_BU설비데이터 '!$C$20:$T$1000,14,0)</f>
        <v>#N/A</v>
      </c>
      <c r="Q471" s="99" t="e">
        <f t="shared" si="56"/>
        <v>#N/A</v>
      </c>
      <c r="R471" s="100" t="e">
        <f t="shared" si="57"/>
        <v>#N/A</v>
      </c>
      <c r="S471" s="83" t="e">
        <f>VLOOKUP($C471,'Daily_BU설비데이터 '!$C$20:$T$1000,17,0)</f>
        <v>#N/A</v>
      </c>
      <c r="T471" s="83" t="e">
        <f>VLOOKUP($C471,'Daily_BU설비데이터 '!$C$20:$T$1000,18,0)</f>
        <v>#N/A</v>
      </c>
      <c r="U471" s="101" t="e">
        <f t="shared" si="58"/>
        <v>#N/A</v>
      </c>
      <c r="V471" s="45"/>
      <c r="W471" s="45"/>
      <c r="X471" s="45"/>
      <c r="Y471" s="45"/>
      <c r="Z471" s="45"/>
      <c r="AA471" s="45"/>
    </row>
    <row r="472" spans="2:27" x14ac:dyDescent="0.45">
      <c r="B472" s="45" t="s">
        <v>278</v>
      </c>
      <c r="C472" s="90"/>
      <c r="D472" s="56"/>
      <c r="E472" s="84"/>
      <c r="F472" s="58" t="e">
        <f>VLOOKUP($C472,'Daily_BU설비데이터 '!$C$20:$T$1000,4,0)</f>
        <v>#N/A</v>
      </c>
      <c r="G472" s="58" t="e">
        <f>VLOOKUP($C472,'Daily_BU설비데이터 '!$C$20:$T$1000,5,0)</f>
        <v>#N/A</v>
      </c>
      <c r="H472" s="58" t="e">
        <f>VLOOKUP($C472,'Daily_BU설비데이터 '!$C$20:$T$1000,6,0)</f>
        <v>#N/A</v>
      </c>
      <c r="I472" s="58" t="e">
        <f>VLOOKUP($C472,'Daily_BU설비데이터 '!$C$20:$T$1000,7,0)</f>
        <v>#N/A</v>
      </c>
      <c r="J472" s="58" t="e">
        <f>VLOOKUP($C472,'Daily_BU설비데이터 '!$C$20:$T$1000,8,0)</f>
        <v>#N/A</v>
      </c>
      <c r="K472" s="58" t="e">
        <f>VLOOKUP($C472,'Daily_BU설비데이터 '!$C$20:$T$1000,9,0)</f>
        <v>#N/A</v>
      </c>
      <c r="L472" s="59" t="e">
        <f t="shared" si="55"/>
        <v>#N/A</v>
      </c>
      <c r="M472" s="68" t="e">
        <f>VLOOKUP($C472,'Daily_BU설비데이터 '!$C$20:$T$1000,11,0)</f>
        <v>#N/A</v>
      </c>
      <c r="N472" s="68" t="e">
        <f>VLOOKUP($C472,'Daily_BU설비데이터 '!$C$20:$T$1000,12,0)</f>
        <v>#N/A</v>
      </c>
      <c r="O472" s="68" t="e">
        <f>VLOOKUP($C472,'Daily_BU설비데이터 '!$C$20:$T$1000,13,0)</f>
        <v>#N/A</v>
      </c>
      <c r="P472" s="68" t="e">
        <f>VLOOKUP($C472,'Daily_BU설비데이터 '!$C$20:$T$1000,14,0)</f>
        <v>#N/A</v>
      </c>
      <c r="Q472" s="99" t="e">
        <f t="shared" si="56"/>
        <v>#N/A</v>
      </c>
      <c r="R472" s="100" t="e">
        <f t="shared" si="57"/>
        <v>#N/A</v>
      </c>
      <c r="S472" s="83" t="e">
        <f>VLOOKUP($C472,'Daily_BU설비데이터 '!$C$20:$T$1000,17,0)</f>
        <v>#N/A</v>
      </c>
      <c r="T472" s="83" t="e">
        <f>VLOOKUP($C472,'Daily_BU설비데이터 '!$C$20:$T$1000,18,0)</f>
        <v>#N/A</v>
      </c>
      <c r="U472" s="101" t="e">
        <f t="shared" si="58"/>
        <v>#N/A</v>
      </c>
      <c r="V472" s="45"/>
      <c r="W472" s="45"/>
      <c r="X472" s="45"/>
      <c r="Y472" s="45"/>
      <c r="Z472" s="45"/>
      <c r="AA472" s="45"/>
    </row>
    <row r="473" spans="2:27" x14ac:dyDescent="0.45">
      <c r="B473" s="45" t="s">
        <v>279</v>
      </c>
      <c r="C473" s="90"/>
      <c r="D473" s="56"/>
      <c r="E473" s="57"/>
      <c r="F473" s="58" t="e">
        <f>VLOOKUP($C473,'Daily_BU설비데이터 '!$C$20:$T$1000,4,0)</f>
        <v>#N/A</v>
      </c>
      <c r="G473" s="58" t="e">
        <f>VLOOKUP($C473,'Daily_BU설비데이터 '!$C$20:$T$1000,5,0)</f>
        <v>#N/A</v>
      </c>
      <c r="H473" s="58" t="e">
        <f>VLOOKUP($C473,'Daily_BU설비데이터 '!$C$20:$T$1000,6,0)</f>
        <v>#N/A</v>
      </c>
      <c r="I473" s="58" t="e">
        <f>VLOOKUP($C473,'Daily_BU설비데이터 '!$C$20:$T$1000,7,0)</f>
        <v>#N/A</v>
      </c>
      <c r="J473" s="58" t="e">
        <f>VLOOKUP($C473,'Daily_BU설비데이터 '!$C$20:$T$1000,8,0)</f>
        <v>#N/A</v>
      </c>
      <c r="K473" s="58" t="e">
        <f>VLOOKUP($C473,'Daily_BU설비데이터 '!$C$20:$T$1000,9,0)</f>
        <v>#N/A</v>
      </c>
      <c r="L473" s="59" t="e">
        <f t="shared" si="55"/>
        <v>#N/A</v>
      </c>
      <c r="M473" s="68" t="e">
        <f>VLOOKUP($C473,'Daily_BU설비데이터 '!$C$20:$T$1000,11,0)</f>
        <v>#N/A</v>
      </c>
      <c r="N473" s="68" t="e">
        <f>VLOOKUP($C473,'Daily_BU설비데이터 '!$C$20:$T$1000,12,0)</f>
        <v>#N/A</v>
      </c>
      <c r="O473" s="68" t="e">
        <f>VLOOKUP($C473,'Daily_BU설비데이터 '!$C$20:$T$1000,13,0)</f>
        <v>#N/A</v>
      </c>
      <c r="P473" s="68" t="e">
        <f>VLOOKUP($C473,'Daily_BU설비데이터 '!$C$20:$T$1000,14,0)</f>
        <v>#N/A</v>
      </c>
      <c r="Q473" s="99" t="e">
        <f t="shared" si="56"/>
        <v>#N/A</v>
      </c>
      <c r="R473" s="100" t="e">
        <f t="shared" si="57"/>
        <v>#N/A</v>
      </c>
      <c r="S473" s="83" t="e">
        <f>VLOOKUP($C473,'Daily_BU설비데이터 '!$C$20:$T$1000,17,0)</f>
        <v>#N/A</v>
      </c>
      <c r="T473" s="83" t="e">
        <f>VLOOKUP($C473,'Daily_BU설비데이터 '!$C$20:$T$1000,18,0)</f>
        <v>#N/A</v>
      </c>
      <c r="U473" s="101" t="e">
        <f t="shared" si="58"/>
        <v>#N/A</v>
      </c>
      <c r="V473" s="45"/>
      <c r="W473" s="45"/>
      <c r="X473" s="45"/>
      <c r="Y473" s="45"/>
      <c r="Z473" s="45"/>
      <c r="AA473" s="45"/>
    </row>
    <row r="474" spans="2:27" x14ac:dyDescent="0.45">
      <c r="B474" s="45" t="s">
        <v>280</v>
      </c>
      <c r="C474" s="90"/>
      <c r="D474" s="56"/>
      <c r="E474" s="80"/>
      <c r="F474" s="58" t="e">
        <f>VLOOKUP($C474,'Daily_BU설비데이터 '!$C$20:$T$1000,4,0)</f>
        <v>#N/A</v>
      </c>
      <c r="G474" s="58" t="e">
        <f>VLOOKUP($C474,'Daily_BU설비데이터 '!$C$20:$T$1000,5,0)</f>
        <v>#N/A</v>
      </c>
      <c r="H474" s="58" t="e">
        <f>VLOOKUP($C474,'Daily_BU설비데이터 '!$C$20:$T$1000,6,0)</f>
        <v>#N/A</v>
      </c>
      <c r="I474" s="58" t="e">
        <f>VLOOKUP($C474,'Daily_BU설비데이터 '!$C$20:$T$1000,7,0)</f>
        <v>#N/A</v>
      </c>
      <c r="J474" s="58" t="e">
        <f>VLOOKUP($C474,'Daily_BU설비데이터 '!$C$20:$T$1000,8,0)</f>
        <v>#N/A</v>
      </c>
      <c r="K474" s="58" t="e">
        <f>VLOOKUP($C474,'Daily_BU설비데이터 '!$C$20:$T$1000,9,0)</f>
        <v>#N/A</v>
      </c>
      <c r="L474" s="59" t="e">
        <f t="shared" si="55"/>
        <v>#N/A</v>
      </c>
      <c r="M474" s="68" t="e">
        <f>VLOOKUP($C474,'Daily_BU설비데이터 '!$C$20:$T$1000,11,0)</f>
        <v>#N/A</v>
      </c>
      <c r="N474" s="68" t="e">
        <f>VLOOKUP($C474,'Daily_BU설비데이터 '!$C$20:$T$1000,12,0)</f>
        <v>#N/A</v>
      </c>
      <c r="O474" s="68" t="e">
        <f>VLOOKUP($C474,'Daily_BU설비데이터 '!$C$20:$T$1000,13,0)</f>
        <v>#N/A</v>
      </c>
      <c r="P474" s="68" t="e">
        <f>VLOOKUP($C474,'Daily_BU설비데이터 '!$C$20:$T$1000,14,0)</f>
        <v>#N/A</v>
      </c>
      <c r="Q474" s="99" t="e">
        <f t="shared" si="56"/>
        <v>#N/A</v>
      </c>
      <c r="R474" s="100" t="e">
        <f t="shared" si="57"/>
        <v>#N/A</v>
      </c>
      <c r="S474" s="83" t="e">
        <f>VLOOKUP($C474,'Daily_BU설비데이터 '!$C$20:$T$1000,17,0)</f>
        <v>#N/A</v>
      </c>
      <c r="T474" s="83" t="e">
        <f>VLOOKUP($C474,'Daily_BU설비데이터 '!$C$20:$T$1000,18,0)</f>
        <v>#N/A</v>
      </c>
      <c r="U474" s="101" t="e">
        <f t="shared" si="58"/>
        <v>#N/A</v>
      </c>
      <c r="V474" s="45"/>
      <c r="W474" s="45"/>
      <c r="X474" s="45"/>
      <c r="Y474" s="45"/>
      <c r="Z474" s="45"/>
      <c r="AA474" s="45"/>
    </row>
    <row r="475" spans="2:27" x14ac:dyDescent="0.45">
      <c r="B475" s="45" t="s">
        <v>281</v>
      </c>
      <c r="C475" s="90"/>
      <c r="D475" s="56"/>
      <c r="E475" s="84"/>
      <c r="F475" s="58" t="e">
        <f>VLOOKUP($C475,'Daily_BU설비데이터 '!$C$20:$T$1000,4,0)</f>
        <v>#N/A</v>
      </c>
      <c r="G475" s="58" t="e">
        <f>VLOOKUP($C475,'Daily_BU설비데이터 '!$C$20:$T$1000,5,0)</f>
        <v>#N/A</v>
      </c>
      <c r="H475" s="58" t="e">
        <f>VLOOKUP($C475,'Daily_BU설비데이터 '!$C$20:$T$1000,6,0)</f>
        <v>#N/A</v>
      </c>
      <c r="I475" s="58" t="e">
        <f>VLOOKUP($C475,'Daily_BU설비데이터 '!$C$20:$T$1000,7,0)</f>
        <v>#N/A</v>
      </c>
      <c r="J475" s="58" t="e">
        <f>VLOOKUP($C475,'Daily_BU설비데이터 '!$C$20:$T$1000,8,0)</f>
        <v>#N/A</v>
      </c>
      <c r="K475" s="58" t="e">
        <f>VLOOKUP($C475,'Daily_BU설비데이터 '!$C$20:$T$1000,9,0)</f>
        <v>#N/A</v>
      </c>
      <c r="L475" s="59" t="e">
        <f t="shared" si="55"/>
        <v>#N/A</v>
      </c>
      <c r="M475" s="68" t="e">
        <f>VLOOKUP($C475,'Daily_BU설비데이터 '!$C$20:$T$1000,11,0)</f>
        <v>#N/A</v>
      </c>
      <c r="N475" s="68" t="e">
        <f>VLOOKUP($C475,'Daily_BU설비데이터 '!$C$20:$T$1000,12,0)</f>
        <v>#N/A</v>
      </c>
      <c r="O475" s="68" t="e">
        <f>VLOOKUP($C475,'Daily_BU설비데이터 '!$C$20:$T$1000,13,0)</f>
        <v>#N/A</v>
      </c>
      <c r="P475" s="68" t="e">
        <f>VLOOKUP($C475,'Daily_BU설비데이터 '!$C$20:$T$1000,14,0)</f>
        <v>#N/A</v>
      </c>
      <c r="Q475" s="99" t="e">
        <f t="shared" si="56"/>
        <v>#N/A</v>
      </c>
      <c r="R475" s="100" t="e">
        <f t="shared" si="57"/>
        <v>#N/A</v>
      </c>
      <c r="S475" s="83" t="e">
        <f>VLOOKUP($C475,'Daily_BU설비데이터 '!$C$20:$T$1000,17,0)</f>
        <v>#N/A</v>
      </c>
      <c r="T475" s="83" t="e">
        <f>VLOOKUP($C475,'Daily_BU설비데이터 '!$C$20:$T$1000,18,0)</f>
        <v>#N/A</v>
      </c>
      <c r="U475" s="101" t="e">
        <f t="shared" si="58"/>
        <v>#N/A</v>
      </c>
      <c r="V475" s="45"/>
      <c r="W475" s="45"/>
      <c r="X475" s="45"/>
      <c r="Y475" s="45"/>
      <c r="Z475" s="45"/>
      <c r="AA475" s="45"/>
    </row>
    <row r="476" spans="2:27" x14ac:dyDescent="0.45">
      <c r="B476" s="45" t="s">
        <v>282</v>
      </c>
      <c r="C476" s="90"/>
      <c r="D476" s="56"/>
      <c r="E476" s="57"/>
      <c r="F476" s="58" t="e">
        <f>VLOOKUP($C476,'Daily_BU설비데이터 '!$C$20:$T$1000,4,0)</f>
        <v>#N/A</v>
      </c>
      <c r="G476" s="58" t="e">
        <f>VLOOKUP($C476,'Daily_BU설비데이터 '!$C$20:$T$1000,5,0)</f>
        <v>#N/A</v>
      </c>
      <c r="H476" s="58" t="e">
        <f>VLOOKUP($C476,'Daily_BU설비데이터 '!$C$20:$T$1000,6,0)</f>
        <v>#N/A</v>
      </c>
      <c r="I476" s="58" t="e">
        <f>VLOOKUP($C476,'Daily_BU설비데이터 '!$C$20:$T$1000,7,0)</f>
        <v>#N/A</v>
      </c>
      <c r="J476" s="58" t="e">
        <f>VLOOKUP($C476,'Daily_BU설비데이터 '!$C$20:$T$1000,8,0)</f>
        <v>#N/A</v>
      </c>
      <c r="K476" s="58" t="e">
        <f>VLOOKUP($C476,'Daily_BU설비데이터 '!$C$20:$T$1000,9,0)</f>
        <v>#N/A</v>
      </c>
      <c r="L476" s="59" t="e">
        <f t="shared" si="55"/>
        <v>#N/A</v>
      </c>
      <c r="M476" s="68" t="e">
        <f>VLOOKUP($C476,'Daily_BU설비데이터 '!$C$20:$T$1000,11,0)</f>
        <v>#N/A</v>
      </c>
      <c r="N476" s="68" t="e">
        <f>VLOOKUP($C476,'Daily_BU설비데이터 '!$C$20:$T$1000,12,0)</f>
        <v>#N/A</v>
      </c>
      <c r="O476" s="68" t="e">
        <f>VLOOKUP($C476,'Daily_BU설비데이터 '!$C$20:$T$1000,13,0)</f>
        <v>#N/A</v>
      </c>
      <c r="P476" s="68" t="e">
        <f>VLOOKUP($C476,'Daily_BU설비데이터 '!$C$20:$T$1000,14,0)</f>
        <v>#N/A</v>
      </c>
      <c r="Q476" s="99" t="e">
        <f t="shared" si="56"/>
        <v>#N/A</v>
      </c>
      <c r="R476" s="100" t="e">
        <f t="shared" si="57"/>
        <v>#N/A</v>
      </c>
      <c r="S476" s="83" t="e">
        <f>VLOOKUP($C476,'Daily_BU설비데이터 '!$C$20:$T$1000,17,0)</f>
        <v>#N/A</v>
      </c>
      <c r="T476" s="83" t="e">
        <f>VLOOKUP($C476,'Daily_BU설비데이터 '!$C$20:$T$1000,18,0)</f>
        <v>#N/A</v>
      </c>
      <c r="U476" s="101" t="e">
        <f t="shared" si="58"/>
        <v>#N/A</v>
      </c>
      <c r="V476" s="45"/>
      <c r="W476" s="45"/>
      <c r="X476" s="45"/>
      <c r="Y476" s="45"/>
      <c r="Z476" s="45"/>
      <c r="AA476" s="45"/>
    </row>
    <row r="477" spans="2:27" x14ac:dyDescent="0.45">
      <c r="B477" s="45" t="s">
        <v>283</v>
      </c>
      <c r="C477" s="90"/>
      <c r="D477" s="56"/>
      <c r="E477" s="80"/>
      <c r="F477" s="58" t="e">
        <f>VLOOKUP($C477,'Daily_BU설비데이터 '!$C$20:$T$1000,4,0)</f>
        <v>#N/A</v>
      </c>
      <c r="G477" s="58" t="e">
        <f>VLOOKUP($C477,'Daily_BU설비데이터 '!$C$20:$T$1000,5,0)</f>
        <v>#N/A</v>
      </c>
      <c r="H477" s="58" t="e">
        <f>VLOOKUP($C477,'Daily_BU설비데이터 '!$C$20:$T$1000,6,0)</f>
        <v>#N/A</v>
      </c>
      <c r="I477" s="58" t="e">
        <f>VLOOKUP($C477,'Daily_BU설비데이터 '!$C$20:$T$1000,7,0)</f>
        <v>#N/A</v>
      </c>
      <c r="J477" s="58" t="e">
        <f>VLOOKUP($C477,'Daily_BU설비데이터 '!$C$20:$T$1000,8,0)</f>
        <v>#N/A</v>
      </c>
      <c r="K477" s="58" t="e">
        <f>VLOOKUP($C477,'Daily_BU설비데이터 '!$C$20:$T$1000,9,0)</f>
        <v>#N/A</v>
      </c>
      <c r="L477" s="59" t="e">
        <f t="shared" si="55"/>
        <v>#N/A</v>
      </c>
      <c r="M477" s="68" t="e">
        <f>VLOOKUP($C477,'Daily_BU설비데이터 '!$C$20:$T$1000,11,0)</f>
        <v>#N/A</v>
      </c>
      <c r="N477" s="68" t="e">
        <f>VLOOKUP($C477,'Daily_BU설비데이터 '!$C$20:$T$1000,12,0)</f>
        <v>#N/A</v>
      </c>
      <c r="O477" s="68" t="e">
        <f>VLOOKUP($C477,'Daily_BU설비데이터 '!$C$20:$T$1000,13,0)</f>
        <v>#N/A</v>
      </c>
      <c r="P477" s="68" t="e">
        <f>VLOOKUP($C477,'Daily_BU설비데이터 '!$C$20:$T$1000,14,0)</f>
        <v>#N/A</v>
      </c>
      <c r="Q477" s="99" t="e">
        <f t="shared" si="56"/>
        <v>#N/A</v>
      </c>
      <c r="R477" s="100" t="e">
        <f t="shared" si="57"/>
        <v>#N/A</v>
      </c>
      <c r="S477" s="83" t="e">
        <f>VLOOKUP($C477,'Daily_BU설비데이터 '!$C$20:$T$1000,17,0)</f>
        <v>#N/A</v>
      </c>
      <c r="T477" s="83" t="e">
        <f>VLOOKUP($C477,'Daily_BU설비데이터 '!$C$20:$T$1000,18,0)</f>
        <v>#N/A</v>
      </c>
      <c r="U477" s="101" t="e">
        <f t="shared" si="58"/>
        <v>#N/A</v>
      </c>
      <c r="V477" s="45"/>
      <c r="W477" s="45"/>
      <c r="X477" s="45"/>
      <c r="Y477" s="45"/>
      <c r="Z477" s="45"/>
      <c r="AA477" s="45"/>
    </row>
    <row r="478" spans="2:27" x14ac:dyDescent="0.45">
      <c r="B478" s="45" t="s">
        <v>284</v>
      </c>
      <c r="C478" s="90"/>
      <c r="D478" s="56"/>
      <c r="E478" s="84"/>
      <c r="F478" s="58" t="e">
        <f>VLOOKUP($C478,'Daily_BU설비데이터 '!$C$20:$T$1000,4,0)</f>
        <v>#N/A</v>
      </c>
      <c r="G478" s="58" t="e">
        <f>VLOOKUP($C478,'Daily_BU설비데이터 '!$C$20:$T$1000,5,0)</f>
        <v>#N/A</v>
      </c>
      <c r="H478" s="58" t="e">
        <f>VLOOKUP($C478,'Daily_BU설비데이터 '!$C$20:$T$1000,6,0)</f>
        <v>#N/A</v>
      </c>
      <c r="I478" s="58" t="e">
        <f>VLOOKUP($C478,'Daily_BU설비데이터 '!$C$20:$T$1000,7,0)</f>
        <v>#N/A</v>
      </c>
      <c r="J478" s="58" t="e">
        <f>VLOOKUP($C478,'Daily_BU설비데이터 '!$C$20:$T$1000,8,0)</f>
        <v>#N/A</v>
      </c>
      <c r="K478" s="58" t="e">
        <f>VLOOKUP($C478,'Daily_BU설비데이터 '!$C$20:$T$1000,9,0)</f>
        <v>#N/A</v>
      </c>
      <c r="L478" s="59" t="e">
        <f t="shared" si="55"/>
        <v>#N/A</v>
      </c>
      <c r="M478" s="68" t="e">
        <f>VLOOKUP($C478,'Daily_BU설비데이터 '!$C$20:$T$1000,11,0)</f>
        <v>#N/A</v>
      </c>
      <c r="N478" s="68" t="e">
        <f>VLOOKUP($C478,'Daily_BU설비데이터 '!$C$20:$T$1000,12,0)</f>
        <v>#N/A</v>
      </c>
      <c r="O478" s="68" t="e">
        <f>VLOOKUP($C478,'Daily_BU설비데이터 '!$C$20:$T$1000,13,0)</f>
        <v>#N/A</v>
      </c>
      <c r="P478" s="68" t="e">
        <f>VLOOKUP($C478,'Daily_BU설비데이터 '!$C$20:$T$1000,14,0)</f>
        <v>#N/A</v>
      </c>
      <c r="Q478" s="99" t="e">
        <f t="shared" si="56"/>
        <v>#N/A</v>
      </c>
      <c r="R478" s="100" t="e">
        <f t="shared" si="57"/>
        <v>#N/A</v>
      </c>
      <c r="S478" s="83" t="e">
        <f>VLOOKUP($C478,'Daily_BU설비데이터 '!$C$20:$T$1000,17,0)</f>
        <v>#N/A</v>
      </c>
      <c r="T478" s="83" t="e">
        <f>VLOOKUP($C478,'Daily_BU설비데이터 '!$C$20:$T$1000,18,0)</f>
        <v>#N/A</v>
      </c>
      <c r="U478" s="101" t="e">
        <f t="shared" si="58"/>
        <v>#N/A</v>
      </c>
      <c r="V478" s="45"/>
      <c r="W478" s="45"/>
      <c r="X478" s="45"/>
      <c r="Y478" s="45"/>
      <c r="Z478" s="45"/>
      <c r="AA478" s="45"/>
    </row>
    <row r="479" spans="2:27" x14ac:dyDescent="0.45">
      <c r="B479" s="45" t="s">
        <v>285</v>
      </c>
      <c r="C479" s="90"/>
      <c r="D479" s="56"/>
      <c r="E479" s="57"/>
      <c r="F479" s="58" t="e">
        <f>VLOOKUP($C479,'Daily_BU설비데이터 '!$C$20:$T$1000,4,0)</f>
        <v>#N/A</v>
      </c>
      <c r="G479" s="58" t="e">
        <f>VLOOKUP($C479,'Daily_BU설비데이터 '!$C$20:$T$1000,5,0)</f>
        <v>#N/A</v>
      </c>
      <c r="H479" s="58" t="e">
        <f>VLOOKUP($C479,'Daily_BU설비데이터 '!$C$20:$T$1000,6,0)</f>
        <v>#N/A</v>
      </c>
      <c r="I479" s="58" t="e">
        <f>VLOOKUP($C479,'Daily_BU설비데이터 '!$C$20:$T$1000,7,0)</f>
        <v>#N/A</v>
      </c>
      <c r="J479" s="58" t="e">
        <f>VLOOKUP($C479,'Daily_BU설비데이터 '!$C$20:$T$1000,8,0)</f>
        <v>#N/A</v>
      </c>
      <c r="K479" s="58" t="e">
        <f>VLOOKUP($C479,'Daily_BU설비데이터 '!$C$20:$T$1000,9,0)</f>
        <v>#N/A</v>
      </c>
      <c r="L479" s="59" t="e">
        <f t="shared" si="55"/>
        <v>#N/A</v>
      </c>
      <c r="M479" s="68" t="e">
        <f>VLOOKUP($C479,'Daily_BU설비데이터 '!$C$20:$T$1000,11,0)</f>
        <v>#N/A</v>
      </c>
      <c r="N479" s="68" t="e">
        <f>VLOOKUP($C479,'Daily_BU설비데이터 '!$C$20:$T$1000,12,0)</f>
        <v>#N/A</v>
      </c>
      <c r="O479" s="68" t="e">
        <f>VLOOKUP($C479,'Daily_BU설비데이터 '!$C$20:$T$1000,13,0)</f>
        <v>#N/A</v>
      </c>
      <c r="P479" s="68" t="e">
        <f>VLOOKUP($C479,'Daily_BU설비데이터 '!$C$20:$T$1000,14,0)</f>
        <v>#N/A</v>
      </c>
      <c r="Q479" s="99" t="e">
        <f t="shared" si="56"/>
        <v>#N/A</v>
      </c>
      <c r="R479" s="100" t="e">
        <f t="shared" si="57"/>
        <v>#N/A</v>
      </c>
      <c r="S479" s="83" t="e">
        <f>VLOOKUP($C479,'Daily_BU설비데이터 '!$C$20:$T$1000,17,0)</f>
        <v>#N/A</v>
      </c>
      <c r="T479" s="83" t="e">
        <f>VLOOKUP($C479,'Daily_BU설비데이터 '!$C$20:$T$1000,18,0)</f>
        <v>#N/A</v>
      </c>
      <c r="U479" s="101" t="e">
        <f t="shared" si="58"/>
        <v>#N/A</v>
      </c>
      <c r="V479" s="45"/>
      <c r="W479" s="45"/>
      <c r="X479" s="45"/>
      <c r="Y479" s="45"/>
      <c r="Z479" s="45"/>
      <c r="AA479" s="45"/>
    </row>
    <row r="480" spans="2:27" x14ac:dyDescent="0.45">
      <c r="B480" s="45" t="s">
        <v>286</v>
      </c>
      <c r="C480" s="90"/>
      <c r="D480" s="56"/>
      <c r="E480" s="80"/>
      <c r="F480" s="58" t="e">
        <f>VLOOKUP($C480,'Daily_BU설비데이터 '!$C$20:$T$1000,4,0)</f>
        <v>#N/A</v>
      </c>
      <c r="G480" s="58" t="e">
        <f>VLOOKUP($C480,'Daily_BU설비데이터 '!$C$20:$T$1000,5,0)</f>
        <v>#N/A</v>
      </c>
      <c r="H480" s="58" t="e">
        <f>VLOOKUP($C480,'Daily_BU설비데이터 '!$C$20:$T$1000,6,0)</f>
        <v>#N/A</v>
      </c>
      <c r="I480" s="58" t="e">
        <f>VLOOKUP($C480,'Daily_BU설비데이터 '!$C$20:$T$1000,7,0)</f>
        <v>#N/A</v>
      </c>
      <c r="J480" s="58" t="e">
        <f>VLOOKUP($C480,'Daily_BU설비데이터 '!$C$20:$T$1000,8,0)</f>
        <v>#N/A</v>
      </c>
      <c r="K480" s="58" t="e">
        <f>VLOOKUP($C480,'Daily_BU설비데이터 '!$C$20:$T$1000,9,0)</f>
        <v>#N/A</v>
      </c>
      <c r="L480" s="59" t="e">
        <f t="shared" si="55"/>
        <v>#N/A</v>
      </c>
      <c r="M480" s="68" t="e">
        <f>VLOOKUP($C480,'Daily_BU설비데이터 '!$C$20:$T$1000,11,0)</f>
        <v>#N/A</v>
      </c>
      <c r="N480" s="68" t="e">
        <f>VLOOKUP($C480,'Daily_BU설비데이터 '!$C$20:$T$1000,12,0)</f>
        <v>#N/A</v>
      </c>
      <c r="O480" s="68" t="e">
        <f>VLOOKUP($C480,'Daily_BU설비데이터 '!$C$20:$T$1000,13,0)</f>
        <v>#N/A</v>
      </c>
      <c r="P480" s="68" t="e">
        <f>VLOOKUP($C480,'Daily_BU설비데이터 '!$C$20:$T$1000,14,0)</f>
        <v>#N/A</v>
      </c>
      <c r="Q480" s="99" t="e">
        <f t="shared" si="56"/>
        <v>#N/A</v>
      </c>
      <c r="R480" s="100" t="e">
        <f t="shared" si="57"/>
        <v>#N/A</v>
      </c>
      <c r="S480" s="83" t="e">
        <f>VLOOKUP($C480,'Daily_BU설비데이터 '!$C$20:$T$1000,17,0)</f>
        <v>#N/A</v>
      </c>
      <c r="T480" s="83" t="e">
        <f>VLOOKUP($C480,'Daily_BU설비데이터 '!$C$20:$T$1000,18,0)</f>
        <v>#N/A</v>
      </c>
      <c r="U480" s="101" t="e">
        <f t="shared" si="58"/>
        <v>#N/A</v>
      </c>
      <c r="V480" s="45"/>
      <c r="W480" s="45"/>
      <c r="X480" s="45"/>
      <c r="Y480" s="45"/>
      <c r="Z480" s="45"/>
      <c r="AA480" s="45"/>
    </row>
    <row r="481" spans="2:27" x14ac:dyDescent="0.45">
      <c r="B481" s="45" t="s">
        <v>287</v>
      </c>
      <c r="C481" s="90"/>
      <c r="D481" s="56"/>
      <c r="E481" s="84"/>
      <c r="F481" s="58" t="e">
        <f>VLOOKUP($C481,'Daily_BU설비데이터 '!$C$20:$T$1000,4,0)</f>
        <v>#N/A</v>
      </c>
      <c r="G481" s="58" t="e">
        <f>VLOOKUP($C481,'Daily_BU설비데이터 '!$C$20:$T$1000,5,0)</f>
        <v>#N/A</v>
      </c>
      <c r="H481" s="58" t="e">
        <f>VLOOKUP($C481,'Daily_BU설비데이터 '!$C$20:$T$1000,6,0)</f>
        <v>#N/A</v>
      </c>
      <c r="I481" s="58" t="e">
        <f>VLOOKUP($C481,'Daily_BU설비데이터 '!$C$20:$T$1000,7,0)</f>
        <v>#N/A</v>
      </c>
      <c r="J481" s="58" t="e">
        <f>VLOOKUP($C481,'Daily_BU설비데이터 '!$C$20:$T$1000,8,0)</f>
        <v>#N/A</v>
      </c>
      <c r="K481" s="58" t="e">
        <f>VLOOKUP($C481,'Daily_BU설비데이터 '!$C$20:$T$1000,9,0)</f>
        <v>#N/A</v>
      </c>
      <c r="L481" s="59" t="e">
        <f t="shared" si="55"/>
        <v>#N/A</v>
      </c>
      <c r="M481" s="68" t="e">
        <f>VLOOKUP($C481,'Daily_BU설비데이터 '!$C$20:$T$1000,11,0)</f>
        <v>#N/A</v>
      </c>
      <c r="N481" s="68" t="e">
        <f>VLOOKUP($C481,'Daily_BU설비데이터 '!$C$20:$T$1000,12,0)</f>
        <v>#N/A</v>
      </c>
      <c r="O481" s="68" t="e">
        <f>VLOOKUP($C481,'Daily_BU설비데이터 '!$C$20:$T$1000,13,0)</f>
        <v>#N/A</v>
      </c>
      <c r="P481" s="68" t="e">
        <f>VLOOKUP($C481,'Daily_BU설비데이터 '!$C$20:$T$1000,14,0)</f>
        <v>#N/A</v>
      </c>
      <c r="Q481" s="99" t="e">
        <f t="shared" si="56"/>
        <v>#N/A</v>
      </c>
      <c r="R481" s="100" t="e">
        <f t="shared" si="57"/>
        <v>#N/A</v>
      </c>
      <c r="S481" s="83" t="e">
        <f>VLOOKUP($C481,'Daily_BU설비데이터 '!$C$20:$T$1000,17,0)</f>
        <v>#N/A</v>
      </c>
      <c r="T481" s="83" t="e">
        <f>VLOOKUP($C481,'Daily_BU설비데이터 '!$C$20:$T$1000,18,0)</f>
        <v>#N/A</v>
      </c>
      <c r="U481" s="101" t="e">
        <f t="shared" si="58"/>
        <v>#N/A</v>
      </c>
      <c r="V481" s="45"/>
      <c r="W481" s="45"/>
      <c r="X481" s="45"/>
      <c r="Y481" s="45"/>
      <c r="Z481" s="45"/>
      <c r="AA481" s="45"/>
    </row>
    <row r="482" spans="2:27" x14ac:dyDescent="0.45">
      <c r="B482" s="45" t="s">
        <v>288</v>
      </c>
      <c r="C482" s="90"/>
      <c r="D482" s="56"/>
      <c r="E482" s="57"/>
      <c r="F482" s="58" t="e">
        <f>VLOOKUP($C482,'Daily_BU설비데이터 '!$C$20:$T$1000,4,0)</f>
        <v>#N/A</v>
      </c>
      <c r="G482" s="58" t="e">
        <f>VLOOKUP($C482,'Daily_BU설비데이터 '!$C$20:$T$1000,5,0)</f>
        <v>#N/A</v>
      </c>
      <c r="H482" s="58" t="e">
        <f>VLOOKUP($C482,'Daily_BU설비데이터 '!$C$20:$T$1000,6,0)</f>
        <v>#N/A</v>
      </c>
      <c r="I482" s="58" t="e">
        <f>VLOOKUP($C482,'Daily_BU설비데이터 '!$C$20:$T$1000,7,0)</f>
        <v>#N/A</v>
      </c>
      <c r="J482" s="58" t="e">
        <f>VLOOKUP($C482,'Daily_BU설비데이터 '!$C$20:$T$1000,8,0)</f>
        <v>#N/A</v>
      </c>
      <c r="K482" s="58" t="e">
        <f>VLOOKUP($C482,'Daily_BU설비데이터 '!$C$20:$T$1000,9,0)</f>
        <v>#N/A</v>
      </c>
      <c r="L482" s="59" t="e">
        <f t="shared" si="55"/>
        <v>#N/A</v>
      </c>
      <c r="M482" s="68" t="e">
        <f>VLOOKUP($C482,'Daily_BU설비데이터 '!$C$20:$T$1000,11,0)</f>
        <v>#N/A</v>
      </c>
      <c r="N482" s="68" t="e">
        <f>VLOOKUP($C482,'Daily_BU설비데이터 '!$C$20:$T$1000,12,0)</f>
        <v>#N/A</v>
      </c>
      <c r="O482" s="68" t="e">
        <f>VLOOKUP($C482,'Daily_BU설비데이터 '!$C$20:$T$1000,13,0)</f>
        <v>#N/A</v>
      </c>
      <c r="P482" s="68" t="e">
        <f>VLOOKUP($C482,'Daily_BU설비데이터 '!$C$20:$T$1000,14,0)</f>
        <v>#N/A</v>
      </c>
      <c r="Q482" s="99" t="e">
        <f t="shared" si="56"/>
        <v>#N/A</v>
      </c>
      <c r="R482" s="100" t="e">
        <f t="shared" si="57"/>
        <v>#N/A</v>
      </c>
      <c r="S482" s="83" t="e">
        <f>VLOOKUP($C482,'Daily_BU설비데이터 '!$C$20:$T$1000,17,0)</f>
        <v>#N/A</v>
      </c>
      <c r="T482" s="83" t="e">
        <f>VLOOKUP($C482,'Daily_BU설비데이터 '!$C$20:$T$1000,18,0)</f>
        <v>#N/A</v>
      </c>
      <c r="U482" s="101" t="e">
        <f t="shared" si="58"/>
        <v>#N/A</v>
      </c>
      <c r="V482" s="45"/>
      <c r="W482" s="45"/>
      <c r="X482" s="45"/>
      <c r="Y482" s="45"/>
      <c r="Z482" s="45"/>
      <c r="AA482" s="45"/>
    </row>
    <row r="483" spans="2:27" x14ac:dyDescent="0.45">
      <c r="B483" s="45" t="s">
        <v>289</v>
      </c>
      <c r="C483" s="90"/>
      <c r="D483" s="56"/>
      <c r="E483" s="80"/>
      <c r="F483" s="58" t="e">
        <f>VLOOKUP($C483,'Daily_BU설비데이터 '!$C$20:$T$1000,4,0)</f>
        <v>#N/A</v>
      </c>
      <c r="G483" s="58" t="e">
        <f>VLOOKUP($C483,'Daily_BU설비데이터 '!$C$20:$T$1000,5,0)</f>
        <v>#N/A</v>
      </c>
      <c r="H483" s="58" t="e">
        <f>VLOOKUP($C483,'Daily_BU설비데이터 '!$C$20:$T$1000,6,0)</f>
        <v>#N/A</v>
      </c>
      <c r="I483" s="58" t="e">
        <f>VLOOKUP($C483,'Daily_BU설비데이터 '!$C$20:$T$1000,7,0)</f>
        <v>#N/A</v>
      </c>
      <c r="J483" s="58" t="e">
        <f>VLOOKUP($C483,'Daily_BU설비데이터 '!$C$20:$T$1000,8,0)</f>
        <v>#N/A</v>
      </c>
      <c r="K483" s="58" t="e">
        <f>VLOOKUP($C483,'Daily_BU설비데이터 '!$C$20:$T$1000,9,0)</f>
        <v>#N/A</v>
      </c>
      <c r="L483" s="59" t="e">
        <f t="shared" si="55"/>
        <v>#N/A</v>
      </c>
      <c r="M483" s="68" t="e">
        <f>VLOOKUP($C483,'Daily_BU설비데이터 '!$C$20:$T$1000,11,0)</f>
        <v>#N/A</v>
      </c>
      <c r="N483" s="68" t="e">
        <f>VLOOKUP($C483,'Daily_BU설비데이터 '!$C$20:$T$1000,12,0)</f>
        <v>#N/A</v>
      </c>
      <c r="O483" s="68" t="e">
        <f>VLOOKUP($C483,'Daily_BU설비데이터 '!$C$20:$T$1000,13,0)</f>
        <v>#N/A</v>
      </c>
      <c r="P483" s="68" t="e">
        <f>VLOOKUP($C483,'Daily_BU설비데이터 '!$C$20:$T$1000,14,0)</f>
        <v>#N/A</v>
      </c>
      <c r="Q483" s="99" t="e">
        <f t="shared" si="56"/>
        <v>#N/A</v>
      </c>
      <c r="R483" s="100" t="e">
        <f t="shared" si="57"/>
        <v>#N/A</v>
      </c>
      <c r="S483" s="83" t="e">
        <f>VLOOKUP($C483,'Daily_BU설비데이터 '!$C$20:$T$1000,17,0)</f>
        <v>#N/A</v>
      </c>
      <c r="T483" s="83" t="e">
        <f>VLOOKUP($C483,'Daily_BU설비데이터 '!$C$20:$T$1000,18,0)</f>
        <v>#N/A</v>
      </c>
      <c r="U483" s="101" t="e">
        <f t="shared" si="58"/>
        <v>#N/A</v>
      </c>
      <c r="V483" s="45"/>
      <c r="W483" s="45"/>
      <c r="X483" s="45"/>
      <c r="Y483" s="45"/>
      <c r="Z483" s="45"/>
      <c r="AA483" s="45"/>
    </row>
    <row r="484" spans="2:27" x14ac:dyDescent="0.45">
      <c r="B484" s="45" t="s">
        <v>290</v>
      </c>
      <c r="C484" s="90"/>
      <c r="D484" s="56"/>
      <c r="E484" s="84"/>
      <c r="F484" s="58" t="e">
        <f>VLOOKUP($C484,'Daily_BU설비데이터 '!$C$20:$T$1000,4,0)</f>
        <v>#N/A</v>
      </c>
      <c r="G484" s="58" t="e">
        <f>VLOOKUP($C484,'Daily_BU설비데이터 '!$C$20:$T$1000,5,0)</f>
        <v>#N/A</v>
      </c>
      <c r="H484" s="58" t="e">
        <f>VLOOKUP($C484,'Daily_BU설비데이터 '!$C$20:$T$1000,6,0)</f>
        <v>#N/A</v>
      </c>
      <c r="I484" s="58" t="e">
        <f>VLOOKUP($C484,'Daily_BU설비데이터 '!$C$20:$T$1000,7,0)</f>
        <v>#N/A</v>
      </c>
      <c r="J484" s="58" t="e">
        <f>VLOOKUP($C484,'Daily_BU설비데이터 '!$C$20:$T$1000,8,0)</f>
        <v>#N/A</v>
      </c>
      <c r="K484" s="58" t="e">
        <f>VLOOKUP($C484,'Daily_BU설비데이터 '!$C$20:$T$1000,9,0)</f>
        <v>#N/A</v>
      </c>
      <c r="L484" s="59" t="e">
        <f t="shared" si="55"/>
        <v>#N/A</v>
      </c>
      <c r="M484" s="68" t="e">
        <f>VLOOKUP($C484,'Daily_BU설비데이터 '!$C$20:$T$1000,11,0)</f>
        <v>#N/A</v>
      </c>
      <c r="N484" s="68" t="e">
        <f>VLOOKUP($C484,'Daily_BU설비데이터 '!$C$20:$T$1000,12,0)</f>
        <v>#N/A</v>
      </c>
      <c r="O484" s="68" t="e">
        <f>VLOOKUP($C484,'Daily_BU설비데이터 '!$C$20:$T$1000,13,0)</f>
        <v>#N/A</v>
      </c>
      <c r="P484" s="68" t="e">
        <f>VLOOKUP($C484,'Daily_BU설비데이터 '!$C$20:$T$1000,14,0)</f>
        <v>#N/A</v>
      </c>
      <c r="Q484" s="99" t="e">
        <f t="shared" si="56"/>
        <v>#N/A</v>
      </c>
      <c r="R484" s="100" t="e">
        <f t="shared" si="57"/>
        <v>#N/A</v>
      </c>
      <c r="S484" s="83" t="e">
        <f>VLOOKUP($C484,'Daily_BU설비데이터 '!$C$20:$T$1000,17,0)</f>
        <v>#N/A</v>
      </c>
      <c r="T484" s="83" t="e">
        <f>VLOOKUP($C484,'Daily_BU설비데이터 '!$C$20:$T$1000,18,0)</f>
        <v>#N/A</v>
      </c>
      <c r="U484" s="101" t="e">
        <f t="shared" si="58"/>
        <v>#N/A</v>
      </c>
      <c r="V484" s="45"/>
      <c r="W484" s="45"/>
      <c r="X484" s="45"/>
      <c r="Y484" s="45"/>
      <c r="Z484" s="45"/>
      <c r="AA484" s="45"/>
    </row>
    <row r="485" spans="2:27" x14ac:dyDescent="0.45">
      <c r="B485" s="45" t="s">
        <v>291</v>
      </c>
      <c r="C485" s="90"/>
      <c r="D485" s="56"/>
      <c r="E485" s="57"/>
      <c r="F485" s="58" t="e">
        <f>VLOOKUP($C485,'Daily_BU설비데이터 '!$C$20:$T$1000,4,0)</f>
        <v>#N/A</v>
      </c>
      <c r="G485" s="58" t="e">
        <f>VLOOKUP($C485,'Daily_BU설비데이터 '!$C$20:$T$1000,5,0)</f>
        <v>#N/A</v>
      </c>
      <c r="H485" s="58" t="e">
        <f>VLOOKUP($C485,'Daily_BU설비데이터 '!$C$20:$T$1000,6,0)</f>
        <v>#N/A</v>
      </c>
      <c r="I485" s="58" t="e">
        <f>VLOOKUP($C485,'Daily_BU설비데이터 '!$C$20:$T$1000,7,0)</f>
        <v>#N/A</v>
      </c>
      <c r="J485" s="58" t="e">
        <f>VLOOKUP($C485,'Daily_BU설비데이터 '!$C$20:$T$1000,8,0)</f>
        <v>#N/A</v>
      </c>
      <c r="K485" s="58" t="e">
        <f>VLOOKUP($C485,'Daily_BU설비데이터 '!$C$20:$T$1000,9,0)</f>
        <v>#N/A</v>
      </c>
      <c r="L485" s="59" t="e">
        <f t="shared" si="55"/>
        <v>#N/A</v>
      </c>
      <c r="M485" s="68" t="e">
        <f>VLOOKUP($C485,'Daily_BU설비데이터 '!$C$20:$T$1000,11,0)</f>
        <v>#N/A</v>
      </c>
      <c r="N485" s="68" t="e">
        <f>VLOOKUP($C485,'Daily_BU설비데이터 '!$C$20:$T$1000,12,0)</f>
        <v>#N/A</v>
      </c>
      <c r="O485" s="68" t="e">
        <f>VLOOKUP($C485,'Daily_BU설비데이터 '!$C$20:$T$1000,13,0)</f>
        <v>#N/A</v>
      </c>
      <c r="P485" s="68" t="e">
        <f>VLOOKUP($C485,'Daily_BU설비데이터 '!$C$20:$T$1000,14,0)</f>
        <v>#N/A</v>
      </c>
      <c r="Q485" s="99" t="e">
        <f t="shared" si="56"/>
        <v>#N/A</v>
      </c>
      <c r="R485" s="100" t="e">
        <f t="shared" si="57"/>
        <v>#N/A</v>
      </c>
      <c r="S485" s="83" t="e">
        <f>VLOOKUP($C485,'Daily_BU설비데이터 '!$C$20:$T$1000,17,0)</f>
        <v>#N/A</v>
      </c>
      <c r="T485" s="83" t="e">
        <f>VLOOKUP($C485,'Daily_BU설비데이터 '!$C$20:$T$1000,18,0)</f>
        <v>#N/A</v>
      </c>
      <c r="U485" s="101" t="e">
        <f t="shared" si="58"/>
        <v>#N/A</v>
      </c>
      <c r="V485" s="45"/>
      <c r="W485" s="45"/>
      <c r="X485" s="45"/>
      <c r="Y485" s="45"/>
      <c r="Z485" s="45"/>
      <c r="AA485" s="45"/>
    </row>
    <row r="486" spans="2:27" x14ac:dyDescent="0.45">
      <c r="B486" s="45" t="s">
        <v>292</v>
      </c>
      <c r="C486" s="90"/>
      <c r="D486" s="56"/>
      <c r="E486" s="80"/>
      <c r="F486" s="58" t="e">
        <f>VLOOKUP($C486,'Daily_BU설비데이터 '!$C$20:$T$1000,4,0)</f>
        <v>#N/A</v>
      </c>
      <c r="G486" s="58" t="e">
        <f>VLOOKUP($C486,'Daily_BU설비데이터 '!$C$20:$T$1000,5,0)</f>
        <v>#N/A</v>
      </c>
      <c r="H486" s="58" t="e">
        <f>VLOOKUP($C486,'Daily_BU설비데이터 '!$C$20:$T$1000,6,0)</f>
        <v>#N/A</v>
      </c>
      <c r="I486" s="58" t="e">
        <f>VLOOKUP($C486,'Daily_BU설비데이터 '!$C$20:$T$1000,7,0)</f>
        <v>#N/A</v>
      </c>
      <c r="J486" s="58" t="e">
        <f>VLOOKUP($C486,'Daily_BU설비데이터 '!$C$20:$T$1000,8,0)</f>
        <v>#N/A</v>
      </c>
      <c r="K486" s="58" t="e">
        <f>VLOOKUP($C486,'Daily_BU설비데이터 '!$C$20:$T$1000,9,0)</f>
        <v>#N/A</v>
      </c>
      <c r="L486" s="59" t="e">
        <f t="shared" si="55"/>
        <v>#N/A</v>
      </c>
      <c r="M486" s="68" t="e">
        <f>VLOOKUP($C486,'Daily_BU설비데이터 '!$C$20:$T$1000,11,0)</f>
        <v>#N/A</v>
      </c>
      <c r="N486" s="68" t="e">
        <f>VLOOKUP($C486,'Daily_BU설비데이터 '!$C$20:$T$1000,12,0)</f>
        <v>#N/A</v>
      </c>
      <c r="O486" s="68" t="e">
        <f>VLOOKUP($C486,'Daily_BU설비데이터 '!$C$20:$T$1000,13,0)</f>
        <v>#N/A</v>
      </c>
      <c r="P486" s="68" t="e">
        <f>VLOOKUP($C486,'Daily_BU설비데이터 '!$C$20:$T$1000,14,0)</f>
        <v>#N/A</v>
      </c>
      <c r="Q486" s="99" t="e">
        <f t="shared" si="56"/>
        <v>#N/A</v>
      </c>
      <c r="R486" s="100" t="e">
        <f t="shared" si="57"/>
        <v>#N/A</v>
      </c>
      <c r="S486" s="83" t="e">
        <f>VLOOKUP($C486,'Daily_BU설비데이터 '!$C$20:$T$1000,17,0)</f>
        <v>#N/A</v>
      </c>
      <c r="T486" s="83" t="e">
        <f>VLOOKUP($C486,'Daily_BU설비데이터 '!$C$20:$T$1000,18,0)</f>
        <v>#N/A</v>
      </c>
      <c r="U486" s="101" t="e">
        <f t="shared" si="58"/>
        <v>#N/A</v>
      </c>
      <c r="V486" s="45"/>
      <c r="W486" s="45"/>
      <c r="X486" s="45"/>
      <c r="Y486" s="45"/>
      <c r="Z486" s="45"/>
      <c r="AA486" s="45"/>
    </row>
    <row r="487" spans="2:27" x14ac:dyDescent="0.45">
      <c r="B487" s="45" t="s">
        <v>293</v>
      </c>
      <c r="C487" s="90"/>
      <c r="D487" s="56"/>
      <c r="E487" s="84"/>
      <c r="F487" s="58" t="e">
        <f>VLOOKUP($C487,'Daily_BU설비데이터 '!$C$20:$T$1000,4,0)</f>
        <v>#N/A</v>
      </c>
      <c r="G487" s="58" t="e">
        <f>VLOOKUP($C487,'Daily_BU설비데이터 '!$C$20:$T$1000,5,0)</f>
        <v>#N/A</v>
      </c>
      <c r="H487" s="58" t="e">
        <f>VLOOKUP($C487,'Daily_BU설비데이터 '!$C$20:$T$1000,6,0)</f>
        <v>#N/A</v>
      </c>
      <c r="I487" s="58" t="e">
        <f>VLOOKUP($C487,'Daily_BU설비데이터 '!$C$20:$T$1000,7,0)</f>
        <v>#N/A</v>
      </c>
      <c r="J487" s="58" t="e">
        <f>VLOOKUP($C487,'Daily_BU설비데이터 '!$C$20:$T$1000,8,0)</f>
        <v>#N/A</v>
      </c>
      <c r="K487" s="58" t="e">
        <f>VLOOKUP($C487,'Daily_BU설비데이터 '!$C$20:$T$1000,9,0)</f>
        <v>#N/A</v>
      </c>
      <c r="L487" s="59" t="e">
        <f t="shared" si="55"/>
        <v>#N/A</v>
      </c>
      <c r="M487" s="68" t="e">
        <f>VLOOKUP($C487,'Daily_BU설비데이터 '!$C$20:$T$1000,11,0)</f>
        <v>#N/A</v>
      </c>
      <c r="N487" s="68" t="e">
        <f>VLOOKUP($C487,'Daily_BU설비데이터 '!$C$20:$T$1000,12,0)</f>
        <v>#N/A</v>
      </c>
      <c r="O487" s="68" t="e">
        <f>VLOOKUP($C487,'Daily_BU설비데이터 '!$C$20:$T$1000,13,0)</f>
        <v>#N/A</v>
      </c>
      <c r="P487" s="68" t="e">
        <f>VLOOKUP($C487,'Daily_BU설비데이터 '!$C$20:$T$1000,14,0)</f>
        <v>#N/A</v>
      </c>
      <c r="Q487" s="99" t="e">
        <f t="shared" si="56"/>
        <v>#N/A</v>
      </c>
      <c r="R487" s="100" t="e">
        <f t="shared" si="57"/>
        <v>#N/A</v>
      </c>
      <c r="S487" s="83" t="e">
        <f>VLOOKUP($C487,'Daily_BU설비데이터 '!$C$20:$T$1000,17,0)</f>
        <v>#N/A</v>
      </c>
      <c r="T487" s="83" t="e">
        <f>VLOOKUP($C487,'Daily_BU설비데이터 '!$C$20:$T$1000,18,0)</f>
        <v>#N/A</v>
      </c>
      <c r="U487" s="101" t="e">
        <f t="shared" si="58"/>
        <v>#N/A</v>
      </c>
      <c r="V487" s="45"/>
      <c r="W487" s="45"/>
      <c r="X487" s="45"/>
      <c r="Y487" s="45"/>
      <c r="Z487" s="45"/>
      <c r="AA487" s="45"/>
    </row>
    <row r="488" spans="2:27" x14ac:dyDescent="0.45">
      <c r="B488" s="45" t="s">
        <v>294</v>
      </c>
      <c r="C488" s="90"/>
      <c r="D488" s="56"/>
      <c r="E488" s="57"/>
      <c r="F488" s="58" t="e">
        <f>VLOOKUP($C488,'Daily_BU설비데이터 '!$C$20:$T$1000,4,0)</f>
        <v>#N/A</v>
      </c>
      <c r="G488" s="58" t="e">
        <f>VLOOKUP($C488,'Daily_BU설비데이터 '!$C$20:$T$1000,5,0)</f>
        <v>#N/A</v>
      </c>
      <c r="H488" s="58" t="e">
        <f>VLOOKUP($C488,'Daily_BU설비데이터 '!$C$20:$T$1000,6,0)</f>
        <v>#N/A</v>
      </c>
      <c r="I488" s="58" t="e">
        <f>VLOOKUP($C488,'Daily_BU설비데이터 '!$C$20:$T$1000,7,0)</f>
        <v>#N/A</v>
      </c>
      <c r="J488" s="58" t="e">
        <f>VLOOKUP($C488,'Daily_BU설비데이터 '!$C$20:$T$1000,8,0)</f>
        <v>#N/A</v>
      </c>
      <c r="K488" s="58" t="e">
        <f>VLOOKUP($C488,'Daily_BU설비데이터 '!$C$20:$T$1000,9,0)</f>
        <v>#N/A</v>
      </c>
      <c r="L488" s="59" t="e">
        <f t="shared" si="55"/>
        <v>#N/A</v>
      </c>
      <c r="M488" s="68" t="e">
        <f>VLOOKUP($C488,'Daily_BU설비데이터 '!$C$20:$T$1000,11,0)</f>
        <v>#N/A</v>
      </c>
      <c r="N488" s="68" t="e">
        <f>VLOOKUP($C488,'Daily_BU설비데이터 '!$C$20:$T$1000,12,0)</f>
        <v>#N/A</v>
      </c>
      <c r="O488" s="68" t="e">
        <f>VLOOKUP($C488,'Daily_BU설비데이터 '!$C$20:$T$1000,13,0)</f>
        <v>#N/A</v>
      </c>
      <c r="P488" s="68" t="e">
        <f>VLOOKUP($C488,'Daily_BU설비데이터 '!$C$20:$T$1000,14,0)</f>
        <v>#N/A</v>
      </c>
      <c r="Q488" s="99" t="e">
        <f t="shared" si="56"/>
        <v>#N/A</v>
      </c>
      <c r="R488" s="100" t="e">
        <f t="shared" si="57"/>
        <v>#N/A</v>
      </c>
      <c r="S488" s="83" t="e">
        <f>VLOOKUP($C488,'Daily_BU설비데이터 '!$C$20:$T$1000,17,0)</f>
        <v>#N/A</v>
      </c>
      <c r="T488" s="83" t="e">
        <f>VLOOKUP($C488,'Daily_BU설비데이터 '!$C$20:$T$1000,18,0)</f>
        <v>#N/A</v>
      </c>
      <c r="U488" s="101" t="e">
        <f t="shared" si="58"/>
        <v>#N/A</v>
      </c>
      <c r="V488" s="45"/>
      <c r="W488" s="45"/>
      <c r="X488" s="45"/>
      <c r="Y488" s="45"/>
      <c r="Z488" s="45"/>
      <c r="AA488" s="45"/>
    </row>
    <row r="489" spans="2:27" x14ac:dyDescent="0.45">
      <c r="B489" s="45" t="s">
        <v>295</v>
      </c>
      <c r="C489" s="90"/>
      <c r="D489" s="56"/>
      <c r="E489" s="80"/>
      <c r="F489" s="58" t="e">
        <f>VLOOKUP($C489,'Daily_BU설비데이터 '!$C$20:$T$1000,4,0)</f>
        <v>#N/A</v>
      </c>
      <c r="G489" s="58" t="e">
        <f>VLOOKUP($C489,'Daily_BU설비데이터 '!$C$20:$T$1000,5,0)</f>
        <v>#N/A</v>
      </c>
      <c r="H489" s="58" t="e">
        <f>VLOOKUP($C489,'Daily_BU설비데이터 '!$C$20:$T$1000,6,0)</f>
        <v>#N/A</v>
      </c>
      <c r="I489" s="58" t="e">
        <f>VLOOKUP($C489,'Daily_BU설비데이터 '!$C$20:$T$1000,7,0)</f>
        <v>#N/A</v>
      </c>
      <c r="J489" s="58" t="e">
        <f>VLOOKUP($C489,'Daily_BU설비데이터 '!$C$20:$T$1000,8,0)</f>
        <v>#N/A</v>
      </c>
      <c r="K489" s="58" t="e">
        <f>VLOOKUP($C489,'Daily_BU설비데이터 '!$C$20:$T$1000,9,0)</f>
        <v>#N/A</v>
      </c>
      <c r="L489" s="59" t="e">
        <f t="shared" si="55"/>
        <v>#N/A</v>
      </c>
      <c r="M489" s="68" t="e">
        <f>VLOOKUP($C489,'Daily_BU설비데이터 '!$C$20:$T$1000,11,0)</f>
        <v>#N/A</v>
      </c>
      <c r="N489" s="68" t="e">
        <f>VLOOKUP($C489,'Daily_BU설비데이터 '!$C$20:$T$1000,12,0)</f>
        <v>#N/A</v>
      </c>
      <c r="O489" s="68" t="e">
        <f>VLOOKUP($C489,'Daily_BU설비데이터 '!$C$20:$T$1000,13,0)</f>
        <v>#N/A</v>
      </c>
      <c r="P489" s="68" t="e">
        <f>VLOOKUP($C489,'Daily_BU설비데이터 '!$C$20:$T$1000,14,0)</f>
        <v>#N/A</v>
      </c>
      <c r="Q489" s="99" t="e">
        <f t="shared" si="56"/>
        <v>#N/A</v>
      </c>
      <c r="R489" s="100" t="e">
        <f t="shared" si="57"/>
        <v>#N/A</v>
      </c>
      <c r="S489" s="83" t="e">
        <f>VLOOKUP($C489,'Daily_BU설비데이터 '!$C$20:$T$1000,17,0)</f>
        <v>#N/A</v>
      </c>
      <c r="T489" s="83" t="e">
        <f>VLOOKUP($C489,'Daily_BU설비데이터 '!$C$20:$T$1000,18,0)</f>
        <v>#N/A</v>
      </c>
      <c r="U489" s="101" t="e">
        <f t="shared" si="58"/>
        <v>#N/A</v>
      </c>
      <c r="V489" s="45"/>
      <c r="W489" s="45"/>
      <c r="X489" s="45"/>
      <c r="Y489" s="45"/>
      <c r="Z489" s="45"/>
      <c r="AA489" s="45"/>
    </row>
    <row r="490" spans="2:27" x14ac:dyDescent="0.45">
      <c r="B490" s="45" t="s">
        <v>296</v>
      </c>
      <c r="C490" s="90"/>
      <c r="D490" s="56"/>
      <c r="E490" s="84"/>
      <c r="F490" s="58" t="e">
        <f>VLOOKUP($C490,'Daily_BU설비데이터 '!$C$20:$T$1000,4,0)</f>
        <v>#N/A</v>
      </c>
      <c r="G490" s="58" t="e">
        <f>VLOOKUP($C490,'Daily_BU설비데이터 '!$C$20:$T$1000,5,0)</f>
        <v>#N/A</v>
      </c>
      <c r="H490" s="58" t="e">
        <f>VLOOKUP($C490,'Daily_BU설비데이터 '!$C$20:$T$1000,6,0)</f>
        <v>#N/A</v>
      </c>
      <c r="I490" s="58" t="e">
        <f>VLOOKUP($C490,'Daily_BU설비데이터 '!$C$20:$T$1000,7,0)</f>
        <v>#N/A</v>
      </c>
      <c r="J490" s="58" t="e">
        <f>VLOOKUP($C490,'Daily_BU설비데이터 '!$C$20:$T$1000,8,0)</f>
        <v>#N/A</v>
      </c>
      <c r="K490" s="58" t="e">
        <f>VLOOKUP($C490,'Daily_BU설비데이터 '!$C$20:$T$1000,9,0)</f>
        <v>#N/A</v>
      </c>
      <c r="L490" s="59" t="e">
        <f t="shared" si="55"/>
        <v>#N/A</v>
      </c>
      <c r="M490" s="68" t="e">
        <f>VLOOKUP($C490,'Daily_BU설비데이터 '!$C$20:$T$1000,11,0)</f>
        <v>#N/A</v>
      </c>
      <c r="N490" s="68" t="e">
        <f>VLOOKUP($C490,'Daily_BU설비데이터 '!$C$20:$T$1000,12,0)</f>
        <v>#N/A</v>
      </c>
      <c r="O490" s="68" t="e">
        <f>VLOOKUP($C490,'Daily_BU설비데이터 '!$C$20:$T$1000,13,0)</f>
        <v>#N/A</v>
      </c>
      <c r="P490" s="68" t="e">
        <f>VLOOKUP($C490,'Daily_BU설비데이터 '!$C$20:$T$1000,14,0)</f>
        <v>#N/A</v>
      </c>
      <c r="Q490" s="99" t="e">
        <f t="shared" si="56"/>
        <v>#N/A</v>
      </c>
      <c r="R490" s="100" t="e">
        <f t="shared" si="57"/>
        <v>#N/A</v>
      </c>
      <c r="S490" s="83" t="e">
        <f>VLOOKUP($C490,'Daily_BU설비데이터 '!$C$20:$T$1000,17,0)</f>
        <v>#N/A</v>
      </c>
      <c r="T490" s="83" t="e">
        <f>VLOOKUP($C490,'Daily_BU설비데이터 '!$C$20:$T$1000,18,0)</f>
        <v>#N/A</v>
      </c>
      <c r="U490" s="101" t="e">
        <f t="shared" si="58"/>
        <v>#N/A</v>
      </c>
      <c r="V490" s="45"/>
      <c r="W490" s="45"/>
      <c r="X490" s="45"/>
      <c r="Y490" s="45"/>
      <c r="Z490" s="45"/>
      <c r="AA490" s="45"/>
    </row>
    <row r="491" spans="2:27" x14ac:dyDescent="0.45">
      <c r="B491" s="45" t="s">
        <v>297</v>
      </c>
      <c r="C491" s="90"/>
      <c r="D491" s="56"/>
      <c r="E491" s="57"/>
      <c r="F491" s="58" t="e">
        <f>VLOOKUP($C491,'Daily_BU설비데이터 '!$C$20:$T$1000,4,0)</f>
        <v>#N/A</v>
      </c>
      <c r="G491" s="58" t="e">
        <f>VLOOKUP($C491,'Daily_BU설비데이터 '!$C$20:$T$1000,5,0)</f>
        <v>#N/A</v>
      </c>
      <c r="H491" s="58" t="e">
        <f>VLOOKUP($C491,'Daily_BU설비데이터 '!$C$20:$T$1000,6,0)</f>
        <v>#N/A</v>
      </c>
      <c r="I491" s="58" t="e">
        <f>VLOOKUP($C491,'Daily_BU설비데이터 '!$C$20:$T$1000,7,0)</f>
        <v>#N/A</v>
      </c>
      <c r="J491" s="58" t="e">
        <f>VLOOKUP($C491,'Daily_BU설비데이터 '!$C$20:$T$1000,8,0)</f>
        <v>#N/A</v>
      </c>
      <c r="K491" s="58" t="e">
        <f>VLOOKUP($C491,'Daily_BU설비데이터 '!$C$20:$T$1000,9,0)</f>
        <v>#N/A</v>
      </c>
      <c r="L491" s="59" t="e">
        <f t="shared" si="55"/>
        <v>#N/A</v>
      </c>
      <c r="M491" s="68" t="e">
        <f>VLOOKUP($C491,'Daily_BU설비데이터 '!$C$20:$T$1000,11,0)</f>
        <v>#N/A</v>
      </c>
      <c r="N491" s="68" t="e">
        <f>VLOOKUP($C491,'Daily_BU설비데이터 '!$C$20:$T$1000,12,0)</f>
        <v>#N/A</v>
      </c>
      <c r="O491" s="68" t="e">
        <f>VLOOKUP($C491,'Daily_BU설비데이터 '!$C$20:$T$1000,13,0)</f>
        <v>#N/A</v>
      </c>
      <c r="P491" s="68" t="e">
        <f>VLOOKUP($C491,'Daily_BU설비데이터 '!$C$20:$T$1000,14,0)</f>
        <v>#N/A</v>
      </c>
      <c r="Q491" s="99" t="e">
        <f t="shared" si="56"/>
        <v>#N/A</v>
      </c>
      <c r="R491" s="100" t="e">
        <f t="shared" si="57"/>
        <v>#N/A</v>
      </c>
      <c r="S491" s="83" t="e">
        <f>VLOOKUP($C491,'Daily_BU설비데이터 '!$C$20:$T$1000,17,0)</f>
        <v>#N/A</v>
      </c>
      <c r="T491" s="83" t="e">
        <f>VLOOKUP($C491,'Daily_BU설비데이터 '!$C$20:$T$1000,18,0)</f>
        <v>#N/A</v>
      </c>
      <c r="U491" s="101" t="e">
        <f t="shared" si="58"/>
        <v>#N/A</v>
      </c>
      <c r="V491" s="45"/>
      <c r="W491" s="45"/>
      <c r="X491" s="45"/>
      <c r="Y491" s="45"/>
      <c r="Z491" s="45"/>
      <c r="AA491" s="45"/>
    </row>
    <row r="492" spans="2:27" x14ac:dyDescent="0.45">
      <c r="B492" s="45" t="s">
        <v>298</v>
      </c>
      <c r="C492" s="90"/>
      <c r="D492" s="56"/>
      <c r="E492" s="80"/>
      <c r="F492" s="58" t="e">
        <f>VLOOKUP($C492,'Daily_BU설비데이터 '!$C$20:$T$1000,4,0)</f>
        <v>#N/A</v>
      </c>
      <c r="G492" s="58" t="e">
        <f>VLOOKUP($C492,'Daily_BU설비데이터 '!$C$20:$T$1000,5,0)</f>
        <v>#N/A</v>
      </c>
      <c r="H492" s="58" t="e">
        <f>VLOOKUP($C492,'Daily_BU설비데이터 '!$C$20:$T$1000,6,0)</f>
        <v>#N/A</v>
      </c>
      <c r="I492" s="58" t="e">
        <f>VLOOKUP($C492,'Daily_BU설비데이터 '!$C$20:$T$1000,7,0)</f>
        <v>#N/A</v>
      </c>
      <c r="J492" s="58" t="e">
        <f>VLOOKUP($C492,'Daily_BU설비데이터 '!$C$20:$T$1000,8,0)</f>
        <v>#N/A</v>
      </c>
      <c r="K492" s="58" t="e">
        <f>VLOOKUP($C492,'Daily_BU설비데이터 '!$C$20:$T$1000,9,0)</f>
        <v>#N/A</v>
      </c>
      <c r="L492" s="59" t="e">
        <f t="shared" si="55"/>
        <v>#N/A</v>
      </c>
      <c r="M492" s="68" t="e">
        <f>VLOOKUP($C492,'Daily_BU설비데이터 '!$C$20:$T$1000,11,0)</f>
        <v>#N/A</v>
      </c>
      <c r="N492" s="68" t="e">
        <f>VLOOKUP($C492,'Daily_BU설비데이터 '!$C$20:$T$1000,12,0)</f>
        <v>#N/A</v>
      </c>
      <c r="O492" s="68" t="e">
        <f>VLOOKUP($C492,'Daily_BU설비데이터 '!$C$20:$T$1000,13,0)</f>
        <v>#N/A</v>
      </c>
      <c r="P492" s="68" t="e">
        <f>VLOOKUP($C492,'Daily_BU설비데이터 '!$C$20:$T$1000,14,0)</f>
        <v>#N/A</v>
      </c>
      <c r="Q492" s="99" t="e">
        <f t="shared" si="56"/>
        <v>#N/A</v>
      </c>
      <c r="R492" s="100" t="e">
        <f t="shared" si="57"/>
        <v>#N/A</v>
      </c>
      <c r="S492" s="83" t="e">
        <f>VLOOKUP($C492,'Daily_BU설비데이터 '!$C$20:$T$1000,17,0)</f>
        <v>#N/A</v>
      </c>
      <c r="T492" s="83" t="e">
        <f>VLOOKUP($C492,'Daily_BU설비데이터 '!$C$20:$T$1000,18,0)</f>
        <v>#N/A</v>
      </c>
      <c r="U492" s="101" t="e">
        <f t="shared" si="58"/>
        <v>#N/A</v>
      </c>
      <c r="V492" s="45"/>
      <c r="W492" s="45"/>
      <c r="X492" s="45"/>
      <c r="Y492" s="45"/>
      <c r="Z492" s="45"/>
      <c r="AA492" s="45"/>
    </row>
    <row r="493" spans="2:27" x14ac:dyDescent="0.45">
      <c r="B493" s="45" t="s">
        <v>299</v>
      </c>
      <c r="C493" s="90"/>
      <c r="D493" s="56"/>
      <c r="E493" s="84"/>
      <c r="F493" s="58" t="e">
        <f>VLOOKUP($C493,'Daily_BU설비데이터 '!$C$20:$T$1000,4,0)</f>
        <v>#N/A</v>
      </c>
      <c r="G493" s="58" t="e">
        <f>VLOOKUP($C493,'Daily_BU설비데이터 '!$C$20:$T$1000,5,0)</f>
        <v>#N/A</v>
      </c>
      <c r="H493" s="58" t="e">
        <f>VLOOKUP($C493,'Daily_BU설비데이터 '!$C$20:$T$1000,6,0)</f>
        <v>#N/A</v>
      </c>
      <c r="I493" s="58" t="e">
        <f>VLOOKUP($C493,'Daily_BU설비데이터 '!$C$20:$T$1000,7,0)</f>
        <v>#N/A</v>
      </c>
      <c r="J493" s="58" t="e">
        <f>VLOOKUP($C493,'Daily_BU설비데이터 '!$C$20:$T$1000,8,0)</f>
        <v>#N/A</v>
      </c>
      <c r="K493" s="58" t="e">
        <f>VLOOKUP($C493,'Daily_BU설비데이터 '!$C$20:$T$1000,9,0)</f>
        <v>#N/A</v>
      </c>
      <c r="L493" s="59" t="e">
        <f t="shared" si="55"/>
        <v>#N/A</v>
      </c>
      <c r="M493" s="68" t="e">
        <f>VLOOKUP($C493,'Daily_BU설비데이터 '!$C$20:$T$1000,11,0)</f>
        <v>#N/A</v>
      </c>
      <c r="N493" s="68" t="e">
        <f>VLOOKUP($C493,'Daily_BU설비데이터 '!$C$20:$T$1000,12,0)</f>
        <v>#N/A</v>
      </c>
      <c r="O493" s="68" t="e">
        <f>VLOOKUP($C493,'Daily_BU설비데이터 '!$C$20:$T$1000,13,0)</f>
        <v>#N/A</v>
      </c>
      <c r="P493" s="68" t="e">
        <f>VLOOKUP($C493,'Daily_BU설비데이터 '!$C$20:$T$1000,14,0)</f>
        <v>#N/A</v>
      </c>
      <c r="Q493" s="99" t="e">
        <f t="shared" si="56"/>
        <v>#N/A</v>
      </c>
      <c r="R493" s="100" t="e">
        <f t="shared" si="57"/>
        <v>#N/A</v>
      </c>
      <c r="S493" s="83" t="e">
        <f>VLOOKUP($C493,'Daily_BU설비데이터 '!$C$20:$T$1000,17,0)</f>
        <v>#N/A</v>
      </c>
      <c r="T493" s="83" t="e">
        <f>VLOOKUP($C493,'Daily_BU설비데이터 '!$C$20:$T$1000,18,0)</f>
        <v>#N/A</v>
      </c>
      <c r="U493" s="101" t="e">
        <f t="shared" si="58"/>
        <v>#N/A</v>
      </c>
      <c r="V493" s="45"/>
      <c r="W493" s="45"/>
      <c r="X493" s="45"/>
      <c r="Y493" s="45"/>
      <c r="Z493" s="45"/>
      <c r="AA493" s="45"/>
    </row>
    <row r="494" spans="2:27" x14ac:dyDescent="0.45">
      <c r="B494" s="45" t="s">
        <v>300</v>
      </c>
      <c r="C494" s="90"/>
      <c r="D494" s="56"/>
      <c r="E494" s="57"/>
      <c r="F494" s="58" t="e">
        <f>VLOOKUP($C494,'Daily_BU설비데이터 '!$C$20:$T$1000,4,0)</f>
        <v>#N/A</v>
      </c>
      <c r="G494" s="58" t="e">
        <f>VLOOKUP($C494,'Daily_BU설비데이터 '!$C$20:$T$1000,5,0)</f>
        <v>#N/A</v>
      </c>
      <c r="H494" s="58" t="e">
        <f>VLOOKUP($C494,'Daily_BU설비데이터 '!$C$20:$T$1000,6,0)</f>
        <v>#N/A</v>
      </c>
      <c r="I494" s="58" t="e">
        <f>VLOOKUP($C494,'Daily_BU설비데이터 '!$C$20:$T$1000,7,0)</f>
        <v>#N/A</v>
      </c>
      <c r="J494" s="58" t="e">
        <f>VLOOKUP($C494,'Daily_BU설비데이터 '!$C$20:$T$1000,8,0)</f>
        <v>#N/A</v>
      </c>
      <c r="K494" s="58" t="e">
        <f>VLOOKUP($C494,'Daily_BU설비데이터 '!$C$20:$T$1000,9,0)</f>
        <v>#N/A</v>
      </c>
      <c r="L494" s="59" t="e">
        <f t="shared" si="55"/>
        <v>#N/A</v>
      </c>
      <c r="M494" s="68" t="e">
        <f>VLOOKUP($C494,'Daily_BU설비데이터 '!$C$20:$T$1000,11,0)</f>
        <v>#N/A</v>
      </c>
      <c r="N494" s="68" t="e">
        <f>VLOOKUP($C494,'Daily_BU설비데이터 '!$C$20:$T$1000,12,0)</f>
        <v>#N/A</v>
      </c>
      <c r="O494" s="68" t="e">
        <f>VLOOKUP($C494,'Daily_BU설비데이터 '!$C$20:$T$1000,13,0)</f>
        <v>#N/A</v>
      </c>
      <c r="P494" s="68" t="e">
        <f>VLOOKUP($C494,'Daily_BU설비데이터 '!$C$20:$T$1000,14,0)</f>
        <v>#N/A</v>
      </c>
      <c r="Q494" s="99" t="e">
        <f t="shared" si="56"/>
        <v>#N/A</v>
      </c>
      <c r="R494" s="100" t="e">
        <f t="shared" si="57"/>
        <v>#N/A</v>
      </c>
      <c r="S494" s="83" t="e">
        <f>VLOOKUP($C494,'Daily_BU설비데이터 '!$C$20:$T$1000,17,0)</f>
        <v>#N/A</v>
      </c>
      <c r="T494" s="83" t="e">
        <f>VLOOKUP($C494,'Daily_BU설비데이터 '!$C$20:$T$1000,18,0)</f>
        <v>#N/A</v>
      </c>
      <c r="U494" s="101" t="e">
        <f t="shared" si="58"/>
        <v>#N/A</v>
      </c>
      <c r="V494" s="45"/>
      <c r="W494" s="45"/>
      <c r="X494" s="45"/>
      <c r="Y494" s="45"/>
      <c r="Z494" s="45"/>
      <c r="AA494" s="45"/>
    </row>
    <row r="495" spans="2:27" x14ac:dyDescent="0.45">
      <c r="B495" s="45" t="s">
        <v>301</v>
      </c>
      <c r="C495" s="90"/>
      <c r="D495" s="56"/>
      <c r="E495" s="80"/>
      <c r="F495" s="58" t="e">
        <f>VLOOKUP($C495,'Daily_BU설비데이터 '!$C$20:$T$1000,4,0)</f>
        <v>#N/A</v>
      </c>
      <c r="G495" s="58" t="e">
        <f>VLOOKUP($C495,'Daily_BU설비데이터 '!$C$20:$T$1000,5,0)</f>
        <v>#N/A</v>
      </c>
      <c r="H495" s="58" t="e">
        <f>VLOOKUP($C495,'Daily_BU설비데이터 '!$C$20:$T$1000,6,0)</f>
        <v>#N/A</v>
      </c>
      <c r="I495" s="58" t="e">
        <f>VLOOKUP($C495,'Daily_BU설비데이터 '!$C$20:$T$1000,7,0)</f>
        <v>#N/A</v>
      </c>
      <c r="J495" s="58" t="e">
        <f>VLOOKUP($C495,'Daily_BU설비데이터 '!$C$20:$T$1000,8,0)</f>
        <v>#N/A</v>
      </c>
      <c r="K495" s="58" t="e">
        <f>VLOOKUP($C495,'Daily_BU설비데이터 '!$C$20:$T$1000,9,0)</f>
        <v>#N/A</v>
      </c>
      <c r="L495" s="59" t="e">
        <f t="shared" si="55"/>
        <v>#N/A</v>
      </c>
      <c r="M495" s="68" t="e">
        <f>VLOOKUP($C495,'Daily_BU설비데이터 '!$C$20:$T$1000,11,0)</f>
        <v>#N/A</v>
      </c>
      <c r="N495" s="68" t="e">
        <f>VLOOKUP($C495,'Daily_BU설비데이터 '!$C$20:$T$1000,12,0)</f>
        <v>#N/A</v>
      </c>
      <c r="O495" s="68" t="e">
        <f>VLOOKUP($C495,'Daily_BU설비데이터 '!$C$20:$T$1000,13,0)</f>
        <v>#N/A</v>
      </c>
      <c r="P495" s="68" t="e">
        <f>VLOOKUP($C495,'Daily_BU설비데이터 '!$C$20:$T$1000,14,0)</f>
        <v>#N/A</v>
      </c>
      <c r="Q495" s="99" t="e">
        <f t="shared" si="56"/>
        <v>#N/A</v>
      </c>
      <c r="R495" s="100" t="e">
        <f t="shared" si="57"/>
        <v>#N/A</v>
      </c>
      <c r="S495" s="83" t="e">
        <f>VLOOKUP($C495,'Daily_BU설비데이터 '!$C$20:$T$1000,17,0)</f>
        <v>#N/A</v>
      </c>
      <c r="T495" s="83" t="e">
        <f>VLOOKUP($C495,'Daily_BU설비데이터 '!$C$20:$T$1000,18,0)</f>
        <v>#N/A</v>
      </c>
      <c r="U495" s="101" t="e">
        <f t="shared" si="58"/>
        <v>#N/A</v>
      </c>
      <c r="V495" s="45"/>
      <c r="W495" s="45"/>
      <c r="X495" s="45"/>
      <c r="Y495" s="45"/>
      <c r="Z495" s="45"/>
      <c r="AA495" s="45"/>
    </row>
    <row r="496" spans="2:27" x14ac:dyDescent="0.45">
      <c r="B496" s="45" t="s">
        <v>302</v>
      </c>
      <c r="C496" s="90"/>
      <c r="D496" s="56"/>
      <c r="E496" s="84"/>
      <c r="F496" s="58" t="e">
        <f>VLOOKUP($C496,'Daily_BU설비데이터 '!$C$20:$T$1000,4,0)</f>
        <v>#N/A</v>
      </c>
      <c r="G496" s="58" t="e">
        <f>VLOOKUP($C496,'Daily_BU설비데이터 '!$C$20:$T$1000,5,0)</f>
        <v>#N/A</v>
      </c>
      <c r="H496" s="58" t="e">
        <f>VLOOKUP($C496,'Daily_BU설비데이터 '!$C$20:$T$1000,6,0)</f>
        <v>#N/A</v>
      </c>
      <c r="I496" s="58" t="e">
        <f>VLOOKUP($C496,'Daily_BU설비데이터 '!$C$20:$T$1000,7,0)</f>
        <v>#N/A</v>
      </c>
      <c r="J496" s="58" t="e">
        <f>VLOOKUP($C496,'Daily_BU설비데이터 '!$C$20:$T$1000,8,0)</f>
        <v>#N/A</v>
      </c>
      <c r="K496" s="58" t="e">
        <f>VLOOKUP($C496,'Daily_BU설비데이터 '!$C$20:$T$1000,9,0)</f>
        <v>#N/A</v>
      </c>
      <c r="L496" s="59" t="e">
        <f t="shared" si="55"/>
        <v>#N/A</v>
      </c>
      <c r="M496" s="68" t="e">
        <f>VLOOKUP($C496,'Daily_BU설비데이터 '!$C$20:$T$1000,11,0)</f>
        <v>#N/A</v>
      </c>
      <c r="N496" s="68" t="e">
        <f>VLOOKUP($C496,'Daily_BU설비데이터 '!$C$20:$T$1000,12,0)</f>
        <v>#N/A</v>
      </c>
      <c r="O496" s="68" t="e">
        <f>VLOOKUP($C496,'Daily_BU설비데이터 '!$C$20:$T$1000,13,0)</f>
        <v>#N/A</v>
      </c>
      <c r="P496" s="68" t="e">
        <f>VLOOKUP($C496,'Daily_BU설비데이터 '!$C$20:$T$1000,14,0)</f>
        <v>#N/A</v>
      </c>
      <c r="Q496" s="99" t="e">
        <f t="shared" si="56"/>
        <v>#N/A</v>
      </c>
      <c r="R496" s="100" t="e">
        <f t="shared" si="57"/>
        <v>#N/A</v>
      </c>
      <c r="S496" s="83" t="e">
        <f>VLOOKUP($C496,'Daily_BU설비데이터 '!$C$20:$T$1000,17,0)</f>
        <v>#N/A</v>
      </c>
      <c r="T496" s="83" t="e">
        <f>VLOOKUP($C496,'Daily_BU설비데이터 '!$C$20:$T$1000,18,0)</f>
        <v>#N/A</v>
      </c>
      <c r="U496" s="101" t="e">
        <f t="shared" si="58"/>
        <v>#N/A</v>
      </c>
      <c r="V496" s="45"/>
      <c r="W496" s="45"/>
      <c r="X496" s="45"/>
      <c r="Y496" s="45"/>
      <c r="Z496" s="45"/>
      <c r="AA496" s="45"/>
    </row>
    <row r="497" spans="2:27" x14ac:dyDescent="0.45">
      <c r="B497" s="45" t="s">
        <v>303</v>
      </c>
      <c r="C497" s="90"/>
      <c r="D497" s="56"/>
      <c r="E497" s="57"/>
      <c r="F497" s="58" t="e">
        <f>VLOOKUP($C497,'Daily_BU설비데이터 '!$C$20:$T$1000,4,0)</f>
        <v>#N/A</v>
      </c>
      <c r="G497" s="58" t="e">
        <f>VLOOKUP($C497,'Daily_BU설비데이터 '!$C$20:$T$1000,5,0)</f>
        <v>#N/A</v>
      </c>
      <c r="H497" s="58" t="e">
        <f>VLOOKUP($C497,'Daily_BU설비데이터 '!$C$20:$T$1000,6,0)</f>
        <v>#N/A</v>
      </c>
      <c r="I497" s="58" t="e">
        <f>VLOOKUP($C497,'Daily_BU설비데이터 '!$C$20:$T$1000,7,0)</f>
        <v>#N/A</v>
      </c>
      <c r="J497" s="58" t="e">
        <f>VLOOKUP($C497,'Daily_BU설비데이터 '!$C$20:$T$1000,8,0)</f>
        <v>#N/A</v>
      </c>
      <c r="K497" s="58" t="e">
        <f>VLOOKUP($C497,'Daily_BU설비데이터 '!$C$20:$T$1000,9,0)</f>
        <v>#N/A</v>
      </c>
      <c r="L497" s="59" t="e">
        <f t="shared" si="55"/>
        <v>#N/A</v>
      </c>
      <c r="M497" s="68" t="e">
        <f>VLOOKUP($C497,'Daily_BU설비데이터 '!$C$20:$T$1000,11,0)</f>
        <v>#N/A</v>
      </c>
      <c r="N497" s="68" t="e">
        <f>VLOOKUP($C497,'Daily_BU설비데이터 '!$C$20:$T$1000,12,0)</f>
        <v>#N/A</v>
      </c>
      <c r="O497" s="68" t="e">
        <f>VLOOKUP($C497,'Daily_BU설비데이터 '!$C$20:$T$1000,13,0)</f>
        <v>#N/A</v>
      </c>
      <c r="P497" s="68" t="e">
        <f>VLOOKUP($C497,'Daily_BU설비데이터 '!$C$20:$T$1000,14,0)</f>
        <v>#N/A</v>
      </c>
      <c r="Q497" s="99" t="e">
        <f t="shared" si="56"/>
        <v>#N/A</v>
      </c>
      <c r="R497" s="100" t="e">
        <f t="shared" si="57"/>
        <v>#N/A</v>
      </c>
      <c r="S497" s="83" t="e">
        <f>VLOOKUP($C497,'Daily_BU설비데이터 '!$C$20:$T$1000,17,0)</f>
        <v>#N/A</v>
      </c>
      <c r="T497" s="83" t="e">
        <f>VLOOKUP($C497,'Daily_BU설비데이터 '!$C$20:$T$1000,18,0)</f>
        <v>#N/A</v>
      </c>
      <c r="U497" s="101" t="e">
        <f t="shared" si="58"/>
        <v>#N/A</v>
      </c>
      <c r="V497" s="45"/>
      <c r="W497" s="45"/>
      <c r="X497" s="45"/>
      <c r="Y497" s="45"/>
      <c r="Z497" s="45"/>
      <c r="AA497" s="45"/>
    </row>
    <row r="498" spans="2:27" x14ac:dyDescent="0.45">
      <c r="B498" s="45" t="s">
        <v>304</v>
      </c>
      <c r="C498" s="90"/>
      <c r="D498" s="56"/>
      <c r="E498" s="80"/>
      <c r="F498" s="58" t="e">
        <f>VLOOKUP($C498,'Daily_BU설비데이터 '!$C$20:$T$1000,4,0)</f>
        <v>#N/A</v>
      </c>
      <c r="G498" s="58" t="e">
        <f>VLOOKUP($C498,'Daily_BU설비데이터 '!$C$20:$T$1000,5,0)</f>
        <v>#N/A</v>
      </c>
      <c r="H498" s="58" t="e">
        <f>VLOOKUP($C498,'Daily_BU설비데이터 '!$C$20:$T$1000,6,0)</f>
        <v>#N/A</v>
      </c>
      <c r="I498" s="58" t="e">
        <f>VLOOKUP($C498,'Daily_BU설비데이터 '!$C$20:$T$1000,7,0)</f>
        <v>#N/A</v>
      </c>
      <c r="J498" s="58" t="e">
        <f>VLOOKUP($C498,'Daily_BU설비데이터 '!$C$20:$T$1000,8,0)</f>
        <v>#N/A</v>
      </c>
      <c r="K498" s="58" t="e">
        <f>VLOOKUP($C498,'Daily_BU설비데이터 '!$C$20:$T$1000,9,0)</f>
        <v>#N/A</v>
      </c>
      <c r="L498" s="59" t="e">
        <f t="shared" si="55"/>
        <v>#N/A</v>
      </c>
      <c r="M498" s="68" t="e">
        <f>VLOOKUP($C498,'Daily_BU설비데이터 '!$C$20:$T$1000,11,0)</f>
        <v>#N/A</v>
      </c>
      <c r="N498" s="68" t="e">
        <f>VLOOKUP($C498,'Daily_BU설비데이터 '!$C$20:$T$1000,12,0)</f>
        <v>#N/A</v>
      </c>
      <c r="O498" s="68" t="e">
        <f>VLOOKUP($C498,'Daily_BU설비데이터 '!$C$20:$T$1000,13,0)</f>
        <v>#N/A</v>
      </c>
      <c r="P498" s="68" t="e">
        <f>VLOOKUP($C498,'Daily_BU설비데이터 '!$C$20:$T$1000,14,0)</f>
        <v>#N/A</v>
      </c>
      <c r="Q498" s="99" t="e">
        <f t="shared" si="56"/>
        <v>#N/A</v>
      </c>
      <c r="R498" s="100" t="e">
        <f t="shared" si="57"/>
        <v>#N/A</v>
      </c>
      <c r="S498" s="83" t="e">
        <f>VLOOKUP($C498,'Daily_BU설비데이터 '!$C$20:$T$1000,17,0)</f>
        <v>#N/A</v>
      </c>
      <c r="T498" s="83" t="e">
        <f>VLOOKUP($C498,'Daily_BU설비데이터 '!$C$20:$T$1000,18,0)</f>
        <v>#N/A</v>
      </c>
      <c r="U498" s="101" t="e">
        <f t="shared" si="58"/>
        <v>#N/A</v>
      </c>
      <c r="V498" s="45"/>
      <c r="W498" s="45"/>
      <c r="X498" s="45"/>
      <c r="Y498" s="45"/>
      <c r="Z498" s="45"/>
      <c r="AA498" s="45"/>
    </row>
    <row r="499" spans="2:27" x14ac:dyDescent="0.45">
      <c r="B499" s="45" t="s">
        <v>305</v>
      </c>
      <c r="C499" s="90"/>
      <c r="D499" s="56"/>
      <c r="E499" s="84"/>
      <c r="F499" s="58" t="e">
        <f>VLOOKUP($C499,'Daily_BU설비데이터 '!$C$20:$T$1000,4,0)</f>
        <v>#N/A</v>
      </c>
      <c r="G499" s="58" t="e">
        <f>VLOOKUP($C499,'Daily_BU설비데이터 '!$C$20:$T$1000,5,0)</f>
        <v>#N/A</v>
      </c>
      <c r="H499" s="58" t="e">
        <f>VLOOKUP($C499,'Daily_BU설비데이터 '!$C$20:$T$1000,6,0)</f>
        <v>#N/A</v>
      </c>
      <c r="I499" s="58" t="e">
        <f>VLOOKUP($C499,'Daily_BU설비데이터 '!$C$20:$T$1000,7,0)</f>
        <v>#N/A</v>
      </c>
      <c r="J499" s="58" t="e">
        <f>VLOOKUP($C499,'Daily_BU설비데이터 '!$C$20:$T$1000,8,0)</f>
        <v>#N/A</v>
      </c>
      <c r="K499" s="58" t="e">
        <f>VLOOKUP($C499,'Daily_BU설비데이터 '!$C$20:$T$1000,9,0)</f>
        <v>#N/A</v>
      </c>
      <c r="L499" s="59" t="e">
        <f t="shared" si="55"/>
        <v>#N/A</v>
      </c>
      <c r="M499" s="68" t="e">
        <f>VLOOKUP($C499,'Daily_BU설비데이터 '!$C$20:$T$1000,11,0)</f>
        <v>#N/A</v>
      </c>
      <c r="N499" s="68" t="e">
        <f>VLOOKUP($C499,'Daily_BU설비데이터 '!$C$20:$T$1000,12,0)</f>
        <v>#N/A</v>
      </c>
      <c r="O499" s="68" t="e">
        <f>VLOOKUP($C499,'Daily_BU설비데이터 '!$C$20:$T$1000,13,0)</f>
        <v>#N/A</v>
      </c>
      <c r="P499" s="68" t="e">
        <f>VLOOKUP($C499,'Daily_BU설비데이터 '!$C$20:$T$1000,14,0)</f>
        <v>#N/A</v>
      </c>
      <c r="Q499" s="99" t="e">
        <f t="shared" si="56"/>
        <v>#N/A</v>
      </c>
      <c r="R499" s="100" t="e">
        <f t="shared" si="57"/>
        <v>#N/A</v>
      </c>
      <c r="S499" s="83" t="e">
        <f>VLOOKUP($C499,'Daily_BU설비데이터 '!$C$20:$T$1000,17,0)</f>
        <v>#N/A</v>
      </c>
      <c r="T499" s="83" t="e">
        <f>VLOOKUP($C499,'Daily_BU설비데이터 '!$C$20:$T$1000,18,0)</f>
        <v>#N/A</v>
      </c>
      <c r="U499" s="101" t="e">
        <f t="shared" si="58"/>
        <v>#N/A</v>
      </c>
      <c r="V499" s="45"/>
      <c r="W499" s="45"/>
      <c r="X499" s="45"/>
      <c r="Y499" s="45"/>
      <c r="Z499" s="45"/>
      <c r="AA499" s="45"/>
    </row>
    <row r="500" spans="2:27" x14ac:dyDescent="0.45">
      <c r="B500" s="45" t="s">
        <v>306</v>
      </c>
      <c r="C500" s="90"/>
      <c r="D500" s="56"/>
      <c r="E500" s="57"/>
      <c r="F500" s="58" t="e">
        <f>VLOOKUP($C500,'Daily_BU설비데이터 '!$C$20:$T$1000,4,0)</f>
        <v>#N/A</v>
      </c>
      <c r="G500" s="58" t="e">
        <f>VLOOKUP($C500,'Daily_BU설비데이터 '!$C$20:$T$1000,5,0)</f>
        <v>#N/A</v>
      </c>
      <c r="H500" s="58" t="e">
        <f>VLOOKUP($C500,'Daily_BU설비데이터 '!$C$20:$T$1000,6,0)</f>
        <v>#N/A</v>
      </c>
      <c r="I500" s="58" t="e">
        <f>VLOOKUP($C500,'Daily_BU설비데이터 '!$C$20:$T$1000,7,0)</f>
        <v>#N/A</v>
      </c>
      <c r="J500" s="58" t="e">
        <f>VLOOKUP($C500,'Daily_BU설비데이터 '!$C$20:$T$1000,8,0)</f>
        <v>#N/A</v>
      </c>
      <c r="K500" s="58" t="e">
        <f>VLOOKUP($C500,'Daily_BU설비데이터 '!$C$20:$T$1000,9,0)</f>
        <v>#N/A</v>
      </c>
      <c r="L500" s="59" t="e">
        <f t="shared" si="55"/>
        <v>#N/A</v>
      </c>
      <c r="M500" s="68" t="e">
        <f>VLOOKUP($C500,'Daily_BU설비데이터 '!$C$20:$T$1000,11,0)</f>
        <v>#N/A</v>
      </c>
      <c r="N500" s="68" t="e">
        <f>VLOOKUP($C500,'Daily_BU설비데이터 '!$C$20:$T$1000,12,0)</f>
        <v>#N/A</v>
      </c>
      <c r="O500" s="68" t="e">
        <f>VLOOKUP($C500,'Daily_BU설비데이터 '!$C$20:$T$1000,13,0)</f>
        <v>#N/A</v>
      </c>
      <c r="P500" s="68" t="e">
        <f>VLOOKUP($C500,'Daily_BU설비데이터 '!$C$20:$T$1000,14,0)</f>
        <v>#N/A</v>
      </c>
      <c r="Q500" s="99" t="e">
        <f t="shared" si="56"/>
        <v>#N/A</v>
      </c>
      <c r="R500" s="100" t="e">
        <f t="shared" si="57"/>
        <v>#N/A</v>
      </c>
      <c r="S500" s="83" t="e">
        <f>VLOOKUP($C500,'Daily_BU설비데이터 '!$C$20:$T$1000,17,0)</f>
        <v>#N/A</v>
      </c>
      <c r="T500" s="83" t="e">
        <f>VLOOKUP($C500,'Daily_BU설비데이터 '!$C$20:$T$1000,18,0)</f>
        <v>#N/A</v>
      </c>
      <c r="U500" s="101" t="e">
        <f t="shared" si="58"/>
        <v>#N/A</v>
      </c>
      <c r="V500" s="45"/>
      <c r="W500" s="45"/>
      <c r="X500" s="45"/>
      <c r="Y500" s="45"/>
      <c r="Z500" s="45"/>
      <c r="AA500" s="45"/>
    </row>
    <row r="501" spans="2:27" x14ac:dyDescent="0.45">
      <c r="B501" s="45" t="s">
        <v>307</v>
      </c>
      <c r="C501" s="90"/>
      <c r="D501" s="56"/>
      <c r="E501" s="80"/>
      <c r="F501" s="58" t="e">
        <f>VLOOKUP($C501,'Daily_BU설비데이터 '!$C$20:$T$1000,4,0)</f>
        <v>#N/A</v>
      </c>
      <c r="G501" s="58" t="e">
        <f>VLOOKUP($C501,'Daily_BU설비데이터 '!$C$20:$T$1000,5,0)</f>
        <v>#N/A</v>
      </c>
      <c r="H501" s="58" t="e">
        <f>VLOOKUP($C501,'Daily_BU설비데이터 '!$C$20:$T$1000,6,0)</f>
        <v>#N/A</v>
      </c>
      <c r="I501" s="58" t="e">
        <f>VLOOKUP($C501,'Daily_BU설비데이터 '!$C$20:$T$1000,7,0)</f>
        <v>#N/A</v>
      </c>
      <c r="J501" s="58" t="e">
        <f>VLOOKUP($C501,'Daily_BU설비데이터 '!$C$20:$T$1000,8,0)</f>
        <v>#N/A</v>
      </c>
      <c r="K501" s="58" t="e">
        <f>VLOOKUP($C501,'Daily_BU설비데이터 '!$C$20:$T$1000,9,0)</f>
        <v>#N/A</v>
      </c>
      <c r="L501" s="59" t="e">
        <f t="shared" si="55"/>
        <v>#N/A</v>
      </c>
      <c r="M501" s="68" t="e">
        <f>VLOOKUP($C501,'Daily_BU설비데이터 '!$C$20:$T$1000,11,0)</f>
        <v>#N/A</v>
      </c>
      <c r="N501" s="68" t="e">
        <f>VLOOKUP($C501,'Daily_BU설비데이터 '!$C$20:$T$1000,12,0)</f>
        <v>#N/A</v>
      </c>
      <c r="O501" s="68" t="e">
        <f>VLOOKUP($C501,'Daily_BU설비데이터 '!$C$20:$T$1000,13,0)</f>
        <v>#N/A</v>
      </c>
      <c r="P501" s="68" t="e">
        <f>VLOOKUP($C501,'Daily_BU설비데이터 '!$C$20:$T$1000,14,0)</f>
        <v>#N/A</v>
      </c>
      <c r="Q501" s="99" t="e">
        <f t="shared" si="56"/>
        <v>#N/A</v>
      </c>
      <c r="R501" s="100" t="e">
        <f t="shared" si="57"/>
        <v>#N/A</v>
      </c>
      <c r="S501" s="83" t="e">
        <f>VLOOKUP($C501,'Daily_BU설비데이터 '!$C$20:$T$1000,17,0)</f>
        <v>#N/A</v>
      </c>
      <c r="T501" s="83" t="e">
        <f>VLOOKUP($C501,'Daily_BU설비데이터 '!$C$20:$T$1000,18,0)</f>
        <v>#N/A</v>
      </c>
      <c r="U501" s="101" t="e">
        <f t="shared" si="58"/>
        <v>#N/A</v>
      </c>
      <c r="V501" s="45"/>
      <c r="W501" s="45"/>
      <c r="X501" s="45"/>
      <c r="Y501" s="45"/>
      <c r="Z501" s="45"/>
      <c r="AA501" s="45"/>
    </row>
    <row r="502" spans="2:27" x14ac:dyDescent="0.45">
      <c r="B502" s="45" t="s">
        <v>308</v>
      </c>
      <c r="C502" s="90"/>
      <c r="D502" s="56"/>
      <c r="E502" s="84"/>
      <c r="F502" s="58" t="e">
        <f>VLOOKUP($C502,'Daily_BU설비데이터 '!$C$20:$T$1000,4,0)</f>
        <v>#N/A</v>
      </c>
      <c r="G502" s="58" t="e">
        <f>VLOOKUP($C502,'Daily_BU설비데이터 '!$C$20:$T$1000,5,0)</f>
        <v>#N/A</v>
      </c>
      <c r="H502" s="58" t="e">
        <f>VLOOKUP($C502,'Daily_BU설비데이터 '!$C$20:$T$1000,6,0)</f>
        <v>#N/A</v>
      </c>
      <c r="I502" s="58" t="e">
        <f>VLOOKUP($C502,'Daily_BU설비데이터 '!$C$20:$T$1000,7,0)</f>
        <v>#N/A</v>
      </c>
      <c r="J502" s="58" t="e">
        <f>VLOOKUP($C502,'Daily_BU설비데이터 '!$C$20:$T$1000,8,0)</f>
        <v>#N/A</v>
      </c>
      <c r="K502" s="58" t="e">
        <f>VLOOKUP($C502,'Daily_BU설비데이터 '!$C$20:$T$1000,9,0)</f>
        <v>#N/A</v>
      </c>
      <c r="L502" s="59" t="e">
        <f t="shared" si="55"/>
        <v>#N/A</v>
      </c>
      <c r="M502" s="68" t="e">
        <f>VLOOKUP($C502,'Daily_BU설비데이터 '!$C$20:$T$1000,11,0)</f>
        <v>#N/A</v>
      </c>
      <c r="N502" s="68" t="e">
        <f>VLOOKUP($C502,'Daily_BU설비데이터 '!$C$20:$T$1000,12,0)</f>
        <v>#N/A</v>
      </c>
      <c r="O502" s="68" t="e">
        <f>VLOOKUP($C502,'Daily_BU설비데이터 '!$C$20:$T$1000,13,0)</f>
        <v>#N/A</v>
      </c>
      <c r="P502" s="68" t="e">
        <f>VLOOKUP($C502,'Daily_BU설비데이터 '!$C$20:$T$1000,14,0)</f>
        <v>#N/A</v>
      </c>
      <c r="Q502" s="99" t="e">
        <f t="shared" si="56"/>
        <v>#N/A</v>
      </c>
      <c r="R502" s="100" t="e">
        <f t="shared" si="57"/>
        <v>#N/A</v>
      </c>
      <c r="S502" s="83" t="e">
        <f>VLOOKUP($C502,'Daily_BU설비데이터 '!$C$20:$T$1000,17,0)</f>
        <v>#N/A</v>
      </c>
      <c r="T502" s="83" t="e">
        <f>VLOOKUP($C502,'Daily_BU설비데이터 '!$C$20:$T$1000,18,0)</f>
        <v>#N/A</v>
      </c>
      <c r="U502" s="101" t="e">
        <f t="shared" si="58"/>
        <v>#N/A</v>
      </c>
      <c r="V502" s="45"/>
      <c r="W502" s="45"/>
      <c r="X502" s="45"/>
      <c r="Y502" s="45"/>
      <c r="Z502" s="45"/>
      <c r="AA502" s="45"/>
    </row>
    <row r="503" spans="2:27" x14ac:dyDescent="0.45">
      <c r="B503" s="45" t="s">
        <v>309</v>
      </c>
      <c r="C503" s="90"/>
      <c r="D503" s="56"/>
      <c r="E503" s="57"/>
      <c r="F503" s="58" t="e">
        <f>VLOOKUP($C503,'Daily_BU설비데이터 '!$C$20:$T$1000,4,0)</f>
        <v>#N/A</v>
      </c>
      <c r="G503" s="58" t="e">
        <f>VLOOKUP($C503,'Daily_BU설비데이터 '!$C$20:$T$1000,5,0)</f>
        <v>#N/A</v>
      </c>
      <c r="H503" s="58" t="e">
        <f>VLOOKUP($C503,'Daily_BU설비데이터 '!$C$20:$T$1000,6,0)</f>
        <v>#N/A</v>
      </c>
      <c r="I503" s="58" t="e">
        <f>VLOOKUP($C503,'Daily_BU설비데이터 '!$C$20:$T$1000,7,0)</f>
        <v>#N/A</v>
      </c>
      <c r="J503" s="58" t="e">
        <f>VLOOKUP($C503,'Daily_BU설비데이터 '!$C$20:$T$1000,8,0)</f>
        <v>#N/A</v>
      </c>
      <c r="K503" s="58" t="e">
        <f>VLOOKUP($C503,'Daily_BU설비데이터 '!$C$20:$T$1000,9,0)</f>
        <v>#N/A</v>
      </c>
      <c r="L503" s="59" t="e">
        <f t="shared" si="55"/>
        <v>#N/A</v>
      </c>
      <c r="M503" s="68" t="e">
        <f>VLOOKUP($C503,'Daily_BU설비데이터 '!$C$20:$T$1000,11,0)</f>
        <v>#N/A</v>
      </c>
      <c r="N503" s="68" t="e">
        <f>VLOOKUP($C503,'Daily_BU설비데이터 '!$C$20:$T$1000,12,0)</f>
        <v>#N/A</v>
      </c>
      <c r="O503" s="68" t="e">
        <f>VLOOKUP($C503,'Daily_BU설비데이터 '!$C$20:$T$1000,13,0)</f>
        <v>#N/A</v>
      </c>
      <c r="P503" s="68" t="e">
        <f>VLOOKUP($C503,'Daily_BU설비데이터 '!$C$20:$T$1000,14,0)</f>
        <v>#N/A</v>
      </c>
      <c r="Q503" s="99" t="e">
        <f t="shared" si="56"/>
        <v>#N/A</v>
      </c>
      <c r="R503" s="100" t="e">
        <f t="shared" si="57"/>
        <v>#N/A</v>
      </c>
      <c r="S503" s="83" t="e">
        <f>VLOOKUP($C503,'Daily_BU설비데이터 '!$C$20:$T$1000,17,0)</f>
        <v>#N/A</v>
      </c>
      <c r="T503" s="83" t="e">
        <f>VLOOKUP($C503,'Daily_BU설비데이터 '!$C$20:$T$1000,18,0)</f>
        <v>#N/A</v>
      </c>
      <c r="U503" s="101" t="e">
        <f t="shared" si="58"/>
        <v>#N/A</v>
      </c>
      <c r="V503" s="45"/>
      <c r="W503" s="45"/>
      <c r="X503" s="45"/>
      <c r="Y503" s="45"/>
      <c r="Z503" s="45"/>
      <c r="AA503" s="45"/>
    </row>
    <row r="504" spans="2:27" x14ac:dyDescent="0.45">
      <c r="B504" s="45" t="s">
        <v>310</v>
      </c>
      <c r="C504" s="90"/>
      <c r="D504" s="56"/>
      <c r="E504" s="80"/>
      <c r="F504" s="58" t="e">
        <f>VLOOKUP($C504,'Daily_BU설비데이터 '!$C$20:$T$1000,4,0)</f>
        <v>#N/A</v>
      </c>
      <c r="G504" s="58" t="e">
        <f>VLOOKUP($C504,'Daily_BU설비데이터 '!$C$20:$T$1000,5,0)</f>
        <v>#N/A</v>
      </c>
      <c r="H504" s="58" t="e">
        <f>VLOOKUP($C504,'Daily_BU설비데이터 '!$C$20:$T$1000,6,0)</f>
        <v>#N/A</v>
      </c>
      <c r="I504" s="58" t="e">
        <f>VLOOKUP($C504,'Daily_BU설비데이터 '!$C$20:$T$1000,7,0)</f>
        <v>#N/A</v>
      </c>
      <c r="J504" s="58" t="e">
        <f>VLOOKUP($C504,'Daily_BU설비데이터 '!$C$20:$T$1000,8,0)</f>
        <v>#N/A</v>
      </c>
      <c r="K504" s="58" t="e">
        <f>VLOOKUP($C504,'Daily_BU설비데이터 '!$C$20:$T$1000,9,0)</f>
        <v>#N/A</v>
      </c>
      <c r="L504" s="59" t="e">
        <f t="shared" si="55"/>
        <v>#N/A</v>
      </c>
      <c r="M504" s="68" t="e">
        <f>VLOOKUP($C504,'Daily_BU설비데이터 '!$C$20:$T$1000,11,0)</f>
        <v>#N/A</v>
      </c>
      <c r="N504" s="68" t="e">
        <f>VLOOKUP($C504,'Daily_BU설비데이터 '!$C$20:$T$1000,12,0)</f>
        <v>#N/A</v>
      </c>
      <c r="O504" s="68" t="e">
        <f>VLOOKUP($C504,'Daily_BU설비데이터 '!$C$20:$T$1000,13,0)</f>
        <v>#N/A</v>
      </c>
      <c r="P504" s="68" t="e">
        <f>VLOOKUP($C504,'Daily_BU설비데이터 '!$C$20:$T$1000,14,0)</f>
        <v>#N/A</v>
      </c>
      <c r="Q504" s="99" t="e">
        <f t="shared" si="56"/>
        <v>#N/A</v>
      </c>
      <c r="R504" s="100" t="e">
        <f t="shared" si="57"/>
        <v>#N/A</v>
      </c>
      <c r="S504" s="83" t="e">
        <f>VLOOKUP($C504,'Daily_BU설비데이터 '!$C$20:$T$1000,17,0)</f>
        <v>#N/A</v>
      </c>
      <c r="T504" s="83" t="e">
        <f>VLOOKUP($C504,'Daily_BU설비데이터 '!$C$20:$T$1000,18,0)</f>
        <v>#N/A</v>
      </c>
      <c r="U504" s="101" t="e">
        <f t="shared" si="58"/>
        <v>#N/A</v>
      </c>
      <c r="V504" s="45"/>
      <c r="W504" s="45"/>
      <c r="X504" s="45"/>
      <c r="Y504" s="45"/>
      <c r="Z504" s="45"/>
      <c r="AA504" s="45"/>
    </row>
    <row r="505" spans="2:27" x14ac:dyDescent="0.45">
      <c r="B505" s="45" t="s">
        <v>311</v>
      </c>
      <c r="C505" s="90"/>
      <c r="D505" s="56"/>
      <c r="E505" s="84"/>
      <c r="F505" s="58" t="e">
        <f>VLOOKUP($C505,'Daily_BU설비데이터 '!$C$20:$T$1000,4,0)</f>
        <v>#N/A</v>
      </c>
      <c r="G505" s="58" t="e">
        <f>VLOOKUP($C505,'Daily_BU설비데이터 '!$C$20:$T$1000,5,0)</f>
        <v>#N/A</v>
      </c>
      <c r="H505" s="58" t="e">
        <f>VLOOKUP($C505,'Daily_BU설비데이터 '!$C$20:$T$1000,6,0)</f>
        <v>#N/A</v>
      </c>
      <c r="I505" s="58" t="e">
        <f>VLOOKUP($C505,'Daily_BU설비데이터 '!$C$20:$T$1000,7,0)</f>
        <v>#N/A</v>
      </c>
      <c r="J505" s="58" t="e">
        <f>VLOOKUP($C505,'Daily_BU설비데이터 '!$C$20:$T$1000,8,0)</f>
        <v>#N/A</v>
      </c>
      <c r="K505" s="58" t="e">
        <f>VLOOKUP($C505,'Daily_BU설비데이터 '!$C$20:$T$1000,9,0)</f>
        <v>#N/A</v>
      </c>
      <c r="L505" s="59" t="e">
        <f t="shared" si="55"/>
        <v>#N/A</v>
      </c>
      <c r="M505" s="68" t="e">
        <f>VLOOKUP($C505,'Daily_BU설비데이터 '!$C$20:$T$1000,11,0)</f>
        <v>#N/A</v>
      </c>
      <c r="N505" s="68" t="e">
        <f>VLOOKUP($C505,'Daily_BU설비데이터 '!$C$20:$T$1000,12,0)</f>
        <v>#N/A</v>
      </c>
      <c r="O505" s="68" t="e">
        <f>VLOOKUP($C505,'Daily_BU설비데이터 '!$C$20:$T$1000,13,0)</f>
        <v>#N/A</v>
      </c>
      <c r="P505" s="68" t="e">
        <f>VLOOKUP($C505,'Daily_BU설비데이터 '!$C$20:$T$1000,14,0)</f>
        <v>#N/A</v>
      </c>
      <c r="Q505" s="99" t="e">
        <f t="shared" si="56"/>
        <v>#N/A</v>
      </c>
      <c r="R505" s="100" t="e">
        <f t="shared" si="57"/>
        <v>#N/A</v>
      </c>
      <c r="S505" s="83" t="e">
        <f>VLOOKUP($C505,'Daily_BU설비데이터 '!$C$20:$T$1000,17,0)</f>
        <v>#N/A</v>
      </c>
      <c r="T505" s="83" t="e">
        <f>VLOOKUP($C505,'Daily_BU설비데이터 '!$C$20:$T$1000,18,0)</f>
        <v>#N/A</v>
      </c>
      <c r="U505" s="101" t="e">
        <f t="shared" si="58"/>
        <v>#N/A</v>
      </c>
      <c r="V505" s="45"/>
      <c r="W505" s="45"/>
      <c r="X505" s="45"/>
      <c r="Y505" s="45"/>
      <c r="Z505" s="45"/>
      <c r="AA505" s="45"/>
    </row>
    <row r="506" spans="2:27" x14ac:dyDescent="0.45">
      <c r="B506" s="45" t="s">
        <v>312</v>
      </c>
      <c r="C506" s="90"/>
      <c r="D506" s="56"/>
      <c r="E506" s="57"/>
      <c r="F506" s="58" t="e">
        <f>VLOOKUP($C506,'Daily_BU설비데이터 '!$C$20:$T$1000,4,0)</f>
        <v>#N/A</v>
      </c>
      <c r="G506" s="58" t="e">
        <f>VLOOKUP($C506,'Daily_BU설비데이터 '!$C$20:$T$1000,5,0)</f>
        <v>#N/A</v>
      </c>
      <c r="H506" s="58" t="e">
        <f>VLOOKUP($C506,'Daily_BU설비데이터 '!$C$20:$T$1000,6,0)</f>
        <v>#N/A</v>
      </c>
      <c r="I506" s="58" t="e">
        <f>VLOOKUP($C506,'Daily_BU설비데이터 '!$C$20:$T$1000,7,0)</f>
        <v>#N/A</v>
      </c>
      <c r="J506" s="58" t="e">
        <f>VLOOKUP($C506,'Daily_BU설비데이터 '!$C$20:$T$1000,8,0)</f>
        <v>#N/A</v>
      </c>
      <c r="K506" s="58" t="e">
        <f>VLOOKUP($C506,'Daily_BU설비데이터 '!$C$20:$T$1000,9,0)</f>
        <v>#N/A</v>
      </c>
      <c r="L506" s="59" t="e">
        <f t="shared" si="55"/>
        <v>#N/A</v>
      </c>
      <c r="M506" s="68" t="e">
        <f>VLOOKUP($C506,'Daily_BU설비데이터 '!$C$20:$T$1000,11,0)</f>
        <v>#N/A</v>
      </c>
      <c r="N506" s="68" t="e">
        <f>VLOOKUP($C506,'Daily_BU설비데이터 '!$C$20:$T$1000,12,0)</f>
        <v>#N/A</v>
      </c>
      <c r="O506" s="68" t="e">
        <f>VLOOKUP($C506,'Daily_BU설비데이터 '!$C$20:$T$1000,13,0)</f>
        <v>#N/A</v>
      </c>
      <c r="P506" s="68" t="e">
        <f>VLOOKUP($C506,'Daily_BU설비데이터 '!$C$20:$T$1000,14,0)</f>
        <v>#N/A</v>
      </c>
      <c r="Q506" s="99" t="e">
        <f t="shared" si="56"/>
        <v>#N/A</v>
      </c>
      <c r="R506" s="100" t="e">
        <f t="shared" si="57"/>
        <v>#N/A</v>
      </c>
      <c r="S506" s="83" t="e">
        <f>VLOOKUP($C506,'Daily_BU설비데이터 '!$C$20:$T$1000,17,0)</f>
        <v>#N/A</v>
      </c>
      <c r="T506" s="83" t="e">
        <f>VLOOKUP($C506,'Daily_BU설비데이터 '!$C$20:$T$1000,18,0)</f>
        <v>#N/A</v>
      </c>
      <c r="U506" s="101" t="e">
        <f t="shared" si="58"/>
        <v>#N/A</v>
      </c>
      <c r="V506" s="45"/>
      <c r="W506" s="45"/>
      <c r="X506" s="45"/>
      <c r="Y506" s="45"/>
      <c r="Z506" s="45"/>
      <c r="AA506" s="45"/>
    </row>
    <row r="507" spans="2:27" x14ac:dyDescent="0.45">
      <c r="B507" s="45" t="s">
        <v>313</v>
      </c>
      <c r="C507" s="90"/>
      <c r="D507" s="56"/>
      <c r="E507" s="80"/>
      <c r="F507" s="58" t="e">
        <f>VLOOKUP($C507,'Daily_BU설비데이터 '!$C$20:$T$1000,4,0)</f>
        <v>#N/A</v>
      </c>
      <c r="G507" s="58" t="e">
        <f>VLOOKUP($C507,'Daily_BU설비데이터 '!$C$20:$T$1000,5,0)</f>
        <v>#N/A</v>
      </c>
      <c r="H507" s="58" t="e">
        <f>VLOOKUP($C507,'Daily_BU설비데이터 '!$C$20:$T$1000,6,0)</f>
        <v>#N/A</v>
      </c>
      <c r="I507" s="58" t="e">
        <f>VLOOKUP($C507,'Daily_BU설비데이터 '!$C$20:$T$1000,7,0)</f>
        <v>#N/A</v>
      </c>
      <c r="J507" s="58" t="e">
        <f>VLOOKUP($C507,'Daily_BU설비데이터 '!$C$20:$T$1000,8,0)</f>
        <v>#N/A</v>
      </c>
      <c r="K507" s="58" t="e">
        <f>VLOOKUP($C507,'Daily_BU설비데이터 '!$C$20:$T$1000,9,0)</f>
        <v>#N/A</v>
      </c>
      <c r="L507" s="59" t="e">
        <f t="shared" si="55"/>
        <v>#N/A</v>
      </c>
      <c r="M507" s="68" t="e">
        <f>VLOOKUP($C507,'Daily_BU설비데이터 '!$C$20:$T$1000,11,0)</f>
        <v>#N/A</v>
      </c>
      <c r="N507" s="68" t="e">
        <f>VLOOKUP($C507,'Daily_BU설비데이터 '!$C$20:$T$1000,12,0)</f>
        <v>#N/A</v>
      </c>
      <c r="O507" s="68" t="e">
        <f>VLOOKUP($C507,'Daily_BU설비데이터 '!$C$20:$T$1000,13,0)</f>
        <v>#N/A</v>
      </c>
      <c r="P507" s="68" t="e">
        <f>VLOOKUP($C507,'Daily_BU설비데이터 '!$C$20:$T$1000,14,0)</f>
        <v>#N/A</v>
      </c>
      <c r="Q507" s="99" t="e">
        <f t="shared" si="56"/>
        <v>#N/A</v>
      </c>
      <c r="R507" s="100" t="e">
        <f t="shared" si="57"/>
        <v>#N/A</v>
      </c>
      <c r="S507" s="83" t="e">
        <f>VLOOKUP($C507,'Daily_BU설비데이터 '!$C$20:$T$1000,17,0)</f>
        <v>#N/A</v>
      </c>
      <c r="T507" s="83" t="e">
        <f>VLOOKUP($C507,'Daily_BU설비데이터 '!$C$20:$T$1000,18,0)</f>
        <v>#N/A</v>
      </c>
      <c r="U507" s="101" t="e">
        <f t="shared" si="58"/>
        <v>#N/A</v>
      </c>
      <c r="V507" s="45"/>
      <c r="W507" s="45"/>
      <c r="X507" s="45"/>
      <c r="Y507" s="45"/>
      <c r="Z507" s="45"/>
      <c r="AA507" s="45"/>
    </row>
    <row r="508" spans="2:27" x14ac:dyDescent="0.45">
      <c r="B508" s="45" t="s">
        <v>314</v>
      </c>
      <c r="C508" s="90"/>
      <c r="D508" s="56"/>
      <c r="E508" s="84"/>
      <c r="F508" s="58" t="e">
        <f>VLOOKUP($C508,'Daily_BU설비데이터 '!$C$20:$T$1000,4,0)</f>
        <v>#N/A</v>
      </c>
      <c r="G508" s="58" t="e">
        <f>VLOOKUP($C508,'Daily_BU설비데이터 '!$C$20:$T$1000,5,0)</f>
        <v>#N/A</v>
      </c>
      <c r="H508" s="58" t="e">
        <f>VLOOKUP($C508,'Daily_BU설비데이터 '!$C$20:$T$1000,6,0)</f>
        <v>#N/A</v>
      </c>
      <c r="I508" s="58" t="e">
        <f>VLOOKUP($C508,'Daily_BU설비데이터 '!$C$20:$T$1000,7,0)</f>
        <v>#N/A</v>
      </c>
      <c r="J508" s="58" t="e">
        <f>VLOOKUP($C508,'Daily_BU설비데이터 '!$C$20:$T$1000,8,0)</f>
        <v>#N/A</v>
      </c>
      <c r="K508" s="58" t="e">
        <f>VLOOKUP($C508,'Daily_BU설비데이터 '!$C$20:$T$1000,9,0)</f>
        <v>#N/A</v>
      </c>
      <c r="L508" s="59" t="e">
        <f t="shared" si="55"/>
        <v>#N/A</v>
      </c>
      <c r="M508" s="68" t="e">
        <f>VLOOKUP($C508,'Daily_BU설비데이터 '!$C$20:$T$1000,11,0)</f>
        <v>#N/A</v>
      </c>
      <c r="N508" s="68" t="e">
        <f>VLOOKUP($C508,'Daily_BU설비데이터 '!$C$20:$T$1000,12,0)</f>
        <v>#N/A</v>
      </c>
      <c r="O508" s="68" t="e">
        <f>VLOOKUP($C508,'Daily_BU설비데이터 '!$C$20:$T$1000,13,0)</f>
        <v>#N/A</v>
      </c>
      <c r="P508" s="68" t="e">
        <f>VLOOKUP($C508,'Daily_BU설비데이터 '!$C$20:$T$1000,14,0)</f>
        <v>#N/A</v>
      </c>
      <c r="Q508" s="99" t="e">
        <f t="shared" si="56"/>
        <v>#N/A</v>
      </c>
      <c r="R508" s="100" t="e">
        <f t="shared" si="57"/>
        <v>#N/A</v>
      </c>
      <c r="S508" s="83" t="e">
        <f>VLOOKUP($C508,'Daily_BU설비데이터 '!$C$20:$T$1000,17,0)</f>
        <v>#N/A</v>
      </c>
      <c r="T508" s="83" t="e">
        <f>VLOOKUP($C508,'Daily_BU설비데이터 '!$C$20:$T$1000,18,0)</f>
        <v>#N/A</v>
      </c>
      <c r="U508" s="101" t="e">
        <f t="shared" si="58"/>
        <v>#N/A</v>
      </c>
      <c r="V508" s="45"/>
      <c r="W508" s="45"/>
      <c r="X508" s="45"/>
      <c r="Y508" s="45"/>
      <c r="Z508" s="45"/>
      <c r="AA508" s="45"/>
    </row>
    <row r="509" spans="2:27" x14ac:dyDescent="0.45">
      <c r="B509" s="45" t="s">
        <v>315</v>
      </c>
      <c r="C509" s="90"/>
      <c r="D509" s="56"/>
      <c r="E509" s="57"/>
      <c r="F509" s="58" t="e">
        <f>VLOOKUP($C509,'Daily_BU설비데이터 '!$C$20:$T$1000,4,0)</f>
        <v>#N/A</v>
      </c>
      <c r="G509" s="58" t="e">
        <f>VLOOKUP($C509,'Daily_BU설비데이터 '!$C$20:$T$1000,5,0)</f>
        <v>#N/A</v>
      </c>
      <c r="H509" s="58" t="e">
        <f>VLOOKUP($C509,'Daily_BU설비데이터 '!$C$20:$T$1000,6,0)</f>
        <v>#N/A</v>
      </c>
      <c r="I509" s="58" t="e">
        <f>VLOOKUP($C509,'Daily_BU설비데이터 '!$C$20:$T$1000,7,0)</f>
        <v>#N/A</v>
      </c>
      <c r="J509" s="58" t="e">
        <f>VLOOKUP($C509,'Daily_BU설비데이터 '!$C$20:$T$1000,8,0)</f>
        <v>#N/A</v>
      </c>
      <c r="K509" s="58" t="e">
        <f>VLOOKUP($C509,'Daily_BU설비데이터 '!$C$20:$T$1000,9,0)</f>
        <v>#N/A</v>
      </c>
      <c r="L509" s="59" t="e">
        <f t="shared" si="55"/>
        <v>#N/A</v>
      </c>
      <c r="M509" s="68" t="e">
        <f>VLOOKUP($C509,'Daily_BU설비데이터 '!$C$20:$T$1000,11,0)</f>
        <v>#N/A</v>
      </c>
      <c r="N509" s="68" t="e">
        <f>VLOOKUP($C509,'Daily_BU설비데이터 '!$C$20:$T$1000,12,0)</f>
        <v>#N/A</v>
      </c>
      <c r="O509" s="68" t="e">
        <f>VLOOKUP($C509,'Daily_BU설비데이터 '!$C$20:$T$1000,13,0)</f>
        <v>#N/A</v>
      </c>
      <c r="P509" s="68" t="e">
        <f>VLOOKUP($C509,'Daily_BU설비데이터 '!$C$20:$T$1000,14,0)</f>
        <v>#N/A</v>
      </c>
      <c r="Q509" s="99" t="e">
        <f t="shared" si="56"/>
        <v>#N/A</v>
      </c>
      <c r="R509" s="100" t="e">
        <f t="shared" si="57"/>
        <v>#N/A</v>
      </c>
      <c r="S509" s="83" t="e">
        <f>VLOOKUP($C509,'Daily_BU설비데이터 '!$C$20:$T$1000,17,0)</f>
        <v>#N/A</v>
      </c>
      <c r="T509" s="83" t="e">
        <f>VLOOKUP($C509,'Daily_BU설비데이터 '!$C$20:$T$1000,18,0)</f>
        <v>#N/A</v>
      </c>
      <c r="U509" s="101" t="e">
        <f t="shared" si="58"/>
        <v>#N/A</v>
      </c>
      <c r="V509" s="45"/>
      <c r="W509" s="45"/>
      <c r="X509" s="45"/>
      <c r="Y509" s="45"/>
      <c r="Z509" s="45"/>
      <c r="AA509" s="45"/>
    </row>
    <row r="510" spans="2:27" x14ac:dyDescent="0.45">
      <c r="B510" s="45" t="s">
        <v>316</v>
      </c>
      <c r="C510" s="90"/>
      <c r="D510" s="56"/>
      <c r="E510" s="80"/>
      <c r="F510" s="58" t="e">
        <f>VLOOKUP($C510,'Daily_BU설비데이터 '!$C$20:$T$1000,4,0)</f>
        <v>#N/A</v>
      </c>
      <c r="G510" s="58" t="e">
        <f>VLOOKUP($C510,'Daily_BU설비데이터 '!$C$20:$T$1000,5,0)</f>
        <v>#N/A</v>
      </c>
      <c r="H510" s="58" t="e">
        <f>VLOOKUP($C510,'Daily_BU설비데이터 '!$C$20:$T$1000,6,0)</f>
        <v>#N/A</v>
      </c>
      <c r="I510" s="58" t="e">
        <f>VLOOKUP($C510,'Daily_BU설비데이터 '!$C$20:$T$1000,7,0)</f>
        <v>#N/A</v>
      </c>
      <c r="J510" s="58" t="e">
        <f>VLOOKUP($C510,'Daily_BU설비데이터 '!$C$20:$T$1000,8,0)</f>
        <v>#N/A</v>
      </c>
      <c r="K510" s="58" t="e">
        <f>VLOOKUP($C510,'Daily_BU설비데이터 '!$C$20:$T$1000,9,0)</f>
        <v>#N/A</v>
      </c>
      <c r="L510" s="59" t="e">
        <f t="shared" si="55"/>
        <v>#N/A</v>
      </c>
      <c r="M510" s="68" t="e">
        <f>VLOOKUP($C510,'Daily_BU설비데이터 '!$C$20:$T$1000,11,0)</f>
        <v>#N/A</v>
      </c>
      <c r="N510" s="68" t="e">
        <f>VLOOKUP($C510,'Daily_BU설비데이터 '!$C$20:$T$1000,12,0)</f>
        <v>#N/A</v>
      </c>
      <c r="O510" s="68" t="e">
        <f>VLOOKUP($C510,'Daily_BU설비데이터 '!$C$20:$T$1000,13,0)</f>
        <v>#N/A</v>
      </c>
      <c r="P510" s="68" t="e">
        <f>VLOOKUP($C510,'Daily_BU설비데이터 '!$C$20:$T$1000,14,0)</f>
        <v>#N/A</v>
      </c>
      <c r="Q510" s="99" t="e">
        <f t="shared" si="56"/>
        <v>#N/A</v>
      </c>
      <c r="R510" s="100" t="e">
        <f t="shared" si="57"/>
        <v>#N/A</v>
      </c>
      <c r="S510" s="83" t="e">
        <f>VLOOKUP($C510,'Daily_BU설비데이터 '!$C$20:$T$1000,17,0)</f>
        <v>#N/A</v>
      </c>
      <c r="T510" s="83" t="e">
        <f>VLOOKUP($C510,'Daily_BU설비데이터 '!$C$20:$T$1000,18,0)</f>
        <v>#N/A</v>
      </c>
      <c r="U510" s="101" t="e">
        <f t="shared" si="58"/>
        <v>#N/A</v>
      </c>
      <c r="V510" s="45"/>
      <c r="W510" s="45"/>
      <c r="X510" s="45"/>
      <c r="Y510" s="45"/>
      <c r="Z510" s="45"/>
      <c r="AA510" s="45"/>
    </row>
    <row r="511" spans="2:27" x14ac:dyDescent="0.45">
      <c r="B511" s="45" t="s">
        <v>317</v>
      </c>
      <c r="C511" s="90"/>
      <c r="D511" s="56"/>
      <c r="E511" s="84"/>
      <c r="F511" s="58" t="e">
        <f>VLOOKUP($C511,'Daily_BU설비데이터 '!$C$20:$T$1000,4,0)</f>
        <v>#N/A</v>
      </c>
      <c r="G511" s="58" t="e">
        <f>VLOOKUP($C511,'Daily_BU설비데이터 '!$C$20:$T$1000,5,0)</f>
        <v>#N/A</v>
      </c>
      <c r="H511" s="58" t="e">
        <f>VLOOKUP($C511,'Daily_BU설비데이터 '!$C$20:$T$1000,6,0)</f>
        <v>#N/A</v>
      </c>
      <c r="I511" s="58" t="e">
        <f>VLOOKUP($C511,'Daily_BU설비데이터 '!$C$20:$T$1000,7,0)</f>
        <v>#N/A</v>
      </c>
      <c r="J511" s="58" t="e">
        <f>VLOOKUP($C511,'Daily_BU설비데이터 '!$C$20:$T$1000,8,0)</f>
        <v>#N/A</v>
      </c>
      <c r="K511" s="58" t="e">
        <f>VLOOKUP($C511,'Daily_BU설비데이터 '!$C$20:$T$1000,9,0)</f>
        <v>#N/A</v>
      </c>
      <c r="L511" s="59" t="e">
        <f t="shared" si="55"/>
        <v>#N/A</v>
      </c>
      <c r="M511" s="68" t="e">
        <f>VLOOKUP($C511,'Daily_BU설비데이터 '!$C$20:$T$1000,11,0)</f>
        <v>#N/A</v>
      </c>
      <c r="N511" s="68" t="e">
        <f>VLOOKUP($C511,'Daily_BU설비데이터 '!$C$20:$T$1000,12,0)</f>
        <v>#N/A</v>
      </c>
      <c r="O511" s="68" t="e">
        <f>VLOOKUP($C511,'Daily_BU설비데이터 '!$C$20:$T$1000,13,0)</f>
        <v>#N/A</v>
      </c>
      <c r="P511" s="68" t="e">
        <f>VLOOKUP($C511,'Daily_BU설비데이터 '!$C$20:$T$1000,14,0)</f>
        <v>#N/A</v>
      </c>
      <c r="Q511" s="99" t="e">
        <f t="shared" si="56"/>
        <v>#N/A</v>
      </c>
      <c r="R511" s="100" t="e">
        <f t="shared" si="57"/>
        <v>#N/A</v>
      </c>
      <c r="S511" s="83" t="e">
        <f>VLOOKUP($C511,'Daily_BU설비데이터 '!$C$20:$T$1000,17,0)</f>
        <v>#N/A</v>
      </c>
      <c r="T511" s="83" t="e">
        <f>VLOOKUP($C511,'Daily_BU설비데이터 '!$C$20:$T$1000,18,0)</f>
        <v>#N/A</v>
      </c>
      <c r="U511" s="101" t="e">
        <f t="shared" si="58"/>
        <v>#N/A</v>
      </c>
      <c r="V511" s="45"/>
      <c r="W511" s="45"/>
      <c r="X511" s="45"/>
      <c r="Y511" s="45"/>
      <c r="Z511" s="45"/>
      <c r="AA511" s="45"/>
    </row>
    <row r="512" spans="2:27" x14ac:dyDescent="0.45">
      <c r="B512" s="45" t="s">
        <v>318</v>
      </c>
      <c r="C512" s="90"/>
      <c r="D512" s="56"/>
      <c r="E512" s="57"/>
      <c r="F512" s="58" t="e">
        <f>VLOOKUP($C512,'Daily_BU설비데이터 '!$C$20:$T$1000,4,0)</f>
        <v>#N/A</v>
      </c>
      <c r="G512" s="58" t="e">
        <f>VLOOKUP($C512,'Daily_BU설비데이터 '!$C$20:$T$1000,5,0)</f>
        <v>#N/A</v>
      </c>
      <c r="H512" s="58" t="e">
        <f>VLOOKUP($C512,'Daily_BU설비데이터 '!$C$20:$T$1000,6,0)</f>
        <v>#N/A</v>
      </c>
      <c r="I512" s="58" t="e">
        <f>VLOOKUP($C512,'Daily_BU설비데이터 '!$C$20:$T$1000,7,0)</f>
        <v>#N/A</v>
      </c>
      <c r="J512" s="58" t="e">
        <f>VLOOKUP($C512,'Daily_BU설비데이터 '!$C$20:$T$1000,8,0)</f>
        <v>#N/A</v>
      </c>
      <c r="K512" s="58" t="e">
        <f>VLOOKUP($C512,'Daily_BU설비데이터 '!$C$20:$T$1000,9,0)</f>
        <v>#N/A</v>
      </c>
      <c r="L512" s="59" t="e">
        <f t="shared" si="55"/>
        <v>#N/A</v>
      </c>
      <c r="M512" s="68" t="e">
        <f>VLOOKUP($C512,'Daily_BU설비데이터 '!$C$20:$T$1000,11,0)</f>
        <v>#N/A</v>
      </c>
      <c r="N512" s="68" t="e">
        <f>VLOOKUP($C512,'Daily_BU설비데이터 '!$C$20:$T$1000,12,0)</f>
        <v>#N/A</v>
      </c>
      <c r="O512" s="68" t="e">
        <f>VLOOKUP($C512,'Daily_BU설비데이터 '!$C$20:$T$1000,13,0)</f>
        <v>#N/A</v>
      </c>
      <c r="P512" s="68" t="e">
        <f>VLOOKUP($C512,'Daily_BU설비데이터 '!$C$20:$T$1000,14,0)</f>
        <v>#N/A</v>
      </c>
      <c r="Q512" s="99" t="e">
        <f t="shared" si="56"/>
        <v>#N/A</v>
      </c>
      <c r="R512" s="100" t="e">
        <f t="shared" si="57"/>
        <v>#N/A</v>
      </c>
      <c r="S512" s="83" t="e">
        <f>VLOOKUP($C512,'Daily_BU설비데이터 '!$C$20:$T$1000,17,0)</f>
        <v>#N/A</v>
      </c>
      <c r="T512" s="83" t="e">
        <f>VLOOKUP($C512,'Daily_BU설비데이터 '!$C$20:$T$1000,18,0)</f>
        <v>#N/A</v>
      </c>
      <c r="U512" s="101" t="e">
        <f t="shared" si="58"/>
        <v>#N/A</v>
      </c>
      <c r="V512" s="45"/>
      <c r="W512" s="45"/>
      <c r="X512" s="45"/>
      <c r="Y512" s="45"/>
      <c r="Z512" s="45"/>
      <c r="AA512" s="45"/>
    </row>
    <row r="513" spans="2:27" x14ac:dyDescent="0.45">
      <c r="B513" s="45" t="s">
        <v>319</v>
      </c>
      <c r="C513" s="90"/>
      <c r="D513" s="56"/>
      <c r="E513" s="80"/>
      <c r="F513" s="58" t="e">
        <f>VLOOKUP($C513,'Daily_BU설비데이터 '!$C$20:$T$1000,4,0)</f>
        <v>#N/A</v>
      </c>
      <c r="G513" s="58" t="e">
        <f>VLOOKUP($C513,'Daily_BU설비데이터 '!$C$20:$T$1000,5,0)</f>
        <v>#N/A</v>
      </c>
      <c r="H513" s="58" t="e">
        <f>VLOOKUP($C513,'Daily_BU설비데이터 '!$C$20:$T$1000,6,0)</f>
        <v>#N/A</v>
      </c>
      <c r="I513" s="58" t="e">
        <f>VLOOKUP($C513,'Daily_BU설비데이터 '!$C$20:$T$1000,7,0)</f>
        <v>#N/A</v>
      </c>
      <c r="J513" s="58" t="e">
        <f>VLOOKUP($C513,'Daily_BU설비데이터 '!$C$20:$T$1000,8,0)</f>
        <v>#N/A</v>
      </c>
      <c r="K513" s="58" t="e">
        <f>VLOOKUP($C513,'Daily_BU설비데이터 '!$C$20:$T$1000,9,0)</f>
        <v>#N/A</v>
      </c>
      <c r="L513" s="59" t="e">
        <f t="shared" si="55"/>
        <v>#N/A</v>
      </c>
      <c r="M513" s="68" t="e">
        <f>VLOOKUP($C513,'Daily_BU설비데이터 '!$C$20:$T$1000,11,0)</f>
        <v>#N/A</v>
      </c>
      <c r="N513" s="68" t="e">
        <f>VLOOKUP($C513,'Daily_BU설비데이터 '!$C$20:$T$1000,12,0)</f>
        <v>#N/A</v>
      </c>
      <c r="O513" s="68" t="e">
        <f>VLOOKUP($C513,'Daily_BU설비데이터 '!$C$20:$T$1000,13,0)</f>
        <v>#N/A</v>
      </c>
      <c r="P513" s="68" t="e">
        <f>VLOOKUP($C513,'Daily_BU설비데이터 '!$C$20:$T$1000,14,0)</f>
        <v>#N/A</v>
      </c>
      <c r="Q513" s="99" t="e">
        <f t="shared" si="56"/>
        <v>#N/A</v>
      </c>
      <c r="R513" s="100" t="e">
        <f t="shared" si="57"/>
        <v>#N/A</v>
      </c>
      <c r="S513" s="83" t="e">
        <f>VLOOKUP($C513,'Daily_BU설비데이터 '!$C$20:$T$1000,17,0)</f>
        <v>#N/A</v>
      </c>
      <c r="T513" s="83" t="e">
        <f>VLOOKUP($C513,'Daily_BU설비데이터 '!$C$20:$T$1000,18,0)</f>
        <v>#N/A</v>
      </c>
      <c r="U513" s="101" t="e">
        <f t="shared" si="58"/>
        <v>#N/A</v>
      </c>
      <c r="V513" s="45"/>
      <c r="W513" s="45"/>
      <c r="X513" s="45"/>
      <c r="Y513" s="45"/>
      <c r="Z513" s="45"/>
      <c r="AA513" s="45"/>
    </row>
    <row r="514" spans="2:27" x14ac:dyDescent="0.45">
      <c r="B514" s="45" t="s">
        <v>320</v>
      </c>
      <c r="C514" s="90"/>
      <c r="D514" s="56"/>
      <c r="E514" s="84"/>
      <c r="F514" s="58" t="e">
        <f>VLOOKUP($C514,'Daily_BU설비데이터 '!$C$20:$T$1000,4,0)</f>
        <v>#N/A</v>
      </c>
      <c r="G514" s="58" t="e">
        <f>VLOOKUP($C514,'Daily_BU설비데이터 '!$C$20:$T$1000,5,0)</f>
        <v>#N/A</v>
      </c>
      <c r="H514" s="58" t="e">
        <f>VLOOKUP($C514,'Daily_BU설비데이터 '!$C$20:$T$1000,6,0)</f>
        <v>#N/A</v>
      </c>
      <c r="I514" s="58" t="e">
        <f>VLOOKUP($C514,'Daily_BU설비데이터 '!$C$20:$T$1000,7,0)</f>
        <v>#N/A</v>
      </c>
      <c r="J514" s="58" t="e">
        <f>VLOOKUP($C514,'Daily_BU설비데이터 '!$C$20:$T$1000,8,0)</f>
        <v>#N/A</v>
      </c>
      <c r="K514" s="58" t="e">
        <f>VLOOKUP($C514,'Daily_BU설비데이터 '!$C$20:$T$1000,9,0)</f>
        <v>#N/A</v>
      </c>
      <c r="L514" s="59" t="e">
        <f t="shared" si="55"/>
        <v>#N/A</v>
      </c>
      <c r="M514" s="68" t="e">
        <f>VLOOKUP($C514,'Daily_BU설비데이터 '!$C$20:$T$1000,11,0)</f>
        <v>#N/A</v>
      </c>
      <c r="N514" s="68" t="e">
        <f>VLOOKUP($C514,'Daily_BU설비데이터 '!$C$20:$T$1000,12,0)</f>
        <v>#N/A</v>
      </c>
      <c r="O514" s="68" t="e">
        <f>VLOOKUP($C514,'Daily_BU설비데이터 '!$C$20:$T$1000,13,0)</f>
        <v>#N/A</v>
      </c>
      <c r="P514" s="68" t="e">
        <f>VLOOKUP($C514,'Daily_BU설비데이터 '!$C$20:$T$1000,14,0)</f>
        <v>#N/A</v>
      </c>
      <c r="Q514" s="99" t="e">
        <f t="shared" si="56"/>
        <v>#N/A</v>
      </c>
      <c r="R514" s="100" t="e">
        <f t="shared" si="57"/>
        <v>#N/A</v>
      </c>
      <c r="S514" s="83" t="e">
        <f>VLOOKUP($C514,'Daily_BU설비데이터 '!$C$20:$T$1000,17,0)</f>
        <v>#N/A</v>
      </c>
      <c r="T514" s="83" t="e">
        <f>VLOOKUP($C514,'Daily_BU설비데이터 '!$C$20:$T$1000,18,0)</f>
        <v>#N/A</v>
      </c>
      <c r="U514" s="101" t="e">
        <f t="shared" si="58"/>
        <v>#N/A</v>
      </c>
      <c r="V514" s="45"/>
      <c r="W514" s="45"/>
      <c r="X514" s="45"/>
      <c r="Y514" s="45"/>
      <c r="Z514" s="45"/>
      <c r="AA514" s="45"/>
    </row>
    <row r="515" spans="2:27" x14ac:dyDescent="0.45">
      <c r="B515" s="45" t="s">
        <v>321</v>
      </c>
      <c r="C515" s="90"/>
      <c r="D515" s="56"/>
      <c r="E515" s="80"/>
      <c r="F515" s="58" t="e">
        <f>VLOOKUP($C515,'Daily_BU설비데이터 '!$C$20:$T$1000,4,0)</f>
        <v>#N/A</v>
      </c>
      <c r="G515" s="58" t="e">
        <f>VLOOKUP($C515,'Daily_BU설비데이터 '!$C$20:$T$1000,5,0)</f>
        <v>#N/A</v>
      </c>
      <c r="H515" s="58" t="e">
        <f>VLOOKUP($C515,'Daily_BU설비데이터 '!$C$20:$T$1000,6,0)</f>
        <v>#N/A</v>
      </c>
      <c r="I515" s="58" t="e">
        <f>VLOOKUP($C515,'Daily_BU설비데이터 '!$C$20:$T$1000,7,0)</f>
        <v>#N/A</v>
      </c>
      <c r="J515" s="58" t="e">
        <f>VLOOKUP($C515,'Daily_BU설비데이터 '!$C$20:$T$1000,8,0)</f>
        <v>#N/A</v>
      </c>
      <c r="K515" s="58" t="e">
        <f>VLOOKUP($C515,'Daily_BU설비데이터 '!$C$20:$T$1000,9,0)</f>
        <v>#N/A</v>
      </c>
      <c r="L515" s="59" t="e">
        <f t="shared" si="55"/>
        <v>#N/A</v>
      </c>
      <c r="M515" s="68" t="e">
        <f>VLOOKUP($C515,'Daily_BU설비데이터 '!$C$20:$T$1000,11,0)</f>
        <v>#N/A</v>
      </c>
      <c r="N515" s="68" t="e">
        <f>VLOOKUP($C515,'Daily_BU설비데이터 '!$C$20:$T$1000,12,0)</f>
        <v>#N/A</v>
      </c>
      <c r="O515" s="68" t="e">
        <f>VLOOKUP($C515,'Daily_BU설비데이터 '!$C$20:$T$1000,13,0)</f>
        <v>#N/A</v>
      </c>
      <c r="P515" s="68" t="e">
        <f>VLOOKUP($C515,'Daily_BU설비데이터 '!$C$20:$T$1000,14,0)</f>
        <v>#N/A</v>
      </c>
      <c r="Q515" s="99" t="e">
        <f t="shared" si="56"/>
        <v>#N/A</v>
      </c>
      <c r="R515" s="100" t="e">
        <f t="shared" si="57"/>
        <v>#N/A</v>
      </c>
      <c r="S515" s="83" t="e">
        <f>VLOOKUP($C515,'Daily_BU설비데이터 '!$C$20:$T$1000,17,0)</f>
        <v>#N/A</v>
      </c>
      <c r="T515" s="83" t="e">
        <f>VLOOKUP($C515,'Daily_BU설비데이터 '!$C$20:$T$1000,18,0)</f>
        <v>#N/A</v>
      </c>
      <c r="U515" s="101" t="e">
        <f t="shared" si="58"/>
        <v>#N/A</v>
      </c>
      <c r="V515" s="45"/>
      <c r="W515" s="45"/>
      <c r="X515" s="45"/>
      <c r="Y515" s="45"/>
      <c r="Z515" s="45"/>
      <c r="AA515" s="45"/>
    </row>
    <row r="516" spans="2:27" x14ac:dyDescent="0.45">
      <c r="B516" s="45" t="s">
        <v>322</v>
      </c>
      <c r="C516" s="90"/>
      <c r="D516" s="56"/>
      <c r="E516" s="84"/>
      <c r="F516" s="58" t="e">
        <f>VLOOKUP($C516,'Daily_BU설비데이터 '!$C$20:$T$1000,4,0)</f>
        <v>#N/A</v>
      </c>
      <c r="G516" s="58" t="e">
        <f>VLOOKUP($C516,'Daily_BU설비데이터 '!$C$20:$T$1000,5,0)</f>
        <v>#N/A</v>
      </c>
      <c r="H516" s="58" t="e">
        <f>VLOOKUP($C516,'Daily_BU설비데이터 '!$C$20:$T$1000,6,0)</f>
        <v>#N/A</v>
      </c>
      <c r="I516" s="58" t="e">
        <f>VLOOKUP($C516,'Daily_BU설비데이터 '!$C$20:$T$1000,7,0)</f>
        <v>#N/A</v>
      </c>
      <c r="J516" s="58" t="e">
        <f>VLOOKUP($C516,'Daily_BU설비데이터 '!$C$20:$T$1000,8,0)</f>
        <v>#N/A</v>
      </c>
      <c r="K516" s="58" t="e">
        <f>VLOOKUP($C516,'Daily_BU설비데이터 '!$C$20:$T$1000,9,0)</f>
        <v>#N/A</v>
      </c>
      <c r="L516" s="59" t="e">
        <f t="shared" si="55"/>
        <v>#N/A</v>
      </c>
      <c r="M516" s="68" t="e">
        <f>VLOOKUP($C516,'Daily_BU설비데이터 '!$C$20:$T$1000,11,0)</f>
        <v>#N/A</v>
      </c>
      <c r="N516" s="68" t="e">
        <f>VLOOKUP($C516,'Daily_BU설비데이터 '!$C$20:$T$1000,12,0)</f>
        <v>#N/A</v>
      </c>
      <c r="O516" s="68" t="e">
        <f>VLOOKUP($C516,'Daily_BU설비데이터 '!$C$20:$T$1000,13,0)</f>
        <v>#N/A</v>
      </c>
      <c r="P516" s="68" t="e">
        <f>VLOOKUP($C516,'Daily_BU설비데이터 '!$C$20:$T$1000,14,0)</f>
        <v>#N/A</v>
      </c>
      <c r="Q516" s="99" t="e">
        <f t="shared" si="56"/>
        <v>#N/A</v>
      </c>
      <c r="R516" s="100" t="e">
        <f t="shared" si="57"/>
        <v>#N/A</v>
      </c>
      <c r="S516" s="83" t="e">
        <f>VLOOKUP($C516,'Daily_BU설비데이터 '!$C$20:$T$1000,17,0)</f>
        <v>#N/A</v>
      </c>
      <c r="T516" s="83" t="e">
        <f>VLOOKUP($C516,'Daily_BU설비데이터 '!$C$20:$T$1000,18,0)</f>
        <v>#N/A</v>
      </c>
      <c r="U516" s="101" t="e">
        <f t="shared" si="58"/>
        <v>#N/A</v>
      </c>
      <c r="V516" s="45"/>
      <c r="W516" s="45"/>
      <c r="X516" s="45"/>
      <c r="Y516" s="45"/>
      <c r="Z516" s="45"/>
      <c r="AA516" s="45"/>
    </row>
    <row r="517" spans="2:27" x14ac:dyDescent="0.45">
      <c r="B517" s="45" t="s">
        <v>323</v>
      </c>
      <c r="C517" s="90"/>
      <c r="D517" s="56"/>
      <c r="E517" s="57"/>
      <c r="F517" s="58" t="e">
        <f>VLOOKUP($C517,'Daily_BU설비데이터 '!$C$20:$T$1000,4,0)</f>
        <v>#N/A</v>
      </c>
      <c r="G517" s="58" t="e">
        <f>VLOOKUP($C517,'Daily_BU설비데이터 '!$C$20:$T$1000,5,0)</f>
        <v>#N/A</v>
      </c>
      <c r="H517" s="58" t="e">
        <f>VLOOKUP($C517,'Daily_BU설비데이터 '!$C$20:$T$1000,6,0)</f>
        <v>#N/A</v>
      </c>
      <c r="I517" s="58" t="e">
        <f>VLOOKUP($C517,'Daily_BU설비데이터 '!$C$20:$T$1000,7,0)</f>
        <v>#N/A</v>
      </c>
      <c r="J517" s="58" t="e">
        <f>VLOOKUP($C517,'Daily_BU설비데이터 '!$C$20:$T$1000,8,0)</f>
        <v>#N/A</v>
      </c>
      <c r="K517" s="58" t="e">
        <f>VLOOKUP($C517,'Daily_BU설비데이터 '!$C$20:$T$1000,9,0)</f>
        <v>#N/A</v>
      </c>
      <c r="L517" s="59" t="e">
        <f t="shared" si="55"/>
        <v>#N/A</v>
      </c>
      <c r="M517" s="68" t="e">
        <f>VLOOKUP($C517,'Daily_BU설비데이터 '!$C$20:$T$1000,11,0)</f>
        <v>#N/A</v>
      </c>
      <c r="N517" s="68" t="e">
        <f>VLOOKUP($C517,'Daily_BU설비데이터 '!$C$20:$T$1000,12,0)</f>
        <v>#N/A</v>
      </c>
      <c r="O517" s="68" t="e">
        <f>VLOOKUP($C517,'Daily_BU설비데이터 '!$C$20:$T$1000,13,0)</f>
        <v>#N/A</v>
      </c>
      <c r="P517" s="68" t="e">
        <f>VLOOKUP($C517,'Daily_BU설비데이터 '!$C$20:$T$1000,14,0)</f>
        <v>#N/A</v>
      </c>
      <c r="Q517" s="99" t="e">
        <f t="shared" si="56"/>
        <v>#N/A</v>
      </c>
      <c r="R517" s="100" t="e">
        <f t="shared" si="57"/>
        <v>#N/A</v>
      </c>
      <c r="S517" s="83" t="e">
        <f>VLOOKUP($C517,'Daily_BU설비데이터 '!$C$20:$T$1000,17,0)</f>
        <v>#N/A</v>
      </c>
      <c r="T517" s="83" t="e">
        <f>VLOOKUP($C517,'Daily_BU설비데이터 '!$C$20:$T$1000,18,0)</f>
        <v>#N/A</v>
      </c>
      <c r="U517" s="101" t="e">
        <f t="shared" si="58"/>
        <v>#N/A</v>
      </c>
      <c r="V517" s="45"/>
      <c r="W517" s="45"/>
      <c r="X517" s="45"/>
      <c r="Y517" s="45"/>
      <c r="Z517" s="45"/>
      <c r="AA517" s="45"/>
    </row>
    <row r="518" spans="2:27" x14ac:dyDescent="0.45">
      <c r="B518" s="45" t="s">
        <v>324</v>
      </c>
      <c r="C518" s="90"/>
      <c r="D518" s="56"/>
      <c r="E518" s="80"/>
      <c r="F518" s="58" t="e">
        <f>VLOOKUP($C518,'Daily_BU설비데이터 '!$C$20:$T$1000,4,0)</f>
        <v>#N/A</v>
      </c>
      <c r="G518" s="58" t="e">
        <f>VLOOKUP($C518,'Daily_BU설비데이터 '!$C$20:$T$1000,5,0)</f>
        <v>#N/A</v>
      </c>
      <c r="H518" s="58" t="e">
        <f>VLOOKUP($C518,'Daily_BU설비데이터 '!$C$20:$T$1000,6,0)</f>
        <v>#N/A</v>
      </c>
      <c r="I518" s="58" t="e">
        <f>VLOOKUP($C518,'Daily_BU설비데이터 '!$C$20:$T$1000,7,0)</f>
        <v>#N/A</v>
      </c>
      <c r="J518" s="58" t="e">
        <f>VLOOKUP($C518,'Daily_BU설비데이터 '!$C$20:$T$1000,8,0)</f>
        <v>#N/A</v>
      </c>
      <c r="K518" s="58" t="e">
        <f>VLOOKUP($C518,'Daily_BU설비데이터 '!$C$20:$T$1000,9,0)</f>
        <v>#N/A</v>
      </c>
      <c r="L518" s="59" t="e">
        <f t="shared" si="55"/>
        <v>#N/A</v>
      </c>
      <c r="M518" s="68" t="e">
        <f>VLOOKUP($C518,'Daily_BU설비데이터 '!$C$20:$T$1000,11,0)</f>
        <v>#N/A</v>
      </c>
      <c r="N518" s="68" t="e">
        <f>VLOOKUP($C518,'Daily_BU설비데이터 '!$C$20:$T$1000,12,0)</f>
        <v>#N/A</v>
      </c>
      <c r="O518" s="68" t="e">
        <f>VLOOKUP($C518,'Daily_BU설비데이터 '!$C$20:$T$1000,13,0)</f>
        <v>#N/A</v>
      </c>
      <c r="P518" s="68" t="e">
        <f>VLOOKUP($C518,'Daily_BU설비데이터 '!$C$20:$T$1000,14,0)</f>
        <v>#N/A</v>
      </c>
      <c r="Q518" s="99" t="e">
        <f t="shared" si="56"/>
        <v>#N/A</v>
      </c>
      <c r="R518" s="100" t="e">
        <f t="shared" si="57"/>
        <v>#N/A</v>
      </c>
      <c r="S518" s="83" t="e">
        <f>VLOOKUP($C518,'Daily_BU설비데이터 '!$C$20:$T$1000,17,0)</f>
        <v>#N/A</v>
      </c>
      <c r="T518" s="83" t="e">
        <f>VLOOKUP($C518,'Daily_BU설비데이터 '!$C$20:$T$1000,18,0)</f>
        <v>#N/A</v>
      </c>
      <c r="U518" s="101" t="e">
        <f t="shared" si="58"/>
        <v>#N/A</v>
      </c>
      <c r="V518" s="45"/>
      <c r="W518" s="45"/>
      <c r="X518" s="45"/>
      <c r="Y518" s="45"/>
      <c r="Z518" s="45"/>
      <c r="AA518" s="45"/>
    </row>
    <row r="519" spans="2:27" x14ac:dyDescent="0.45">
      <c r="B519" s="45" t="s">
        <v>325</v>
      </c>
      <c r="C519" s="90"/>
      <c r="D519" s="56"/>
      <c r="E519" s="84"/>
      <c r="F519" s="58" t="e">
        <f>VLOOKUP($C519,'Daily_BU설비데이터 '!$C$20:$T$1000,4,0)</f>
        <v>#N/A</v>
      </c>
      <c r="G519" s="58" t="e">
        <f>VLOOKUP($C519,'Daily_BU설비데이터 '!$C$20:$T$1000,5,0)</f>
        <v>#N/A</v>
      </c>
      <c r="H519" s="58" t="e">
        <f>VLOOKUP($C519,'Daily_BU설비데이터 '!$C$20:$T$1000,6,0)</f>
        <v>#N/A</v>
      </c>
      <c r="I519" s="58" t="e">
        <f>VLOOKUP($C519,'Daily_BU설비데이터 '!$C$20:$T$1000,7,0)</f>
        <v>#N/A</v>
      </c>
      <c r="J519" s="58" t="e">
        <f>VLOOKUP($C519,'Daily_BU설비데이터 '!$C$20:$T$1000,8,0)</f>
        <v>#N/A</v>
      </c>
      <c r="K519" s="58" t="e">
        <f>VLOOKUP($C519,'Daily_BU설비데이터 '!$C$20:$T$1000,9,0)</f>
        <v>#N/A</v>
      </c>
      <c r="L519" s="59" t="e">
        <f t="shared" si="55"/>
        <v>#N/A</v>
      </c>
      <c r="M519" s="68" t="e">
        <f>VLOOKUP($C519,'Daily_BU설비데이터 '!$C$20:$T$1000,11,0)</f>
        <v>#N/A</v>
      </c>
      <c r="N519" s="68" t="e">
        <f>VLOOKUP($C519,'Daily_BU설비데이터 '!$C$20:$T$1000,12,0)</f>
        <v>#N/A</v>
      </c>
      <c r="O519" s="68" t="e">
        <f>VLOOKUP($C519,'Daily_BU설비데이터 '!$C$20:$T$1000,13,0)</f>
        <v>#N/A</v>
      </c>
      <c r="P519" s="68" t="e">
        <f>VLOOKUP($C519,'Daily_BU설비데이터 '!$C$20:$T$1000,14,0)</f>
        <v>#N/A</v>
      </c>
      <c r="Q519" s="99" t="e">
        <f t="shared" si="56"/>
        <v>#N/A</v>
      </c>
      <c r="R519" s="100" t="e">
        <f t="shared" si="57"/>
        <v>#N/A</v>
      </c>
      <c r="S519" s="83" t="e">
        <f>VLOOKUP($C519,'Daily_BU설비데이터 '!$C$20:$T$1000,17,0)</f>
        <v>#N/A</v>
      </c>
      <c r="T519" s="83" t="e">
        <f>VLOOKUP($C519,'Daily_BU설비데이터 '!$C$20:$T$1000,18,0)</f>
        <v>#N/A</v>
      </c>
      <c r="U519" s="101" t="e">
        <f t="shared" si="58"/>
        <v>#N/A</v>
      </c>
      <c r="V519" s="45"/>
      <c r="W519" s="45"/>
      <c r="X519" s="45"/>
      <c r="Y519" s="45"/>
      <c r="Z519" s="45"/>
      <c r="AA519" s="45"/>
    </row>
    <row r="520" spans="2:27" x14ac:dyDescent="0.45">
      <c r="B520" s="45" t="s">
        <v>326</v>
      </c>
      <c r="C520" s="90"/>
      <c r="D520" s="56"/>
      <c r="E520" s="57"/>
      <c r="F520" s="58" t="e">
        <f>VLOOKUP($C520,'Daily_BU설비데이터 '!$C$20:$T$1000,4,0)</f>
        <v>#N/A</v>
      </c>
      <c r="G520" s="58" t="e">
        <f>VLOOKUP($C520,'Daily_BU설비데이터 '!$C$20:$T$1000,5,0)</f>
        <v>#N/A</v>
      </c>
      <c r="H520" s="58" t="e">
        <f>VLOOKUP($C520,'Daily_BU설비데이터 '!$C$20:$T$1000,6,0)</f>
        <v>#N/A</v>
      </c>
      <c r="I520" s="58" t="e">
        <f>VLOOKUP($C520,'Daily_BU설비데이터 '!$C$20:$T$1000,7,0)</f>
        <v>#N/A</v>
      </c>
      <c r="J520" s="58" t="e">
        <f>VLOOKUP($C520,'Daily_BU설비데이터 '!$C$20:$T$1000,8,0)</f>
        <v>#N/A</v>
      </c>
      <c r="K520" s="58" t="e">
        <f>VLOOKUP($C520,'Daily_BU설비데이터 '!$C$20:$T$1000,9,0)</f>
        <v>#N/A</v>
      </c>
      <c r="L520" s="59" t="e">
        <f t="shared" si="55"/>
        <v>#N/A</v>
      </c>
      <c r="M520" s="68" t="e">
        <f>VLOOKUP($C520,'Daily_BU설비데이터 '!$C$20:$T$1000,11,0)</f>
        <v>#N/A</v>
      </c>
      <c r="N520" s="68" t="e">
        <f>VLOOKUP($C520,'Daily_BU설비데이터 '!$C$20:$T$1000,12,0)</f>
        <v>#N/A</v>
      </c>
      <c r="O520" s="68" t="e">
        <f>VLOOKUP($C520,'Daily_BU설비데이터 '!$C$20:$T$1000,13,0)</f>
        <v>#N/A</v>
      </c>
      <c r="P520" s="68" t="e">
        <f>VLOOKUP($C520,'Daily_BU설비데이터 '!$C$20:$T$1000,14,0)</f>
        <v>#N/A</v>
      </c>
      <c r="Q520" s="99" t="e">
        <f t="shared" si="56"/>
        <v>#N/A</v>
      </c>
      <c r="R520" s="100" t="e">
        <f t="shared" si="57"/>
        <v>#N/A</v>
      </c>
      <c r="S520" s="83" t="e">
        <f>VLOOKUP($C520,'Daily_BU설비데이터 '!$C$20:$T$1000,17,0)</f>
        <v>#N/A</v>
      </c>
      <c r="T520" s="83" t="e">
        <f>VLOOKUP($C520,'Daily_BU설비데이터 '!$C$20:$T$1000,18,0)</f>
        <v>#N/A</v>
      </c>
      <c r="U520" s="101" t="e">
        <f t="shared" si="58"/>
        <v>#N/A</v>
      </c>
      <c r="V520" s="45"/>
      <c r="W520" s="45"/>
      <c r="X520" s="45"/>
      <c r="Y520" s="45"/>
      <c r="Z520" s="45"/>
      <c r="AA520" s="45"/>
    </row>
    <row r="521" spans="2:27" x14ac:dyDescent="0.45">
      <c r="B521" s="45" t="s">
        <v>327</v>
      </c>
      <c r="C521" s="90"/>
      <c r="D521" s="56"/>
      <c r="E521" s="80"/>
      <c r="F521" s="58" t="e">
        <f>VLOOKUP($C521,'Daily_BU설비데이터 '!$C$20:$T$1000,4,0)</f>
        <v>#N/A</v>
      </c>
      <c r="G521" s="58" t="e">
        <f>VLOOKUP($C521,'Daily_BU설비데이터 '!$C$20:$T$1000,5,0)</f>
        <v>#N/A</v>
      </c>
      <c r="H521" s="58" t="e">
        <f>VLOOKUP($C521,'Daily_BU설비데이터 '!$C$20:$T$1000,6,0)</f>
        <v>#N/A</v>
      </c>
      <c r="I521" s="58" t="e">
        <f>VLOOKUP($C521,'Daily_BU설비데이터 '!$C$20:$T$1000,7,0)</f>
        <v>#N/A</v>
      </c>
      <c r="J521" s="58" t="e">
        <f>VLOOKUP($C521,'Daily_BU설비데이터 '!$C$20:$T$1000,8,0)</f>
        <v>#N/A</v>
      </c>
      <c r="K521" s="58" t="e">
        <f>VLOOKUP($C521,'Daily_BU설비데이터 '!$C$20:$T$1000,9,0)</f>
        <v>#N/A</v>
      </c>
      <c r="L521" s="59" t="e">
        <f t="shared" si="55"/>
        <v>#N/A</v>
      </c>
      <c r="M521" s="68" t="e">
        <f>VLOOKUP($C521,'Daily_BU설비데이터 '!$C$20:$T$1000,11,0)</f>
        <v>#N/A</v>
      </c>
      <c r="N521" s="68" t="e">
        <f>VLOOKUP($C521,'Daily_BU설비데이터 '!$C$20:$T$1000,12,0)</f>
        <v>#N/A</v>
      </c>
      <c r="O521" s="68" t="e">
        <f>VLOOKUP($C521,'Daily_BU설비데이터 '!$C$20:$T$1000,13,0)</f>
        <v>#N/A</v>
      </c>
      <c r="P521" s="68" t="e">
        <f>VLOOKUP($C521,'Daily_BU설비데이터 '!$C$20:$T$1000,14,0)</f>
        <v>#N/A</v>
      </c>
      <c r="Q521" s="99" t="e">
        <f t="shared" si="56"/>
        <v>#N/A</v>
      </c>
      <c r="R521" s="100" t="e">
        <f t="shared" si="57"/>
        <v>#N/A</v>
      </c>
      <c r="S521" s="83" t="e">
        <f>VLOOKUP($C521,'Daily_BU설비데이터 '!$C$20:$T$1000,17,0)</f>
        <v>#N/A</v>
      </c>
      <c r="T521" s="83" t="e">
        <f>VLOOKUP($C521,'Daily_BU설비데이터 '!$C$20:$T$1000,18,0)</f>
        <v>#N/A</v>
      </c>
      <c r="U521" s="101" t="e">
        <f t="shared" si="58"/>
        <v>#N/A</v>
      </c>
      <c r="V521" s="45"/>
      <c r="W521" s="45"/>
      <c r="X521" s="45"/>
      <c r="Y521" s="45"/>
      <c r="Z521" s="45"/>
      <c r="AA521" s="45"/>
    </row>
    <row r="522" spans="2:27" x14ac:dyDescent="0.45">
      <c r="B522" s="45" t="s">
        <v>328</v>
      </c>
      <c r="C522" s="90"/>
      <c r="D522" s="56"/>
      <c r="E522" s="84"/>
      <c r="F522" s="58" t="e">
        <f>VLOOKUP($C522,'Daily_BU설비데이터 '!$C$20:$T$1000,4,0)</f>
        <v>#N/A</v>
      </c>
      <c r="G522" s="58" t="e">
        <f>VLOOKUP($C522,'Daily_BU설비데이터 '!$C$20:$T$1000,5,0)</f>
        <v>#N/A</v>
      </c>
      <c r="H522" s="58" t="e">
        <f>VLOOKUP($C522,'Daily_BU설비데이터 '!$C$20:$T$1000,6,0)</f>
        <v>#N/A</v>
      </c>
      <c r="I522" s="58" t="e">
        <f>VLOOKUP($C522,'Daily_BU설비데이터 '!$C$20:$T$1000,7,0)</f>
        <v>#N/A</v>
      </c>
      <c r="J522" s="58" t="e">
        <f>VLOOKUP($C522,'Daily_BU설비데이터 '!$C$20:$T$1000,8,0)</f>
        <v>#N/A</v>
      </c>
      <c r="K522" s="58" t="e">
        <f>VLOOKUP($C522,'Daily_BU설비데이터 '!$C$20:$T$1000,9,0)</f>
        <v>#N/A</v>
      </c>
      <c r="L522" s="59" t="e">
        <f t="shared" si="55"/>
        <v>#N/A</v>
      </c>
      <c r="M522" s="68" t="e">
        <f>VLOOKUP($C522,'Daily_BU설비데이터 '!$C$20:$T$1000,11,0)</f>
        <v>#N/A</v>
      </c>
      <c r="N522" s="68" t="e">
        <f>VLOOKUP($C522,'Daily_BU설비데이터 '!$C$20:$T$1000,12,0)</f>
        <v>#N/A</v>
      </c>
      <c r="O522" s="68" t="e">
        <f>VLOOKUP($C522,'Daily_BU설비데이터 '!$C$20:$T$1000,13,0)</f>
        <v>#N/A</v>
      </c>
      <c r="P522" s="68" t="e">
        <f>VLOOKUP($C522,'Daily_BU설비데이터 '!$C$20:$T$1000,14,0)</f>
        <v>#N/A</v>
      </c>
      <c r="Q522" s="99" t="e">
        <f t="shared" si="56"/>
        <v>#N/A</v>
      </c>
      <c r="R522" s="100" t="e">
        <f t="shared" si="57"/>
        <v>#N/A</v>
      </c>
      <c r="S522" s="83" t="e">
        <f>VLOOKUP($C522,'Daily_BU설비데이터 '!$C$20:$T$1000,17,0)</f>
        <v>#N/A</v>
      </c>
      <c r="T522" s="83" t="e">
        <f>VLOOKUP($C522,'Daily_BU설비데이터 '!$C$20:$T$1000,18,0)</f>
        <v>#N/A</v>
      </c>
      <c r="U522" s="101" t="e">
        <f t="shared" si="58"/>
        <v>#N/A</v>
      </c>
      <c r="V522" s="45"/>
      <c r="W522" s="45"/>
      <c r="X522" s="45"/>
      <c r="Y522" s="45"/>
      <c r="Z522" s="45"/>
      <c r="AA522" s="45"/>
    </row>
    <row r="523" spans="2:27" x14ac:dyDescent="0.45">
      <c r="B523" s="45" t="s">
        <v>329</v>
      </c>
      <c r="C523" s="90"/>
      <c r="D523" s="56"/>
      <c r="E523" s="57"/>
      <c r="F523" s="58" t="e">
        <f>VLOOKUP($C523,'Daily_BU설비데이터 '!$C$20:$T$1000,4,0)</f>
        <v>#N/A</v>
      </c>
      <c r="G523" s="58" t="e">
        <f>VLOOKUP($C523,'Daily_BU설비데이터 '!$C$20:$T$1000,5,0)</f>
        <v>#N/A</v>
      </c>
      <c r="H523" s="58" t="e">
        <f>VLOOKUP($C523,'Daily_BU설비데이터 '!$C$20:$T$1000,6,0)</f>
        <v>#N/A</v>
      </c>
      <c r="I523" s="58" t="e">
        <f>VLOOKUP($C523,'Daily_BU설비데이터 '!$C$20:$T$1000,7,0)</f>
        <v>#N/A</v>
      </c>
      <c r="J523" s="58" t="e">
        <f>VLOOKUP($C523,'Daily_BU설비데이터 '!$C$20:$T$1000,8,0)</f>
        <v>#N/A</v>
      </c>
      <c r="K523" s="58" t="e">
        <f>VLOOKUP($C523,'Daily_BU설비데이터 '!$C$20:$T$1000,9,0)</f>
        <v>#N/A</v>
      </c>
      <c r="L523" s="59" t="e">
        <f t="shared" si="55"/>
        <v>#N/A</v>
      </c>
      <c r="M523" s="68" t="e">
        <f>VLOOKUP($C523,'Daily_BU설비데이터 '!$C$20:$T$1000,11,0)</f>
        <v>#N/A</v>
      </c>
      <c r="N523" s="68" t="e">
        <f>VLOOKUP($C523,'Daily_BU설비데이터 '!$C$20:$T$1000,12,0)</f>
        <v>#N/A</v>
      </c>
      <c r="O523" s="68" t="e">
        <f>VLOOKUP($C523,'Daily_BU설비데이터 '!$C$20:$T$1000,13,0)</f>
        <v>#N/A</v>
      </c>
      <c r="P523" s="68" t="e">
        <f>VLOOKUP($C523,'Daily_BU설비데이터 '!$C$20:$T$1000,14,0)</f>
        <v>#N/A</v>
      </c>
      <c r="Q523" s="99" t="e">
        <f t="shared" si="56"/>
        <v>#N/A</v>
      </c>
      <c r="R523" s="100" t="e">
        <f t="shared" si="57"/>
        <v>#N/A</v>
      </c>
      <c r="S523" s="83" t="e">
        <f>VLOOKUP($C523,'Daily_BU설비데이터 '!$C$20:$T$1000,17,0)</f>
        <v>#N/A</v>
      </c>
      <c r="T523" s="83" t="e">
        <f>VLOOKUP($C523,'Daily_BU설비데이터 '!$C$20:$T$1000,18,0)</f>
        <v>#N/A</v>
      </c>
      <c r="U523" s="101" t="e">
        <f t="shared" si="58"/>
        <v>#N/A</v>
      </c>
      <c r="V523" s="45"/>
      <c r="W523" s="45"/>
      <c r="X523" s="45"/>
      <c r="Y523" s="45"/>
      <c r="Z523" s="45"/>
      <c r="AA523" s="45"/>
    </row>
    <row r="524" spans="2:27" x14ac:dyDescent="0.45">
      <c r="B524" s="45" t="s">
        <v>330</v>
      </c>
      <c r="C524" s="90"/>
      <c r="D524" s="56"/>
      <c r="E524" s="80"/>
      <c r="F524" s="58" t="e">
        <f>VLOOKUP($C524,'Daily_BU설비데이터 '!$C$20:$T$1000,4,0)</f>
        <v>#N/A</v>
      </c>
      <c r="G524" s="58" t="e">
        <f>VLOOKUP($C524,'Daily_BU설비데이터 '!$C$20:$T$1000,5,0)</f>
        <v>#N/A</v>
      </c>
      <c r="H524" s="58" t="e">
        <f>VLOOKUP($C524,'Daily_BU설비데이터 '!$C$20:$T$1000,6,0)</f>
        <v>#N/A</v>
      </c>
      <c r="I524" s="58" t="e">
        <f>VLOOKUP($C524,'Daily_BU설비데이터 '!$C$20:$T$1000,7,0)</f>
        <v>#N/A</v>
      </c>
      <c r="J524" s="58" t="e">
        <f>VLOOKUP($C524,'Daily_BU설비데이터 '!$C$20:$T$1000,8,0)</f>
        <v>#N/A</v>
      </c>
      <c r="K524" s="58" t="e">
        <f>VLOOKUP($C524,'Daily_BU설비데이터 '!$C$20:$T$1000,9,0)</f>
        <v>#N/A</v>
      </c>
      <c r="L524" s="59" t="e">
        <f t="shared" si="55"/>
        <v>#N/A</v>
      </c>
      <c r="M524" s="68" t="e">
        <f>VLOOKUP($C524,'Daily_BU설비데이터 '!$C$20:$T$1000,11,0)</f>
        <v>#N/A</v>
      </c>
      <c r="N524" s="68" t="e">
        <f>VLOOKUP($C524,'Daily_BU설비데이터 '!$C$20:$T$1000,12,0)</f>
        <v>#N/A</v>
      </c>
      <c r="O524" s="68" t="e">
        <f>VLOOKUP($C524,'Daily_BU설비데이터 '!$C$20:$T$1000,13,0)</f>
        <v>#N/A</v>
      </c>
      <c r="P524" s="68" t="e">
        <f>VLOOKUP($C524,'Daily_BU설비데이터 '!$C$20:$T$1000,14,0)</f>
        <v>#N/A</v>
      </c>
      <c r="Q524" s="99" t="e">
        <f t="shared" si="56"/>
        <v>#N/A</v>
      </c>
      <c r="R524" s="100" t="e">
        <f t="shared" si="57"/>
        <v>#N/A</v>
      </c>
      <c r="S524" s="83" t="e">
        <f>VLOOKUP($C524,'Daily_BU설비데이터 '!$C$20:$T$1000,17,0)</f>
        <v>#N/A</v>
      </c>
      <c r="T524" s="83" t="e">
        <f>VLOOKUP($C524,'Daily_BU설비데이터 '!$C$20:$T$1000,18,0)</f>
        <v>#N/A</v>
      </c>
      <c r="U524" s="101" t="e">
        <f t="shared" si="58"/>
        <v>#N/A</v>
      </c>
      <c r="V524" s="45"/>
      <c r="W524" s="45"/>
      <c r="X524" s="45"/>
      <c r="Y524" s="45"/>
      <c r="Z524" s="45"/>
      <c r="AA524" s="45"/>
    </row>
    <row r="525" spans="2:27" x14ac:dyDescent="0.45">
      <c r="B525" s="45" t="s">
        <v>331</v>
      </c>
      <c r="C525" s="90"/>
      <c r="D525" s="56"/>
      <c r="E525" s="84"/>
      <c r="F525" s="58" t="e">
        <f>VLOOKUP($C525,'Daily_BU설비데이터 '!$C$20:$T$1000,4,0)</f>
        <v>#N/A</v>
      </c>
      <c r="G525" s="58" t="e">
        <f>VLOOKUP($C525,'Daily_BU설비데이터 '!$C$20:$T$1000,5,0)</f>
        <v>#N/A</v>
      </c>
      <c r="H525" s="58" t="e">
        <f>VLOOKUP($C525,'Daily_BU설비데이터 '!$C$20:$T$1000,6,0)</f>
        <v>#N/A</v>
      </c>
      <c r="I525" s="58" t="e">
        <f>VLOOKUP($C525,'Daily_BU설비데이터 '!$C$20:$T$1000,7,0)</f>
        <v>#N/A</v>
      </c>
      <c r="J525" s="58" t="e">
        <f>VLOOKUP($C525,'Daily_BU설비데이터 '!$C$20:$T$1000,8,0)</f>
        <v>#N/A</v>
      </c>
      <c r="K525" s="58" t="e">
        <f>VLOOKUP($C525,'Daily_BU설비데이터 '!$C$20:$T$1000,9,0)</f>
        <v>#N/A</v>
      </c>
      <c r="L525" s="59" t="e">
        <f t="shared" si="55"/>
        <v>#N/A</v>
      </c>
      <c r="M525" s="68" t="e">
        <f>VLOOKUP($C525,'Daily_BU설비데이터 '!$C$20:$T$1000,11,0)</f>
        <v>#N/A</v>
      </c>
      <c r="N525" s="68" t="e">
        <f>VLOOKUP($C525,'Daily_BU설비데이터 '!$C$20:$T$1000,12,0)</f>
        <v>#N/A</v>
      </c>
      <c r="O525" s="68" t="e">
        <f>VLOOKUP($C525,'Daily_BU설비데이터 '!$C$20:$T$1000,13,0)</f>
        <v>#N/A</v>
      </c>
      <c r="P525" s="68" t="e">
        <f>VLOOKUP($C525,'Daily_BU설비데이터 '!$C$20:$T$1000,14,0)</f>
        <v>#N/A</v>
      </c>
      <c r="Q525" s="99" t="e">
        <f t="shared" si="56"/>
        <v>#N/A</v>
      </c>
      <c r="R525" s="100" t="e">
        <f t="shared" si="57"/>
        <v>#N/A</v>
      </c>
      <c r="S525" s="83" t="e">
        <f>VLOOKUP($C525,'Daily_BU설비데이터 '!$C$20:$T$1000,17,0)</f>
        <v>#N/A</v>
      </c>
      <c r="T525" s="83" t="e">
        <f>VLOOKUP($C525,'Daily_BU설비데이터 '!$C$20:$T$1000,18,0)</f>
        <v>#N/A</v>
      </c>
      <c r="U525" s="101" t="e">
        <f t="shared" si="58"/>
        <v>#N/A</v>
      </c>
      <c r="V525" s="45"/>
      <c r="W525" s="45"/>
      <c r="X525" s="45"/>
      <c r="Y525" s="45"/>
      <c r="Z525" s="45"/>
      <c r="AA525" s="45"/>
    </row>
    <row r="526" spans="2:27" x14ac:dyDescent="0.45">
      <c r="B526" s="45" t="s">
        <v>332</v>
      </c>
      <c r="C526" s="90"/>
      <c r="D526" s="56"/>
      <c r="E526" s="57"/>
      <c r="F526" s="58" t="e">
        <f>VLOOKUP($C526,'Daily_BU설비데이터 '!$C$20:$T$1000,4,0)</f>
        <v>#N/A</v>
      </c>
      <c r="G526" s="58" t="e">
        <f>VLOOKUP($C526,'Daily_BU설비데이터 '!$C$20:$T$1000,5,0)</f>
        <v>#N/A</v>
      </c>
      <c r="H526" s="58" t="e">
        <f>VLOOKUP($C526,'Daily_BU설비데이터 '!$C$20:$T$1000,6,0)</f>
        <v>#N/A</v>
      </c>
      <c r="I526" s="58" t="e">
        <f>VLOOKUP($C526,'Daily_BU설비데이터 '!$C$20:$T$1000,7,0)</f>
        <v>#N/A</v>
      </c>
      <c r="J526" s="58" t="e">
        <f>VLOOKUP($C526,'Daily_BU설비데이터 '!$C$20:$T$1000,8,0)</f>
        <v>#N/A</v>
      </c>
      <c r="K526" s="58" t="e">
        <f>VLOOKUP($C526,'Daily_BU설비데이터 '!$C$20:$T$1000,9,0)</f>
        <v>#N/A</v>
      </c>
      <c r="L526" s="59" t="e">
        <f t="shared" si="55"/>
        <v>#N/A</v>
      </c>
      <c r="M526" s="68" t="e">
        <f>VLOOKUP($C526,'Daily_BU설비데이터 '!$C$20:$T$1000,11,0)</f>
        <v>#N/A</v>
      </c>
      <c r="N526" s="68" t="e">
        <f>VLOOKUP($C526,'Daily_BU설비데이터 '!$C$20:$T$1000,12,0)</f>
        <v>#N/A</v>
      </c>
      <c r="O526" s="68" t="e">
        <f>VLOOKUP($C526,'Daily_BU설비데이터 '!$C$20:$T$1000,13,0)</f>
        <v>#N/A</v>
      </c>
      <c r="P526" s="68" t="e">
        <f>VLOOKUP($C526,'Daily_BU설비데이터 '!$C$20:$T$1000,14,0)</f>
        <v>#N/A</v>
      </c>
      <c r="Q526" s="99" t="e">
        <f t="shared" si="56"/>
        <v>#N/A</v>
      </c>
      <c r="R526" s="100" t="e">
        <f t="shared" si="57"/>
        <v>#N/A</v>
      </c>
      <c r="S526" s="83" t="e">
        <f>VLOOKUP($C526,'Daily_BU설비데이터 '!$C$20:$T$1000,17,0)</f>
        <v>#N/A</v>
      </c>
      <c r="T526" s="83" t="e">
        <f>VLOOKUP($C526,'Daily_BU설비데이터 '!$C$20:$T$1000,18,0)</f>
        <v>#N/A</v>
      </c>
      <c r="U526" s="101" t="e">
        <f t="shared" si="58"/>
        <v>#N/A</v>
      </c>
      <c r="V526" s="45"/>
      <c r="W526" s="45"/>
      <c r="X526" s="45"/>
      <c r="Y526" s="45"/>
      <c r="Z526" s="45"/>
      <c r="AA526" s="45"/>
    </row>
    <row r="527" spans="2:27" x14ac:dyDescent="0.45">
      <c r="B527" s="45" t="s">
        <v>333</v>
      </c>
      <c r="C527" s="90"/>
      <c r="D527" s="56"/>
      <c r="E527" s="80"/>
      <c r="F527" s="58" t="e">
        <f>VLOOKUP($C527,'Daily_BU설비데이터 '!$C$20:$T$1000,4,0)</f>
        <v>#N/A</v>
      </c>
      <c r="G527" s="58" t="e">
        <f>VLOOKUP($C527,'Daily_BU설비데이터 '!$C$20:$T$1000,5,0)</f>
        <v>#N/A</v>
      </c>
      <c r="H527" s="58" t="e">
        <f>VLOOKUP($C527,'Daily_BU설비데이터 '!$C$20:$T$1000,6,0)</f>
        <v>#N/A</v>
      </c>
      <c r="I527" s="58" t="e">
        <f>VLOOKUP($C527,'Daily_BU설비데이터 '!$C$20:$T$1000,7,0)</f>
        <v>#N/A</v>
      </c>
      <c r="J527" s="58" t="e">
        <f>VLOOKUP($C527,'Daily_BU설비데이터 '!$C$20:$T$1000,8,0)</f>
        <v>#N/A</v>
      </c>
      <c r="K527" s="58" t="e">
        <f>VLOOKUP($C527,'Daily_BU설비데이터 '!$C$20:$T$1000,9,0)</f>
        <v>#N/A</v>
      </c>
      <c r="L527" s="59" t="e">
        <f t="shared" si="55"/>
        <v>#N/A</v>
      </c>
      <c r="M527" s="68" t="e">
        <f>VLOOKUP($C527,'Daily_BU설비데이터 '!$C$20:$T$1000,11,0)</f>
        <v>#N/A</v>
      </c>
      <c r="N527" s="68" t="e">
        <f>VLOOKUP($C527,'Daily_BU설비데이터 '!$C$20:$T$1000,12,0)</f>
        <v>#N/A</v>
      </c>
      <c r="O527" s="68" t="e">
        <f>VLOOKUP($C527,'Daily_BU설비데이터 '!$C$20:$T$1000,13,0)</f>
        <v>#N/A</v>
      </c>
      <c r="P527" s="68" t="e">
        <f>VLOOKUP($C527,'Daily_BU설비데이터 '!$C$20:$T$1000,14,0)</f>
        <v>#N/A</v>
      </c>
      <c r="Q527" s="99" t="e">
        <f t="shared" si="56"/>
        <v>#N/A</v>
      </c>
      <c r="R527" s="100" t="e">
        <f t="shared" si="57"/>
        <v>#N/A</v>
      </c>
      <c r="S527" s="83" t="e">
        <f>VLOOKUP($C527,'Daily_BU설비데이터 '!$C$20:$T$1000,17,0)</f>
        <v>#N/A</v>
      </c>
      <c r="T527" s="83" t="e">
        <f>VLOOKUP($C527,'Daily_BU설비데이터 '!$C$20:$T$1000,18,0)</f>
        <v>#N/A</v>
      </c>
      <c r="U527" s="101" t="e">
        <f t="shared" si="58"/>
        <v>#N/A</v>
      </c>
      <c r="V527" s="45"/>
      <c r="W527" s="45"/>
      <c r="X527" s="45"/>
      <c r="Y527" s="45"/>
      <c r="Z527" s="45"/>
      <c r="AA527" s="45"/>
    </row>
    <row r="528" spans="2:27" x14ac:dyDescent="0.45">
      <c r="B528" s="45" t="s">
        <v>334</v>
      </c>
      <c r="C528" s="90"/>
      <c r="D528" s="56"/>
      <c r="E528" s="57"/>
      <c r="F528" s="58" t="e">
        <f>VLOOKUP($C528,'Daily_BU설비데이터 '!$C$20:$T$1000,4,0)</f>
        <v>#N/A</v>
      </c>
      <c r="G528" s="58" t="e">
        <f>VLOOKUP($C528,'Daily_BU설비데이터 '!$C$20:$T$1000,5,0)</f>
        <v>#N/A</v>
      </c>
      <c r="H528" s="58" t="e">
        <f>VLOOKUP($C528,'Daily_BU설비데이터 '!$C$20:$T$1000,6,0)</f>
        <v>#N/A</v>
      </c>
      <c r="I528" s="58" t="e">
        <f>VLOOKUP($C528,'Daily_BU설비데이터 '!$C$20:$T$1000,7,0)</f>
        <v>#N/A</v>
      </c>
      <c r="J528" s="58" t="e">
        <f>VLOOKUP($C528,'Daily_BU설비데이터 '!$C$20:$T$1000,8,0)</f>
        <v>#N/A</v>
      </c>
      <c r="K528" s="58" t="e">
        <f>VLOOKUP($C528,'Daily_BU설비데이터 '!$C$20:$T$1000,9,0)</f>
        <v>#N/A</v>
      </c>
      <c r="L528" s="59" t="e">
        <f t="shared" si="55"/>
        <v>#N/A</v>
      </c>
      <c r="M528" s="68" t="e">
        <f>VLOOKUP($C528,'Daily_BU설비데이터 '!$C$20:$T$1000,11,0)</f>
        <v>#N/A</v>
      </c>
      <c r="N528" s="68" t="e">
        <f>VLOOKUP($C528,'Daily_BU설비데이터 '!$C$20:$T$1000,12,0)</f>
        <v>#N/A</v>
      </c>
      <c r="O528" s="68" t="e">
        <f>VLOOKUP($C528,'Daily_BU설비데이터 '!$C$20:$T$1000,13,0)</f>
        <v>#N/A</v>
      </c>
      <c r="P528" s="68" t="e">
        <f>VLOOKUP($C528,'Daily_BU설비데이터 '!$C$20:$T$1000,14,0)</f>
        <v>#N/A</v>
      </c>
      <c r="Q528" s="99" t="e">
        <f t="shared" si="56"/>
        <v>#N/A</v>
      </c>
      <c r="R528" s="100" t="e">
        <f t="shared" si="57"/>
        <v>#N/A</v>
      </c>
      <c r="S528" s="83" t="e">
        <f>VLOOKUP($C528,'Daily_BU설비데이터 '!$C$20:$T$1000,17,0)</f>
        <v>#N/A</v>
      </c>
      <c r="T528" s="83" t="e">
        <f>VLOOKUP($C528,'Daily_BU설비데이터 '!$C$20:$T$1000,18,0)</f>
        <v>#N/A</v>
      </c>
      <c r="U528" s="101" t="e">
        <f t="shared" si="58"/>
        <v>#N/A</v>
      </c>
      <c r="V528" s="45"/>
      <c r="W528" s="45"/>
      <c r="X528" s="45"/>
      <c r="Y528" s="45"/>
      <c r="Z528" s="45"/>
      <c r="AA528" s="45"/>
    </row>
    <row r="529" spans="2:27" x14ac:dyDescent="0.45">
      <c r="B529" s="45" t="s">
        <v>335</v>
      </c>
      <c r="C529" s="90"/>
      <c r="D529" s="56"/>
      <c r="E529" s="80"/>
      <c r="F529" s="58" t="e">
        <f>VLOOKUP($C529,'Daily_BU설비데이터 '!$C$20:$T$1000,4,0)</f>
        <v>#N/A</v>
      </c>
      <c r="G529" s="58" t="e">
        <f>VLOOKUP($C529,'Daily_BU설비데이터 '!$C$20:$T$1000,5,0)</f>
        <v>#N/A</v>
      </c>
      <c r="H529" s="58" t="e">
        <f>VLOOKUP($C529,'Daily_BU설비데이터 '!$C$20:$T$1000,6,0)</f>
        <v>#N/A</v>
      </c>
      <c r="I529" s="58" t="e">
        <f>VLOOKUP($C529,'Daily_BU설비데이터 '!$C$20:$T$1000,7,0)</f>
        <v>#N/A</v>
      </c>
      <c r="J529" s="58" t="e">
        <f>VLOOKUP($C529,'Daily_BU설비데이터 '!$C$20:$T$1000,8,0)</f>
        <v>#N/A</v>
      </c>
      <c r="K529" s="58" t="e">
        <f>VLOOKUP($C529,'Daily_BU설비데이터 '!$C$20:$T$1000,9,0)</f>
        <v>#N/A</v>
      </c>
      <c r="L529" s="59" t="e">
        <f t="shared" si="55"/>
        <v>#N/A</v>
      </c>
      <c r="M529" s="68" t="e">
        <f>VLOOKUP($C529,'Daily_BU설비데이터 '!$C$20:$T$1000,11,0)</f>
        <v>#N/A</v>
      </c>
      <c r="N529" s="68" t="e">
        <f>VLOOKUP($C529,'Daily_BU설비데이터 '!$C$20:$T$1000,12,0)</f>
        <v>#N/A</v>
      </c>
      <c r="O529" s="68" t="e">
        <f>VLOOKUP($C529,'Daily_BU설비데이터 '!$C$20:$T$1000,13,0)</f>
        <v>#N/A</v>
      </c>
      <c r="P529" s="68" t="e">
        <f>VLOOKUP($C529,'Daily_BU설비데이터 '!$C$20:$T$1000,14,0)</f>
        <v>#N/A</v>
      </c>
      <c r="Q529" s="99" t="e">
        <f t="shared" si="56"/>
        <v>#N/A</v>
      </c>
      <c r="R529" s="100" t="e">
        <f t="shared" si="57"/>
        <v>#N/A</v>
      </c>
      <c r="S529" s="83" t="e">
        <f>VLOOKUP($C529,'Daily_BU설비데이터 '!$C$20:$T$1000,17,0)</f>
        <v>#N/A</v>
      </c>
      <c r="T529" s="83" t="e">
        <f>VLOOKUP($C529,'Daily_BU설비데이터 '!$C$20:$T$1000,18,0)</f>
        <v>#N/A</v>
      </c>
      <c r="U529" s="101" t="e">
        <f t="shared" si="58"/>
        <v>#N/A</v>
      </c>
      <c r="V529" s="45"/>
      <c r="W529" s="45"/>
      <c r="X529" s="45"/>
      <c r="Y529" s="45"/>
      <c r="Z529" s="45"/>
      <c r="AA529" s="45"/>
    </row>
    <row r="530" spans="2:27" x14ac:dyDescent="0.45">
      <c r="B530" s="45" t="s">
        <v>336</v>
      </c>
      <c r="C530" s="90"/>
      <c r="D530" s="56"/>
      <c r="E530" s="84"/>
      <c r="F530" s="58" t="e">
        <f>VLOOKUP($C530,'Daily_BU설비데이터 '!$C$20:$T$1000,4,0)</f>
        <v>#N/A</v>
      </c>
      <c r="G530" s="58" t="e">
        <f>VLOOKUP($C530,'Daily_BU설비데이터 '!$C$20:$T$1000,5,0)</f>
        <v>#N/A</v>
      </c>
      <c r="H530" s="58" t="e">
        <f>VLOOKUP($C530,'Daily_BU설비데이터 '!$C$20:$T$1000,6,0)</f>
        <v>#N/A</v>
      </c>
      <c r="I530" s="58" t="e">
        <f>VLOOKUP($C530,'Daily_BU설비데이터 '!$C$20:$T$1000,7,0)</f>
        <v>#N/A</v>
      </c>
      <c r="J530" s="58" t="e">
        <f>VLOOKUP($C530,'Daily_BU설비데이터 '!$C$20:$T$1000,8,0)</f>
        <v>#N/A</v>
      </c>
      <c r="K530" s="58" t="e">
        <f>VLOOKUP($C530,'Daily_BU설비데이터 '!$C$20:$T$1000,9,0)</f>
        <v>#N/A</v>
      </c>
      <c r="L530" s="59" t="e">
        <f t="shared" ref="L530:L593" si="59">1/2*((F530*I530+H530*K530+J530*G530)-(G530*H530+I530*J530+K530*F530))/0.1582*100</f>
        <v>#N/A</v>
      </c>
      <c r="M530" s="68" t="e">
        <f>VLOOKUP($C530,'Daily_BU설비데이터 '!$C$20:$T$1000,11,0)</f>
        <v>#N/A</v>
      </c>
      <c r="N530" s="68" t="e">
        <f>VLOOKUP($C530,'Daily_BU설비데이터 '!$C$20:$T$1000,12,0)</f>
        <v>#N/A</v>
      </c>
      <c r="O530" s="68" t="e">
        <f>VLOOKUP($C530,'Daily_BU설비데이터 '!$C$20:$T$1000,13,0)</f>
        <v>#N/A</v>
      </c>
      <c r="P530" s="68" t="e">
        <f>VLOOKUP($C530,'Daily_BU설비데이터 '!$C$20:$T$1000,14,0)</f>
        <v>#N/A</v>
      </c>
      <c r="Q530" s="99" t="e">
        <f t="shared" ref="Q530:Q593" si="60">O530/P530</f>
        <v>#N/A</v>
      </c>
      <c r="R530" s="100" t="e">
        <f t="shared" ref="R530:R593" si="61">SQRT(POWER(M530-$M$12,2)+POWER(N530-$N$12,2))</f>
        <v>#N/A</v>
      </c>
      <c r="S530" s="83" t="e">
        <f>VLOOKUP($C530,'Daily_BU설비데이터 '!$C$20:$T$1000,17,0)</f>
        <v>#N/A</v>
      </c>
      <c r="T530" s="83" t="e">
        <f>VLOOKUP($C530,'Daily_BU설비데이터 '!$C$20:$T$1000,18,0)</f>
        <v>#N/A</v>
      </c>
      <c r="U530" s="101" t="e">
        <f t="shared" ref="U530:U593" si="62">(-449*((M530-0.332)/(N530-0.1858))^3)+(3525*((M530-0.332)/(N530-0.1858))^2)+(-6823.3*(M530-0.332)/(N530-0.1858))+5520.33</f>
        <v>#N/A</v>
      </c>
      <c r="V530" s="45"/>
      <c r="W530" s="45"/>
      <c r="X530" s="45"/>
      <c r="Y530" s="45"/>
      <c r="Z530" s="45"/>
      <c r="AA530" s="45"/>
    </row>
    <row r="531" spans="2:27" x14ac:dyDescent="0.45">
      <c r="B531" s="45" t="s">
        <v>337</v>
      </c>
      <c r="C531" s="90"/>
      <c r="D531" s="56"/>
      <c r="E531" s="57"/>
      <c r="F531" s="58" t="e">
        <f>VLOOKUP($C531,'Daily_BU설비데이터 '!$C$20:$T$1000,4,0)</f>
        <v>#N/A</v>
      </c>
      <c r="G531" s="58" t="e">
        <f>VLOOKUP($C531,'Daily_BU설비데이터 '!$C$20:$T$1000,5,0)</f>
        <v>#N/A</v>
      </c>
      <c r="H531" s="58" t="e">
        <f>VLOOKUP($C531,'Daily_BU설비데이터 '!$C$20:$T$1000,6,0)</f>
        <v>#N/A</v>
      </c>
      <c r="I531" s="58" t="e">
        <f>VLOOKUP($C531,'Daily_BU설비데이터 '!$C$20:$T$1000,7,0)</f>
        <v>#N/A</v>
      </c>
      <c r="J531" s="58" t="e">
        <f>VLOOKUP($C531,'Daily_BU설비데이터 '!$C$20:$T$1000,8,0)</f>
        <v>#N/A</v>
      </c>
      <c r="K531" s="58" t="e">
        <f>VLOOKUP($C531,'Daily_BU설비데이터 '!$C$20:$T$1000,9,0)</f>
        <v>#N/A</v>
      </c>
      <c r="L531" s="59" t="e">
        <f t="shared" si="59"/>
        <v>#N/A</v>
      </c>
      <c r="M531" s="68" t="e">
        <f>VLOOKUP($C531,'Daily_BU설비데이터 '!$C$20:$T$1000,11,0)</f>
        <v>#N/A</v>
      </c>
      <c r="N531" s="68" t="e">
        <f>VLOOKUP($C531,'Daily_BU설비데이터 '!$C$20:$T$1000,12,0)</f>
        <v>#N/A</v>
      </c>
      <c r="O531" s="68" t="e">
        <f>VLOOKUP($C531,'Daily_BU설비데이터 '!$C$20:$T$1000,13,0)</f>
        <v>#N/A</v>
      </c>
      <c r="P531" s="68" t="e">
        <f>VLOOKUP($C531,'Daily_BU설비데이터 '!$C$20:$T$1000,14,0)</f>
        <v>#N/A</v>
      </c>
      <c r="Q531" s="99" t="e">
        <f t="shared" si="60"/>
        <v>#N/A</v>
      </c>
      <c r="R531" s="100" t="e">
        <f t="shared" si="61"/>
        <v>#N/A</v>
      </c>
      <c r="S531" s="83" t="e">
        <f>VLOOKUP($C531,'Daily_BU설비데이터 '!$C$20:$T$1000,17,0)</f>
        <v>#N/A</v>
      </c>
      <c r="T531" s="83" t="e">
        <f>VLOOKUP($C531,'Daily_BU설비데이터 '!$C$20:$T$1000,18,0)</f>
        <v>#N/A</v>
      </c>
      <c r="U531" s="101" t="e">
        <f t="shared" si="62"/>
        <v>#N/A</v>
      </c>
      <c r="V531" s="45"/>
      <c r="W531" s="45"/>
      <c r="X531" s="45"/>
      <c r="Y531" s="45"/>
      <c r="Z531" s="45"/>
      <c r="AA531" s="45"/>
    </row>
    <row r="532" spans="2:27" x14ac:dyDescent="0.45">
      <c r="B532" s="45" t="s">
        <v>338</v>
      </c>
      <c r="C532" s="90"/>
      <c r="D532" s="56"/>
      <c r="E532" s="80"/>
      <c r="F532" s="58" t="e">
        <f>VLOOKUP($C532,'Daily_BU설비데이터 '!$C$20:$T$1000,4,0)</f>
        <v>#N/A</v>
      </c>
      <c r="G532" s="58" t="e">
        <f>VLOOKUP($C532,'Daily_BU설비데이터 '!$C$20:$T$1000,5,0)</f>
        <v>#N/A</v>
      </c>
      <c r="H532" s="58" t="e">
        <f>VLOOKUP($C532,'Daily_BU설비데이터 '!$C$20:$T$1000,6,0)</f>
        <v>#N/A</v>
      </c>
      <c r="I532" s="58" t="e">
        <f>VLOOKUP($C532,'Daily_BU설비데이터 '!$C$20:$T$1000,7,0)</f>
        <v>#N/A</v>
      </c>
      <c r="J532" s="58" t="e">
        <f>VLOOKUP($C532,'Daily_BU설비데이터 '!$C$20:$T$1000,8,0)</f>
        <v>#N/A</v>
      </c>
      <c r="K532" s="58" t="e">
        <f>VLOOKUP($C532,'Daily_BU설비데이터 '!$C$20:$T$1000,9,0)</f>
        <v>#N/A</v>
      </c>
      <c r="L532" s="59" t="e">
        <f t="shared" si="59"/>
        <v>#N/A</v>
      </c>
      <c r="M532" s="68" t="e">
        <f>VLOOKUP($C532,'Daily_BU설비데이터 '!$C$20:$T$1000,11,0)</f>
        <v>#N/A</v>
      </c>
      <c r="N532" s="68" t="e">
        <f>VLOOKUP($C532,'Daily_BU설비데이터 '!$C$20:$T$1000,12,0)</f>
        <v>#N/A</v>
      </c>
      <c r="O532" s="68" t="e">
        <f>VLOOKUP($C532,'Daily_BU설비데이터 '!$C$20:$T$1000,13,0)</f>
        <v>#N/A</v>
      </c>
      <c r="P532" s="68" t="e">
        <f>VLOOKUP($C532,'Daily_BU설비데이터 '!$C$20:$T$1000,14,0)</f>
        <v>#N/A</v>
      </c>
      <c r="Q532" s="99" t="e">
        <f t="shared" si="60"/>
        <v>#N/A</v>
      </c>
      <c r="R532" s="100" t="e">
        <f t="shared" si="61"/>
        <v>#N/A</v>
      </c>
      <c r="S532" s="83" t="e">
        <f>VLOOKUP($C532,'Daily_BU설비데이터 '!$C$20:$T$1000,17,0)</f>
        <v>#N/A</v>
      </c>
      <c r="T532" s="83" t="e">
        <f>VLOOKUP($C532,'Daily_BU설비데이터 '!$C$20:$T$1000,18,0)</f>
        <v>#N/A</v>
      </c>
      <c r="U532" s="101" t="e">
        <f t="shared" si="62"/>
        <v>#N/A</v>
      </c>
      <c r="V532" s="45"/>
      <c r="W532" s="45"/>
      <c r="X532" s="45"/>
      <c r="Y532" s="45"/>
      <c r="Z532" s="45"/>
      <c r="AA532" s="45"/>
    </row>
    <row r="533" spans="2:27" x14ac:dyDescent="0.45">
      <c r="B533" s="45" t="s">
        <v>339</v>
      </c>
      <c r="C533" s="90"/>
      <c r="D533" s="56"/>
      <c r="E533" s="84"/>
      <c r="F533" s="58" t="e">
        <f>VLOOKUP($C533,'Daily_BU설비데이터 '!$C$20:$T$1000,4,0)</f>
        <v>#N/A</v>
      </c>
      <c r="G533" s="58" t="e">
        <f>VLOOKUP($C533,'Daily_BU설비데이터 '!$C$20:$T$1000,5,0)</f>
        <v>#N/A</v>
      </c>
      <c r="H533" s="58" t="e">
        <f>VLOOKUP($C533,'Daily_BU설비데이터 '!$C$20:$T$1000,6,0)</f>
        <v>#N/A</v>
      </c>
      <c r="I533" s="58" t="e">
        <f>VLOOKUP($C533,'Daily_BU설비데이터 '!$C$20:$T$1000,7,0)</f>
        <v>#N/A</v>
      </c>
      <c r="J533" s="58" t="e">
        <f>VLOOKUP($C533,'Daily_BU설비데이터 '!$C$20:$T$1000,8,0)</f>
        <v>#N/A</v>
      </c>
      <c r="K533" s="58" t="e">
        <f>VLOOKUP($C533,'Daily_BU설비데이터 '!$C$20:$T$1000,9,0)</f>
        <v>#N/A</v>
      </c>
      <c r="L533" s="59" t="e">
        <f t="shared" si="59"/>
        <v>#N/A</v>
      </c>
      <c r="M533" s="68" t="e">
        <f>VLOOKUP($C533,'Daily_BU설비데이터 '!$C$20:$T$1000,11,0)</f>
        <v>#N/A</v>
      </c>
      <c r="N533" s="68" t="e">
        <f>VLOOKUP($C533,'Daily_BU설비데이터 '!$C$20:$T$1000,12,0)</f>
        <v>#N/A</v>
      </c>
      <c r="O533" s="68" t="e">
        <f>VLOOKUP($C533,'Daily_BU설비데이터 '!$C$20:$T$1000,13,0)</f>
        <v>#N/A</v>
      </c>
      <c r="P533" s="68" t="e">
        <f>VLOOKUP($C533,'Daily_BU설비데이터 '!$C$20:$T$1000,14,0)</f>
        <v>#N/A</v>
      </c>
      <c r="Q533" s="99" t="e">
        <f t="shared" si="60"/>
        <v>#N/A</v>
      </c>
      <c r="R533" s="100" t="e">
        <f t="shared" si="61"/>
        <v>#N/A</v>
      </c>
      <c r="S533" s="83" t="e">
        <f>VLOOKUP($C533,'Daily_BU설비데이터 '!$C$20:$T$1000,17,0)</f>
        <v>#N/A</v>
      </c>
      <c r="T533" s="83" t="e">
        <f>VLOOKUP($C533,'Daily_BU설비데이터 '!$C$20:$T$1000,18,0)</f>
        <v>#N/A</v>
      </c>
      <c r="U533" s="101" t="e">
        <f t="shared" si="62"/>
        <v>#N/A</v>
      </c>
      <c r="V533" s="45"/>
      <c r="W533" s="45"/>
      <c r="X533" s="45"/>
      <c r="Y533" s="45"/>
      <c r="Z533" s="45"/>
      <c r="AA533" s="45"/>
    </row>
    <row r="534" spans="2:27" x14ac:dyDescent="0.45">
      <c r="B534" s="45" t="s">
        <v>340</v>
      </c>
      <c r="C534" s="90"/>
      <c r="D534" s="56"/>
      <c r="E534" s="57"/>
      <c r="F534" s="58" t="e">
        <f>VLOOKUP($C534,'Daily_BU설비데이터 '!$C$20:$T$1000,4,0)</f>
        <v>#N/A</v>
      </c>
      <c r="G534" s="58" t="e">
        <f>VLOOKUP($C534,'Daily_BU설비데이터 '!$C$20:$T$1000,5,0)</f>
        <v>#N/A</v>
      </c>
      <c r="H534" s="58" t="e">
        <f>VLOOKUP($C534,'Daily_BU설비데이터 '!$C$20:$T$1000,6,0)</f>
        <v>#N/A</v>
      </c>
      <c r="I534" s="58" t="e">
        <f>VLOOKUP($C534,'Daily_BU설비데이터 '!$C$20:$T$1000,7,0)</f>
        <v>#N/A</v>
      </c>
      <c r="J534" s="58" t="e">
        <f>VLOOKUP($C534,'Daily_BU설비데이터 '!$C$20:$T$1000,8,0)</f>
        <v>#N/A</v>
      </c>
      <c r="K534" s="58" t="e">
        <f>VLOOKUP($C534,'Daily_BU설비데이터 '!$C$20:$T$1000,9,0)</f>
        <v>#N/A</v>
      </c>
      <c r="L534" s="59" t="e">
        <f t="shared" si="59"/>
        <v>#N/A</v>
      </c>
      <c r="M534" s="68" t="e">
        <f>VLOOKUP($C534,'Daily_BU설비데이터 '!$C$20:$T$1000,11,0)</f>
        <v>#N/A</v>
      </c>
      <c r="N534" s="68" t="e">
        <f>VLOOKUP($C534,'Daily_BU설비데이터 '!$C$20:$T$1000,12,0)</f>
        <v>#N/A</v>
      </c>
      <c r="O534" s="68" t="e">
        <f>VLOOKUP($C534,'Daily_BU설비데이터 '!$C$20:$T$1000,13,0)</f>
        <v>#N/A</v>
      </c>
      <c r="P534" s="68" t="e">
        <f>VLOOKUP($C534,'Daily_BU설비데이터 '!$C$20:$T$1000,14,0)</f>
        <v>#N/A</v>
      </c>
      <c r="Q534" s="99" t="e">
        <f t="shared" si="60"/>
        <v>#N/A</v>
      </c>
      <c r="R534" s="100" t="e">
        <f t="shared" si="61"/>
        <v>#N/A</v>
      </c>
      <c r="S534" s="83" t="e">
        <f>VLOOKUP($C534,'Daily_BU설비데이터 '!$C$20:$T$1000,17,0)</f>
        <v>#N/A</v>
      </c>
      <c r="T534" s="83" t="e">
        <f>VLOOKUP($C534,'Daily_BU설비데이터 '!$C$20:$T$1000,18,0)</f>
        <v>#N/A</v>
      </c>
      <c r="U534" s="101" t="e">
        <f t="shared" si="62"/>
        <v>#N/A</v>
      </c>
      <c r="V534" s="45"/>
      <c r="W534" s="45"/>
      <c r="X534" s="45"/>
      <c r="Y534" s="45"/>
      <c r="Z534" s="45"/>
      <c r="AA534" s="45"/>
    </row>
    <row r="535" spans="2:27" x14ac:dyDescent="0.45">
      <c r="B535" s="45" t="s">
        <v>341</v>
      </c>
      <c r="C535" s="90"/>
      <c r="D535" s="56"/>
      <c r="E535" s="80"/>
      <c r="F535" s="58" t="e">
        <f>VLOOKUP($C535,'Daily_BU설비데이터 '!$C$20:$T$1000,4,0)</f>
        <v>#N/A</v>
      </c>
      <c r="G535" s="58" t="e">
        <f>VLOOKUP($C535,'Daily_BU설비데이터 '!$C$20:$T$1000,5,0)</f>
        <v>#N/A</v>
      </c>
      <c r="H535" s="58" t="e">
        <f>VLOOKUP($C535,'Daily_BU설비데이터 '!$C$20:$T$1000,6,0)</f>
        <v>#N/A</v>
      </c>
      <c r="I535" s="58" t="e">
        <f>VLOOKUP($C535,'Daily_BU설비데이터 '!$C$20:$T$1000,7,0)</f>
        <v>#N/A</v>
      </c>
      <c r="J535" s="58" t="e">
        <f>VLOOKUP($C535,'Daily_BU설비데이터 '!$C$20:$T$1000,8,0)</f>
        <v>#N/A</v>
      </c>
      <c r="K535" s="58" t="e">
        <f>VLOOKUP($C535,'Daily_BU설비데이터 '!$C$20:$T$1000,9,0)</f>
        <v>#N/A</v>
      </c>
      <c r="L535" s="59" t="e">
        <f t="shared" si="59"/>
        <v>#N/A</v>
      </c>
      <c r="M535" s="68" t="e">
        <f>VLOOKUP($C535,'Daily_BU설비데이터 '!$C$20:$T$1000,11,0)</f>
        <v>#N/A</v>
      </c>
      <c r="N535" s="68" t="e">
        <f>VLOOKUP($C535,'Daily_BU설비데이터 '!$C$20:$T$1000,12,0)</f>
        <v>#N/A</v>
      </c>
      <c r="O535" s="68" t="e">
        <f>VLOOKUP($C535,'Daily_BU설비데이터 '!$C$20:$T$1000,13,0)</f>
        <v>#N/A</v>
      </c>
      <c r="P535" s="68" t="e">
        <f>VLOOKUP($C535,'Daily_BU설비데이터 '!$C$20:$T$1000,14,0)</f>
        <v>#N/A</v>
      </c>
      <c r="Q535" s="99" t="e">
        <f t="shared" si="60"/>
        <v>#N/A</v>
      </c>
      <c r="R535" s="100" t="e">
        <f t="shared" si="61"/>
        <v>#N/A</v>
      </c>
      <c r="S535" s="83" t="e">
        <f>VLOOKUP($C535,'Daily_BU설비데이터 '!$C$20:$T$1000,17,0)</f>
        <v>#N/A</v>
      </c>
      <c r="T535" s="83" t="e">
        <f>VLOOKUP($C535,'Daily_BU설비데이터 '!$C$20:$T$1000,18,0)</f>
        <v>#N/A</v>
      </c>
      <c r="U535" s="101" t="e">
        <f t="shared" si="62"/>
        <v>#N/A</v>
      </c>
      <c r="V535" s="45"/>
      <c r="W535" s="45"/>
      <c r="X535" s="45"/>
      <c r="Y535" s="45"/>
      <c r="Z535" s="45"/>
      <c r="AA535" s="45"/>
    </row>
    <row r="536" spans="2:27" x14ac:dyDescent="0.45">
      <c r="B536" s="45" t="s">
        <v>342</v>
      </c>
      <c r="C536" s="90"/>
      <c r="D536" s="56"/>
      <c r="E536" s="84"/>
      <c r="F536" s="58" t="e">
        <f>VLOOKUP($C536,'Daily_BU설비데이터 '!$C$20:$T$1000,4,0)</f>
        <v>#N/A</v>
      </c>
      <c r="G536" s="58" t="e">
        <f>VLOOKUP($C536,'Daily_BU설비데이터 '!$C$20:$T$1000,5,0)</f>
        <v>#N/A</v>
      </c>
      <c r="H536" s="58" t="e">
        <f>VLOOKUP($C536,'Daily_BU설비데이터 '!$C$20:$T$1000,6,0)</f>
        <v>#N/A</v>
      </c>
      <c r="I536" s="58" t="e">
        <f>VLOOKUP($C536,'Daily_BU설비데이터 '!$C$20:$T$1000,7,0)</f>
        <v>#N/A</v>
      </c>
      <c r="J536" s="58" t="e">
        <f>VLOOKUP($C536,'Daily_BU설비데이터 '!$C$20:$T$1000,8,0)</f>
        <v>#N/A</v>
      </c>
      <c r="K536" s="58" t="e">
        <f>VLOOKUP($C536,'Daily_BU설비데이터 '!$C$20:$T$1000,9,0)</f>
        <v>#N/A</v>
      </c>
      <c r="L536" s="59" t="e">
        <f t="shared" si="59"/>
        <v>#N/A</v>
      </c>
      <c r="M536" s="68" t="e">
        <f>VLOOKUP($C536,'Daily_BU설비데이터 '!$C$20:$T$1000,11,0)</f>
        <v>#N/A</v>
      </c>
      <c r="N536" s="68" t="e">
        <f>VLOOKUP($C536,'Daily_BU설비데이터 '!$C$20:$T$1000,12,0)</f>
        <v>#N/A</v>
      </c>
      <c r="O536" s="68" t="e">
        <f>VLOOKUP($C536,'Daily_BU설비데이터 '!$C$20:$T$1000,13,0)</f>
        <v>#N/A</v>
      </c>
      <c r="P536" s="68" t="e">
        <f>VLOOKUP($C536,'Daily_BU설비데이터 '!$C$20:$T$1000,14,0)</f>
        <v>#N/A</v>
      </c>
      <c r="Q536" s="99" t="e">
        <f t="shared" si="60"/>
        <v>#N/A</v>
      </c>
      <c r="R536" s="100" t="e">
        <f t="shared" si="61"/>
        <v>#N/A</v>
      </c>
      <c r="S536" s="83" t="e">
        <f>VLOOKUP($C536,'Daily_BU설비데이터 '!$C$20:$T$1000,17,0)</f>
        <v>#N/A</v>
      </c>
      <c r="T536" s="83" t="e">
        <f>VLOOKUP($C536,'Daily_BU설비데이터 '!$C$20:$T$1000,18,0)</f>
        <v>#N/A</v>
      </c>
      <c r="U536" s="101" t="e">
        <f t="shared" si="62"/>
        <v>#N/A</v>
      </c>
      <c r="V536" s="45"/>
      <c r="W536" s="45"/>
      <c r="X536" s="45"/>
      <c r="Y536" s="45"/>
      <c r="Z536" s="45"/>
      <c r="AA536" s="45"/>
    </row>
    <row r="537" spans="2:27" x14ac:dyDescent="0.45">
      <c r="B537" s="45" t="s">
        <v>343</v>
      </c>
      <c r="C537" s="90"/>
      <c r="D537" s="56"/>
      <c r="E537" s="57"/>
      <c r="F537" s="58" t="e">
        <f>VLOOKUP($C537,'Daily_BU설비데이터 '!$C$20:$T$1000,4,0)</f>
        <v>#N/A</v>
      </c>
      <c r="G537" s="58" t="e">
        <f>VLOOKUP($C537,'Daily_BU설비데이터 '!$C$20:$T$1000,5,0)</f>
        <v>#N/A</v>
      </c>
      <c r="H537" s="58" t="e">
        <f>VLOOKUP($C537,'Daily_BU설비데이터 '!$C$20:$T$1000,6,0)</f>
        <v>#N/A</v>
      </c>
      <c r="I537" s="58" t="e">
        <f>VLOOKUP($C537,'Daily_BU설비데이터 '!$C$20:$T$1000,7,0)</f>
        <v>#N/A</v>
      </c>
      <c r="J537" s="58" t="e">
        <f>VLOOKUP($C537,'Daily_BU설비데이터 '!$C$20:$T$1000,8,0)</f>
        <v>#N/A</v>
      </c>
      <c r="K537" s="58" t="e">
        <f>VLOOKUP($C537,'Daily_BU설비데이터 '!$C$20:$T$1000,9,0)</f>
        <v>#N/A</v>
      </c>
      <c r="L537" s="59" t="e">
        <f t="shared" si="59"/>
        <v>#N/A</v>
      </c>
      <c r="M537" s="68" t="e">
        <f>VLOOKUP($C537,'Daily_BU설비데이터 '!$C$20:$T$1000,11,0)</f>
        <v>#N/A</v>
      </c>
      <c r="N537" s="68" t="e">
        <f>VLOOKUP($C537,'Daily_BU설비데이터 '!$C$20:$T$1000,12,0)</f>
        <v>#N/A</v>
      </c>
      <c r="O537" s="68" t="e">
        <f>VLOOKUP($C537,'Daily_BU설비데이터 '!$C$20:$T$1000,13,0)</f>
        <v>#N/A</v>
      </c>
      <c r="P537" s="68" t="e">
        <f>VLOOKUP($C537,'Daily_BU설비데이터 '!$C$20:$T$1000,14,0)</f>
        <v>#N/A</v>
      </c>
      <c r="Q537" s="99" t="e">
        <f t="shared" si="60"/>
        <v>#N/A</v>
      </c>
      <c r="R537" s="100" t="e">
        <f t="shared" si="61"/>
        <v>#N/A</v>
      </c>
      <c r="S537" s="83" t="e">
        <f>VLOOKUP($C537,'Daily_BU설비데이터 '!$C$20:$T$1000,17,0)</f>
        <v>#N/A</v>
      </c>
      <c r="T537" s="83" t="e">
        <f>VLOOKUP($C537,'Daily_BU설비데이터 '!$C$20:$T$1000,18,0)</f>
        <v>#N/A</v>
      </c>
      <c r="U537" s="101" t="e">
        <f t="shared" si="62"/>
        <v>#N/A</v>
      </c>
      <c r="V537" s="45"/>
      <c r="W537" s="45"/>
      <c r="X537" s="45"/>
      <c r="Y537" s="45"/>
      <c r="Z537" s="45"/>
      <c r="AA537" s="45"/>
    </row>
    <row r="538" spans="2:27" x14ac:dyDescent="0.45">
      <c r="B538" s="45" t="s">
        <v>344</v>
      </c>
      <c r="C538" s="90"/>
      <c r="D538" s="56"/>
      <c r="E538" s="80"/>
      <c r="F538" s="58" t="e">
        <f>VLOOKUP($C538,'Daily_BU설비데이터 '!$C$20:$T$1000,4,0)</f>
        <v>#N/A</v>
      </c>
      <c r="G538" s="58" t="e">
        <f>VLOOKUP($C538,'Daily_BU설비데이터 '!$C$20:$T$1000,5,0)</f>
        <v>#N/A</v>
      </c>
      <c r="H538" s="58" t="e">
        <f>VLOOKUP($C538,'Daily_BU설비데이터 '!$C$20:$T$1000,6,0)</f>
        <v>#N/A</v>
      </c>
      <c r="I538" s="58" t="e">
        <f>VLOOKUP($C538,'Daily_BU설비데이터 '!$C$20:$T$1000,7,0)</f>
        <v>#N/A</v>
      </c>
      <c r="J538" s="58" t="e">
        <f>VLOOKUP($C538,'Daily_BU설비데이터 '!$C$20:$T$1000,8,0)</f>
        <v>#N/A</v>
      </c>
      <c r="K538" s="58" t="e">
        <f>VLOOKUP($C538,'Daily_BU설비데이터 '!$C$20:$T$1000,9,0)</f>
        <v>#N/A</v>
      </c>
      <c r="L538" s="59" t="e">
        <f t="shared" si="59"/>
        <v>#N/A</v>
      </c>
      <c r="M538" s="68" t="e">
        <f>VLOOKUP($C538,'Daily_BU설비데이터 '!$C$20:$T$1000,11,0)</f>
        <v>#N/A</v>
      </c>
      <c r="N538" s="68" t="e">
        <f>VLOOKUP($C538,'Daily_BU설비데이터 '!$C$20:$T$1000,12,0)</f>
        <v>#N/A</v>
      </c>
      <c r="O538" s="68" t="e">
        <f>VLOOKUP($C538,'Daily_BU설비데이터 '!$C$20:$T$1000,13,0)</f>
        <v>#N/A</v>
      </c>
      <c r="P538" s="68" t="e">
        <f>VLOOKUP($C538,'Daily_BU설비데이터 '!$C$20:$T$1000,14,0)</f>
        <v>#N/A</v>
      </c>
      <c r="Q538" s="99" t="e">
        <f t="shared" si="60"/>
        <v>#N/A</v>
      </c>
      <c r="R538" s="100" t="e">
        <f t="shared" si="61"/>
        <v>#N/A</v>
      </c>
      <c r="S538" s="83" t="e">
        <f>VLOOKUP($C538,'Daily_BU설비데이터 '!$C$20:$T$1000,17,0)</f>
        <v>#N/A</v>
      </c>
      <c r="T538" s="83" t="e">
        <f>VLOOKUP($C538,'Daily_BU설비데이터 '!$C$20:$T$1000,18,0)</f>
        <v>#N/A</v>
      </c>
      <c r="U538" s="101" t="e">
        <f t="shared" si="62"/>
        <v>#N/A</v>
      </c>
      <c r="V538" s="45"/>
      <c r="W538" s="45"/>
      <c r="X538" s="45"/>
      <c r="Y538" s="45"/>
      <c r="Z538" s="45"/>
      <c r="AA538" s="45"/>
    </row>
    <row r="539" spans="2:27" x14ac:dyDescent="0.45">
      <c r="B539" s="45" t="s">
        <v>345</v>
      </c>
      <c r="C539" s="90"/>
      <c r="D539" s="56"/>
      <c r="E539" s="84"/>
      <c r="F539" s="58" t="e">
        <f>VLOOKUP($C539,'Daily_BU설비데이터 '!$C$20:$T$1000,4,0)</f>
        <v>#N/A</v>
      </c>
      <c r="G539" s="58" t="e">
        <f>VLOOKUP($C539,'Daily_BU설비데이터 '!$C$20:$T$1000,5,0)</f>
        <v>#N/A</v>
      </c>
      <c r="H539" s="58" t="e">
        <f>VLOOKUP($C539,'Daily_BU설비데이터 '!$C$20:$T$1000,6,0)</f>
        <v>#N/A</v>
      </c>
      <c r="I539" s="58" t="e">
        <f>VLOOKUP($C539,'Daily_BU설비데이터 '!$C$20:$T$1000,7,0)</f>
        <v>#N/A</v>
      </c>
      <c r="J539" s="58" t="e">
        <f>VLOOKUP($C539,'Daily_BU설비데이터 '!$C$20:$T$1000,8,0)</f>
        <v>#N/A</v>
      </c>
      <c r="K539" s="58" t="e">
        <f>VLOOKUP($C539,'Daily_BU설비데이터 '!$C$20:$T$1000,9,0)</f>
        <v>#N/A</v>
      </c>
      <c r="L539" s="59" t="e">
        <f t="shared" si="59"/>
        <v>#N/A</v>
      </c>
      <c r="M539" s="68" t="e">
        <f>VLOOKUP($C539,'Daily_BU설비데이터 '!$C$20:$T$1000,11,0)</f>
        <v>#N/A</v>
      </c>
      <c r="N539" s="68" t="e">
        <f>VLOOKUP($C539,'Daily_BU설비데이터 '!$C$20:$T$1000,12,0)</f>
        <v>#N/A</v>
      </c>
      <c r="O539" s="68" t="e">
        <f>VLOOKUP($C539,'Daily_BU설비데이터 '!$C$20:$T$1000,13,0)</f>
        <v>#N/A</v>
      </c>
      <c r="P539" s="68" t="e">
        <f>VLOOKUP($C539,'Daily_BU설비데이터 '!$C$20:$T$1000,14,0)</f>
        <v>#N/A</v>
      </c>
      <c r="Q539" s="99" t="e">
        <f t="shared" si="60"/>
        <v>#N/A</v>
      </c>
      <c r="R539" s="100" t="e">
        <f t="shared" si="61"/>
        <v>#N/A</v>
      </c>
      <c r="S539" s="83" t="e">
        <f>VLOOKUP($C539,'Daily_BU설비데이터 '!$C$20:$T$1000,17,0)</f>
        <v>#N/A</v>
      </c>
      <c r="T539" s="83" t="e">
        <f>VLOOKUP($C539,'Daily_BU설비데이터 '!$C$20:$T$1000,18,0)</f>
        <v>#N/A</v>
      </c>
      <c r="U539" s="101" t="e">
        <f t="shared" si="62"/>
        <v>#N/A</v>
      </c>
      <c r="V539" s="45"/>
      <c r="W539" s="45"/>
      <c r="X539" s="45"/>
      <c r="Y539" s="45"/>
      <c r="Z539" s="45"/>
      <c r="AA539" s="45"/>
    </row>
    <row r="540" spans="2:27" x14ac:dyDescent="0.45">
      <c r="B540" s="45" t="s">
        <v>346</v>
      </c>
      <c r="C540" s="90"/>
      <c r="D540" s="56"/>
      <c r="E540" s="57"/>
      <c r="F540" s="58" t="e">
        <f>VLOOKUP($C540,'Daily_BU설비데이터 '!$C$20:$T$1000,4,0)</f>
        <v>#N/A</v>
      </c>
      <c r="G540" s="58" t="e">
        <f>VLOOKUP($C540,'Daily_BU설비데이터 '!$C$20:$T$1000,5,0)</f>
        <v>#N/A</v>
      </c>
      <c r="H540" s="58" t="e">
        <f>VLOOKUP($C540,'Daily_BU설비데이터 '!$C$20:$T$1000,6,0)</f>
        <v>#N/A</v>
      </c>
      <c r="I540" s="58" t="e">
        <f>VLOOKUP($C540,'Daily_BU설비데이터 '!$C$20:$T$1000,7,0)</f>
        <v>#N/A</v>
      </c>
      <c r="J540" s="58" t="e">
        <f>VLOOKUP($C540,'Daily_BU설비데이터 '!$C$20:$T$1000,8,0)</f>
        <v>#N/A</v>
      </c>
      <c r="K540" s="58" t="e">
        <f>VLOOKUP($C540,'Daily_BU설비데이터 '!$C$20:$T$1000,9,0)</f>
        <v>#N/A</v>
      </c>
      <c r="L540" s="59" t="e">
        <f t="shared" si="59"/>
        <v>#N/A</v>
      </c>
      <c r="M540" s="68" t="e">
        <f>VLOOKUP($C540,'Daily_BU설비데이터 '!$C$20:$T$1000,11,0)</f>
        <v>#N/A</v>
      </c>
      <c r="N540" s="68" t="e">
        <f>VLOOKUP($C540,'Daily_BU설비데이터 '!$C$20:$T$1000,12,0)</f>
        <v>#N/A</v>
      </c>
      <c r="O540" s="68" t="e">
        <f>VLOOKUP($C540,'Daily_BU설비데이터 '!$C$20:$T$1000,13,0)</f>
        <v>#N/A</v>
      </c>
      <c r="P540" s="68" t="e">
        <f>VLOOKUP($C540,'Daily_BU설비데이터 '!$C$20:$T$1000,14,0)</f>
        <v>#N/A</v>
      </c>
      <c r="Q540" s="99" t="e">
        <f t="shared" si="60"/>
        <v>#N/A</v>
      </c>
      <c r="R540" s="100" t="e">
        <f t="shared" si="61"/>
        <v>#N/A</v>
      </c>
      <c r="S540" s="83" t="e">
        <f>VLOOKUP($C540,'Daily_BU설비데이터 '!$C$20:$T$1000,17,0)</f>
        <v>#N/A</v>
      </c>
      <c r="T540" s="83" t="e">
        <f>VLOOKUP($C540,'Daily_BU설비데이터 '!$C$20:$T$1000,18,0)</f>
        <v>#N/A</v>
      </c>
      <c r="U540" s="101" t="e">
        <f t="shared" si="62"/>
        <v>#N/A</v>
      </c>
      <c r="V540" s="45"/>
      <c r="W540" s="45"/>
      <c r="X540" s="45"/>
      <c r="Y540" s="45"/>
      <c r="Z540" s="45"/>
      <c r="AA540" s="45"/>
    </row>
    <row r="541" spans="2:27" x14ac:dyDescent="0.45">
      <c r="B541" s="45" t="s">
        <v>347</v>
      </c>
      <c r="C541" s="90"/>
      <c r="D541" s="56"/>
      <c r="E541" s="80"/>
      <c r="F541" s="58" t="e">
        <f>VLOOKUP($C541,'Daily_BU설비데이터 '!$C$20:$T$1000,4,0)</f>
        <v>#N/A</v>
      </c>
      <c r="G541" s="58" t="e">
        <f>VLOOKUP($C541,'Daily_BU설비데이터 '!$C$20:$T$1000,5,0)</f>
        <v>#N/A</v>
      </c>
      <c r="H541" s="58" t="e">
        <f>VLOOKUP($C541,'Daily_BU설비데이터 '!$C$20:$T$1000,6,0)</f>
        <v>#N/A</v>
      </c>
      <c r="I541" s="58" t="e">
        <f>VLOOKUP($C541,'Daily_BU설비데이터 '!$C$20:$T$1000,7,0)</f>
        <v>#N/A</v>
      </c>
      <c r="J541" s="58" t="e">
        <f>VLOOKUP($C541,'Daily_BU설비데이터 '!$C$20:$T$1000,8,0)</f>
        <v>#N/A</v>
      </c>
      <c r="K541" s="58" t="e">
        <f>VLOOKUP($C541,'Daily_BU설비데이터 '!$C$20:$T$1000,9,0)</f>
        <v>#N/A</v>
      </c>
      <c r="L541" s="59" t="e">
        <f t="shared" si="59"/>
        <v>#N/A</v>
      </c>
      <c r="M541" s="68" t="e">
        <f>VLOOKUP($C541,'Daily_BU설비데이터 '!$C$20:$T$1000,11,0)</f>
        <v>#N/A</v>
      </c>
      <c r="N541" s="68" t="e">
        <f>VLOOKUP($C541,'Daily_BU설비데이터 '!$C$20:$T$1000,12,0)</f>
        <v>#N/A</v>
      </c>
      <c r="O541" s="68" t="e">
        <f>VLOOKUP($C541,'Daily_BU설비데이터 '!$C$20:$T$1000,13,0)</f>
        <v>#N/A</v>
      </c>
      <c r="P541" s="68" t="e">
        <f>VLOOKUP($C541,'Daily_BU설비데이터 '!$C$20:$T$1000,14,0)</f>
        <v>#N/A</v>
      </c>
      <c r="Q541" s="99" t="e">
        <f t="shared" si="60"/>
        <v>#N/A</v>
      </c>
      <c r="R541" s="100" t="e">
        <f t="shared" si="61"/>
        <v>#N/A</v>
      </c>
      <c r="S541" s="83" t="e">
        <f>VLOOKUP($C541,'Daily_BU설비데이터 '!$C$20:$T$1000,17,0)</f>
        <v>#N/A</v>
      </c>
      <c r="T541" s="83" t="e">
        <f>VLOOKUP($C541,'Daily_BU설비데이터 '!$C$20:$T$1000,18,0)</f>
        <v>#N/A</v>
      </c>
      <c r="U541" s="101" t="e">
        <f t="shared" si="62"/>
        <v>#N/A</v>
      </c>
      <c r="V541" s="45"/>
      <c r="W541" s="45"/>
      <c r="X541" s="45"/>
      <c r="Y541" s="45"/>
      <c r="Z541" s="45"/>
      <c r="AA541" s="45"/>
    </row>
    <row r="542" spans="2:27" x14ac:dyDescent="0.45">
      <c r="B542" s="45" t="s">
        <v>348</v>
      </c>
      <c r="C542" s="90"/>
      <c r="D542" s="56"/>
      <c r="E542" s="84"/>
      <c r="F542" s="58" t="e">
        <f>VLOOKUP($C542,'Daily_BU설비데이터 '!$C$20:$T$1000,4,0)</f>
        <v>#N/A</v>
      </c>
      <c r="G542" s="58" t="e">
        <f>VLOOKUP($C542,'Daily_BU설비데이터 '!$C$20:$T$1000,5,0)</f>
        <v>#N/A</v>
      </c>
      <c r="H542" s="58" t="e">
        <f>VLOOKUP($C542,'Daily_BU설비데이터 '!$C$20:$T$1000,6,0)</f>
        <v>#N/A</v>
      </c>
      <c r="I542" s="58" t="e">
        <f>VLOOKUP($C542,'Daily_BU설비데이터 '!$C$20:$T$1000,7,0)</f>
        <v>#N/A</v>
      </c>
      <c r="J542" s="58" t="e">
        <f>VLOOKUP($C542,'Daily_BU설비데이터 '!$C$20:$T$1000,8,0)</f>
        <v>#N/A</v>
      </c>
      <c r="K542" s="58" t="e">
        <f>VLOOKUP($C542,'Daily_BU설비데이터 '!$C$20:$T$1000,9,0)</f>
        <v>#N/A</v>
      </c>
      <c r="L542" s="59" t="e">
        <f t="shared" si="59"/>
        <v>#N/A</v>
      </c>
      <c r="M542" s="68" t="e">
        <f>VLOOKUP($C542,'Daily_BU설비데이터 '!$C$20:$T$1000,11,0)</f>
        <v>#N/A</v>
      </c>
      <c r="N542" s="68" t="e">
        <f>VLOOKUP($C542,'Daily_BU설비데이터 '!$C$20:$T$1000,12,0)</f>
        <v>#N/A</v>
      </c>
      <c r="O542" s="68" t="e">
        <f>VLOOKUP($C542,'Daily_BU설비데이터 '!$C$20:$T$1000,13,0)</f>
        <v>#N/A</v>
      </c>
      <c r="P542" s="68" t="e">
        <f>VLOOKUP($C542,'Daily_BU설비데이터 '!$C$20:$T$1000,14,0)</f>
        <v>#N/A</v>
      </c>
      <c r="Q542" s="99" t="e">
        <f t="shared" si="60"/>
        <v>#N/A</v>
      </c>
      <c r="R542" s="100" t="e">
        <f t="shared" si="61"/>
        <v>#N/A</v>
      </c>
      <c r="S542" s="83" t="e">
        <f>VLOOKUP($C542,'Daily_BU설비데이터 '!$C$20:$T$1000,17,0)</f>
        <v>#N/A</v>
      </c>
      <c r="T542" s="83" t="e">
        <f>VLOOKUP($C542,'Daily_BU설비데이터 '!$C$20:$T$1000,18,0)</f>
        <v>#N/A</v>
      </c>
      <c r="U542" s="101" t="e">
        <f t="shared" si="62"/>
        <v>#N/A</v>
      </c>
      <c r="V542" s="45"/>
      <c r="W542" s="45"/>
      <c r="X542" s="45"/>
      <c r="Y542" s="45"/>
      <c r="Z542" s="45"/>
      <c r="AA542" s="45"/>
    </row>
    <row r="543" spans="2:27" x14ac:dyDescent="0.45">
      <c r="B543" s="45" t="s">
        <v>349</v>
      </c>
      <c r="C543" s="90"/>
      <c r="D543" s="56"/>
      <c r="E543" s="57"/>
      <c r="F543" s="58" t="e">
        <f>VLOOKUP($C543,'Daily_BU설비데이터 '!$C$20:$T$1000,4,0)</f>
        <v>#N/A</v>
      </c>
      <c r="G543" s="58" t="e">
        <f>VLOOKUP($C543,'Daily_BU설비데이터 '!$C$20:$T$1000,5,0)</f>
        <v>#N/A</v>
      </c>
      <c r="H543" s="58" t="e">
        <f>VLOOKUP($C543,'Daily_BU설비데이터 '!$C$20:$T$1000,6,0)</f>
        <v>#N/A</v>
      </c>
      <c r="I543" s="58" t="e">
        <f>VLOOKUP($C543,'Daily_BU설비데이터 '!$C$20:$T$1000,7,0)</f>
        <v>#N/A</v>
      </c>
      <c r="J543" s="58" t="e">
        <f>VLOOKUP($C543,'Daily_BU설비데이터 '!$C$20:$T$1000,8,0)</f>
        <v>#N/A</v>
      </c>
      <c r="K543" s="58" t="e">
        <f>VLOOKUP($C543,'Daily_BU설비데이터 '!$C$20:$T$1000,9,0)</f>
        <v>#N/A</v>
      </c>
      <c r="L543" s="59" t="e">
        <f t="shared" si="59"/>
        <v>#N/A</v>
      </c>
      <c r="M543" s="68" t="e">
        <f>VLOOKUP($C543,'Daily_BU설비데이터 '!$C$20:$T$1000,11,0)</f>
        <v>#N/A</v>
      </c>
      <c r="N543" s="68" t="e">
        <f>VLOOKUP($C543,'Daily_BU설비데이터 '!$C$20:$T$1000,12,0)</f>
        <v>#N/A</v>
      </c>
      <c r="O543" s="68" t="e">
        <f>VLOOKUP($C543,'Daily_BU설비데이터 '!$C$20:$T$1000,13,0)</f>
        <v>#N/A</v>
      </c>
      <c r="P543" s="68" t="e">
        <f>VLOOKUP($C543,'Daily_BU설비데이터 '!$C$20:$T$1000,14,0)</f>
        <v>#N/A</v>
      </c>
      <c r="Q543" s="99" t="e">
        <f t="shared" si="60"/>
        <v>#N/A</v>
      </c>
      <c r="R543" s="100" t="e">
        <f t="shared" si="61"/>
        <v>#N/A</v>
      </c>
      <c r="S543" s="83" t="e">
        <f>VLOOKUP($C543,'Daily_BU설비데이터 '!$C$20:$T$1000,17,0)</f>
        <v>#N/A</v>
      </c>
      <c r="T543" s="83" t="e">
        <f>VLOOKUP($C543,'Daily_BU설비데이터 '!$C$20:$T$1000,18,0)</f>
        <v>#N/A</v>
      </c>
      <c r="U543" s="101" t="e">
        <f t="shared" si="62"/>
        <v>#N/A</v>
      </c>
      <c r="V543" s="45"/>
      <c r="W543" s="45"/>
      <c r="X543" s="45"/>
      <c r="Y543" s="45"/>
      <c r="Z543" s="45"/>
      <c r="AA543" s="45"/>
    </row>
    <row r="544" spans="2:27" x14ac:dyDescent="0.45">
      <c r="B544" s="45" t="s">
        <v>350</v>
      </c>
      <c r="C544" s="90"/>
      <c r="D544" s="56"/>
      <c r="E544" s="80"/>
      <c r="F544" s="58" t="e">
        <f>VLOOKUP($C544,'Daily_BU설비데이터 '!$C$20:$T$1000,4,0)</f>
        <v>#N/A</v>
      </c>
      <c r="G544" s="58" t="e">
        <f>VLOOKUP($C544,'Daily_BU설비데이터 '!$C$20:$T$1000,5,0)</f>
        <v>#N/A</v>
      </c>
      <c r="H544" s="58" t="e">
        <f>VLOOKUP($C544,'Daily_BU설비데이터 '!$C$20:$T$1000,6,0)</f>
        <v>#N/A</v>
      </c>
      <c r="I544" s="58" t="e">
        <f>VLOOKUP($C544,'Daily_BU설비데이터 '!$C$20:$T$1000,7,0)</f>
        <v>#N/A</v>
      </c>
      <c r="J544" s="58" t="e">
        <f>VLOOKUP($C544,'Daily_BU설비데이터 '!$C$20:$T$1000,8,0)</f>
        <v>#N/A</v>
      </c>
      <c r="K544" s="58" t="e">
        <f>VLOOKUP($C544,'Daily_BU설비데이터 '!$C$20:$T$1000,9,0)</f>
        <v>#N/A</v>
      </c>
      <c r="L544" s="59" t="e">
        <f t="shared" si="59"/>
        <v>#N/A</v>
      </c>
      <c r="M544" s="68" t="e">
        <f>VLOOKUP($C544,'Daily_BU설비데이터 '!$C$20:$T$1000,11,0)</f>
        <v>#N/A</v>
      </c>
      <c r="N544" s="68" t="e">
        <f>VLOOKUP($C544,'Daily_BU설비데이터 '!$C$20:$T$1000,12,0)</f>
        <v>#N/A</v>
      </c>
      <c r="O544" s="68" t="e">
        <f>VLOOKUP($C544,'Daily_BU설비데이터 '!$C$20:$T$1000,13,0)</f>
        <v>#N/A</v>
      </c>
      <c r="P544" s="68" t="e">
        <f>VLOOKUP($C544,'Daily_BU설비데이터 '!$C$20:$T$1000,14,0)</f>
        <v>#N/A</v>
      </c>
      <c r="Q544" s="99" t="e">
        <f t="shared" si="60"/>
        <v>#N/A</v>
      </c>
      <c r="R544" s="100" t="e">
        <f t="shared" si="61"/>
        <v>#N/A</v>
      </c>
      <c r="S544" s="83" t="e">
        <f>VLOOKUP($C544,'Daily_BU설비데이터 '!$C$20:$T$1000,17,0)</f>
        <v>#N/A</v>
      </c>
      <c r="T544" s="83" t="e">
        <f>VLOOKUP($C544,'Daily_BU설비데이터 '!$C$20:$T$1000,18,0)</f>
        <v>#N/A</v>
      </c>
      <c r="U544" s="101" t="e">
        <f t="shared" si="62"/>
        <v>#N/A</v>
      </c>
      <c r="V544" s="45"/>
      <c r="W544" s="45"/>
      <c r="X544" s="45"/>
      <c r="Y544" s="45"/>
      <c r="Z544" s="45"/>
      <c r="AA544" s="45"/>
    </row>
    <row r="545" spans="2:27" x14ac:dyDescent="0.45">
      <c r="B545" s="45" t="s">
        <v>351</v>
      </c>
      <c r="C545" s="90"/>
      <c r="D545" s="56"/>
      <c r="E545" s="84"/>
      <c r="F545" s="58" t="e">
        <f>VLOOKUP($C545,'Daily_BU설비데이터 '!$C$20:$T$1000,4,0)</f>
        <v>#N/A</v>
      </c>
      <c r="G545" s="58" t="e">
        <f>VLOOKUP($C545,'Daily_BU설비데이터 '!$C$20:$T$1000,5,0)</f>
        <v>#N/A</v>
      </c>
      <c r="H545" s="58" t="e">
        <f>VLOOKUP($C545,'Daily_BU설비데이터 '!$C$20:$T$1000,6,0)</f>
        <v>#N/A</v>
      </c>
      <c r="I545" s="58" t="e">
        <f>VLOOKUP($C545,'Daily_BU설비데이터 '!$C$20:$T$1000,7,0)</f>
        <v>#N/A</v>
      </c>
      <c r="J545" s="58" t="e">
        <f>VLOOKUP($C545,'Daily_BU설비데이터 '!$C$20:$T$1000,8,0)</f>
        <v>#N/A</v>
      </c>
      <c r="K545" s="58" t="e">
        <f>VLOOKUP($C545,'Daily_BU설비데이터 '!$C$20:$T$1000,9,0)</f>
        <v>#N/A</v>
      </c>
      <c r="L545" s="59" t="e">
        <f t="shared" si="59"/>
        <v>#N/A</v>
      </c>
      <c r="M545" s="68" t="e">
        <f>VLOOKUP($C545,'Daily_BU설비데이터 '!$C$20:$T$1000,11,0)</f>
        <v>#N/A</v>
      </c>
      <c r="N545" s="68" t="e">
        <f>VLOOKUP($C545,'Daily_BU설비데이터 '!$C$20:$T$1000,12,0)</f>
        <v>#N/A</v>
      </c>
      <c r="O545" s="68" t="e">
        <f>VLOOKUP($C545,'Daily_BU설비데이터 '!$C$20:$T$1000,13,0)</f>
        <v>#N/A</v>
      </c>
      <c r="P545" s="68" t="e">
        <f>VLOOKUP($C545,'Daily_BU설비데이터 '!$C$20:$T$1000,14,0)</f>
        <v>#N/A</v>
      </c>
      <c r="Q545" s="99" t="e">
        <f t="shared" si="60"/>
        <v>#N/A</v>
      </c>
      <c r="R545" s="100" t="e">
        <f t="shared" si="61"/>
        <v>#N/A</v>
      </c>
      <c r="S545" s="83" t="e">
        <f>VLOOKUP($C545,'Daily_BU설비데이터 '!$C$20:$T$1000,17,0)</f>
        <v>#N/A</v>
      </c>
      <c r="T545" s="83" t="e">
        <f>VLOOKUP($C545,'Daily_BU설비데이터 '!$C$20:$T$1000,18,0)</f>
        <v>#N/A</v>
      </c>
      <c r="U545" s="101" t="e">
        <f t="shared" si="62"/>
        <v>#N/A</v>
      </c>
      <c r="V545" s="45"/>
      <c r="W545" s="45"/>
      <c r="X545" s="45"/>
      <c r="Y545" s="45"/>
      <c r="Z545" s="45"/>
      <c r="AA545" s="45"/>
    </row>
    <row r="546" spans="2:27" x14ac:dyDescent="0.45">
      <c r="B546" s="45" t="s">
        <v>352</v>
      </c>
      <c r="C546" s="90"/>
      <c r="D546" s="56"/>
      <c r="E546" s="57"/>
      <c r="F546" s="58" t="e">
        <f>VLOOKUP($C546,'Daily_BU설비데이터 '!$C$20:$T$1000,4,0)</f>
        <v>#N/A</v>
      </c>
      <c r="G546" s="58" t="e">
        <f>VLOOKUP($C546,'Daily_BU설비데이터 '!$C$20:$T$1000,5,0)</f>
        <v>#N/A</v>
      </c>
      <c r="H546" s="58" t="e">
        <f>VLOOKUP($C546,'Daily_BU설비데이터 '!$C$20:$T$1000,6,0)</f>
        <v>#N/A</v>
      </c>
      <c r="I546" s="58" t="e">
        <f>VLOOKUP($C546,'Daily_BU설비데이터 '!$C$20:$T$1000,7,0)</f>
        <v>#N/A</v>
      </c>
      <c r="J546" s="58" t="e">
        <f>VLOOKUP($C546,'Daily_BU설비데이터 '!$C$20:$T$1000,8,0)</f>
        <v>#N/A</v>
      </c>
      <c r="K546" s="58" t="e">
        <f>VLOOKUP($C546,'Daily_BU설비데이터 '!$C$20:$T$1000,9,0)</f>
        <v>#N/A</v>
      </c>
      <c r="L546" s="59" t="e">
        <f t="shared" si="59"/>
        <v>#N/A</v>
      </c>
      <c r="M546" s="68" t="e">
        <f>VLOOKUP($C546,'Daily_BU설비데이터 '!$C$20:$T$1000,11,0)</f>
        <v>#N/A</v>
      </c>
      <c r="N546" s="68" t="e">
        <f>VLOOKUP($C546,'Daily_BU설비데이터 '!$C$20:$T$1000,12,0)</f>
        <v>#N/A</v>
      </c>
      <c r="O546" s="68" t="e">
        <f>VLOOKUP($C546,'Daily_BU설비데이터 '!$C$20:$T$1000,13,0)</f>
        <v>#N/A</v>
      </c>
      <c r="P546" s="68" t="e">
        <f>VLOOKUP($C546,'Daily_BU설비데이터 '!$C$20:$T$1000,14,0)</f>
        <v>#N/A</v>
      </c>
      <c r="Q546" s="99" t="e">
        <f t="shared" si="60"/>
        <v>#N/A</v>
      </c>
      <c r="R546" s="100" t="e">
        <f t="shared" si="61"/>
        <v>#N/A</v>
      </c>
      <c r="S546" s="83" t="e">
        <f>VLOOKUP($C546,'Daily_BU설비데이터 '!$C$20:$T$1000,17,0)</f>
        <v>#N/A</v>
      </c>
      <c r="T546" s="83" t="e">
        <f>VLOOKUP($C546,'Daily_BU설비데이터 '!$C$20:$T$1000,18,0)</f>
        <v>#N/A</v>
      </c>
      <c r="U546" s="101" t="e">
        <f t="shared" si="62"/>
        <v>#N/A</v>
      </c>
      <c r="V546" s="45"/>
      <c r="W546" s="45"/>
      <c r="X546" s="45"/>
      <c r="Y546" s="45"/>
      <c r="Z546" s="45"/>
      <c r="AA546" s="45"/>
    </row>
    <row r="547" spans="2:27" x14ac:dyDescent="0.45">
      <c r="B547" s="45" t="s">
        <v>353</v>
      </c>
      <c r="C547" s="90"/>
      <c r="D547" s="56"/>
      <c r="E547" s="80"/>
      <c r="F547" s="58" t="e">
        <f>VLOOKUP($C547,'Daily_BU설비데이터 '!$C$20:$T$1000,4,0)</f>
        <v>#N/A</v>
      </c>
      <c r="G547" s="58" t="e">
        <f>VLOOKUP($C547,'Daily_BU설비데이터 '!$C$20:$T$1000,5,0)</f>
        <v>#N/A</v>
      </c>
      <c r="H547" s="58" t="e">
        <f>VLOOKUP($C547,'Daily_BU설비데이터 '!$C$20:$T$1000,6,0)</f>
        <v>#N/A</v>
      </c>
      <c r="I547" s="58" t="e">
        <f>VLOOKUP($C547,'Daily_BU설비데이터 '!$C$20:$T$1000,7,0)</f>
        <v>#N/A</v>
      </c>
      <c r="J547" s="58" t="e">
        <f>VLOOKUP($C547,'Daily_BU설비데이터 '!$C$20:$T$1000,8,0)</f>
        <v>#N/A</v>
      </c>
      <c r="K547" s="58" t="e">
        <f>VLOOKUP($C547,'Daily_BU설비데이터 '!$C$20:$T$1000,9,0)</f>
        <v>#N/A</v>
      </c>
      <c r="L547" s="59" t="e">
        <f t="shared" si="59"/>
        <v>#N/A</v>
      </c>
      <c r="M547" s="68" t="e">
        <f>VLOOKUP($C547,'Daily_BU설비데이터 '!$C$20:$T$1000,11,0)</f>
        <v>#N/A</v>
      </c>
      <c r="N547" s="68" t="e">
        <f>VLOOKUP($C547,'Daily_BU설비데이터 '!$C$20:$T$1000,12,0)</f>
        <v>#N/A</v>
      </c>
      <c r="O547" s="68" t="e">
        <f>VLOOKUP($C547,'Daily_BU설비데이터 '!$C$20:$T$1000,13,0)</f>
        <v>#N/A</v>
      </c>
      <c r="P547" s="68" t="e">
        <f>VLOOKUP($C547,'Daily_BU설비데이터 '!$C$20:$T$1000,14,0)</f>
        <v>#N/A</v>
      </c>
      <c r="Q547" s="99" t="e">
        <f t="shared" si="60"/>
        <v>#N/A</v>
      </c>
      <c r="R547" s="100" t="e">
        <f t="shared" si="61"/>
        <v>#N/A</v>
      </c>
      <c r="S547" s="83" t="e">
        <f>VLOOKUP($C547,'Daily_BU설비데이터 '!$C$20:$T$1000,17,0)</f>
        <v>#N/A</v>
      </c>
      <c r="T547" s="83" t="e">
        <f>VLOOKUP($C547,'Daily_BU설비데이터 '!$C$20:$T$1000,18,0)</f>
        <v>#N/A</v>
      </c>
      <c r="U547" s="101" t="e">
        <f t="shared" si="62"/>
        <v>#N/A</v>
      </c>
      <c r="V547" s="45"/>
      <c r="W547" s="45"/>
      <c r="X547" s="45"/>
      <c r="Y547" s="45"/>
      <c r="Z547" s="45"/>
      <c r="AA547" s="45"/>
    </row>
    <row r="548" spans="2:27" x14ac:dyDescent="0.45">
      <c r="B548" s="45" t="s">
        <v>354</v>
      </c>
      <c r="C548" s="90"/>
      <c r="D548" s="56"/>
      <c r="E548" s="84"/>
      <c r="F548" s="58" t="e">
        <f>VLOOKUP($C548,'Daily_BU설비데이터 '!$C$20:$T$1000,4,0)</f>
        <v>#N/A</v>
      </c>
      <c r="G548" s="58" t="e">
        <f>VLOOKUP($C548,'Daily_BU설비데이터 '!$C$20:$T$1000,5,0)</f>
        <v>#N/A</v>
      </c>
      <c r="H548" s="58" t="e">
        <f>VLOOKUP($C548,'Daily_BU설비데이터 '!$C$20:$T$1000,6,0)</f>
        <v>#N/A</v>
      </c>
      <c r="I548" s="58" t="e">
        <f>VLOOKUP($C548,'Daily_BU설비데이터 '!$C$20:$T$1000,7,0)</f>
        <v>#N/A</v>
      </c>
      <c r="J548" s="58" t="e">
        <f>VLOOKUP($C548,'Daily_BU설비데이터 '!$C$20:$T$1000,8,0)</f>
        <v>#N/A</v>
      </c>
      <c r="K548" s="58" t="e">
        <f>VLOOKUP($C548,'Daily_BU설비데이터 '!$C$20:$T$1000,9,0)</f>
        <v>#N/A</v>
      </c>
      <c r="L548" s="59" t="e">
        <f t="shared" si="59"/>
        <v>#N/A</v>
      </c>
      <c r="M548" s="68" t="e">
        <f>VLOOKUP($C548,'Daily_BU설비데이터 '!$C$20:$T$1000,11,0)</f>
        <v>#N/A</v>
      </c>
      <c r="N548" s="68" t="e">
        <f>VLOOKUP($C548,'Daily_BU설비데이터 '!$C$20:$T$1000,12,0)</f>
        <v>#N/A</v>
      </c>
      <c r="O548" s="68" t="e">
        <f>VLOOKUP($C548,'Daily_BU설비데이터 '!$C$20:$T$1000,13,0)</f>
        <v>#N/A</v>
      </c>
      <c r="P548" s="68" t="e">
        <f>VLOOKUP($C548,'Daily_BU설비데이터 '!$C$20:$T$1000,14,0)</f>
        <v>#N/A</v>
      </c>
      <c r="Q548" s="99" t="e">
        <f t="shared" si="60"/>
        <v>#N/A</v>
      </c>
      <c r="R548" s="100" t="e">
        <f t="shared" si="61"/>
        <v>#N/A</v>
      </c>
      <c r="S548" s="83" t="e">
        <f>VLOOKUP($C548,'Daily_BU설비데이터 '!$C$20:$T$1000,17,0)</f>
        <v>#N/A</v>
      </c>
      <c r="T548" s="83" t="e">
        <f>VLOOKUP($C548,'Daily_BU설비데이터 '!$C$20:$T$1000,18,0)</f>
        <v>#N/A</v>
      </c>
      <c r="U548" s="101" t="e">
        <f t="shared" si="62"/>
        <v>#N/A</v>
      </c>
      <c r="V548" s="45"/>
      <c r="W548" s="45"/>
      <c r="X548" s="45"/>
      <c r="Y548" s="45"/>
      <c r="Z548" s="45"/>
      <c r="AA548" s="45"/>
    </row>
    <row r="549" spans="2:27" x14ac:dyDescent="0.45">
      <c r="B549" s="45" t="s">
        <v>355</v>
      </c>
      <c r="C549" s="90"/>
      <c r="D549" s="56"/>
      <c r="E549" s="57"/>
      <c r="F549" s="58" t="e">
        <f>VLOOKUP($C549,'Daily_BU설비데이터 '!$C$20:$T$1000,4,0)</f>
        <v>#N/A</v>
      </c>
      <c r="G549" s="58" t="e">
        <f>VLOOKUP($C549,'Daily_BU설비데이터 '!$C$20:$T$1000,5,0)</f>
        <v>#N/A</v>
      </c>
      <c r="H549" s="58" t="e">
        <f>VLOOKUP($C549,'Daily_BU설비데이터 '!$C$20:$T$1000,6,0)</f>
        <v>#N/A</v>
      </c>
      <c r="I549" s="58" t="e">
        <f>VLOOKUP($C549,'Daily_BU설비데이터 '!$C$20:$T$1000,7,0)</f>
        <v>#N/A</v>
      </c>
      <c r="J549" s="58" t="e">
        <f>VLOOKUP($C549,'Daily_BU설비데이터 '!$C$20:$T$1000,8,0)</f>
        <v>#N/A</v>
      </c>
      <c r="K549" s="58" t="e">
        <f>VLOOKUP($C549,'Daily_BU설비데이터 '!$C$20:$T$1000,9,0)</f>
        <v>#N/A</v>
      </c>
      <c r="L549" s="59" t="e">
        <f t="shared" si="59"/>
        <v>#N/A</v>
      </c>
      <c r="M549" s="68" t="e">
        <f>VLOOKUP($C549,'Daily_BU설비데이터 '!$C$20:$T$1000,11,0)</f>
        <v>#N/A</v>
      </c>
      <c r="N549" s="68" t="e">
        <f>VLOOKUP($C549,'Daily_BU설비데이터 '!$C$20:$T$1000,12,0)</f>
        <v>#N/A</v>
      </c>
      <c r="O549" s="68" t="e">
        <f>VLOOKUP($C549,'Daily_BU설비데이터 '!$C$20:$T$1000,13,0)</f>
        <v>#N/A</v>
      </c>
      <c r="P549" s="68" t="e">
        <f>VLOOKUP($C549,'Daily_BU설비데이터 '!$C$20:$T$1000,14,0)</f>
        <v>#N/A</v>
      </c>
      <c r="Q549" s="99" t="e">
        <f t="shared" si="60"/>
        <v>#N/A</v>
      </c>
      <c r="R549" s="100" t="e">
        <f t="shared" si="61"/>
        <v>#N/A</v>
      </c>
      <c r="S549" s="83" t="e">
        <f>VLOOKUP($C549,'Daily_BU설비데이터 '!$C$20:$T$1000,17,0)</f>
        <v>#N/A</v>
      </c>
      <c r="T549" s="83" t="e">
        <f>VLOOKUP($C549,'Daily_BU설비데이터 '!$C$20:$T$1000,18,0)</f>
        <v>#N/A</v>
      </c>
      <c r="U549" s="101" t="e">
        <f t="shared" si="62"/>
        <v>#N/A</v>
      </c>
      <c r="V549" s="45"/>
      <c r="W549" s="45"/>
      <c r="X549" s="45"/>
      <c r="Y549" s="45"/>
      <c r="Z549" s="45"/>
      <c r="AA549" s="45"/>
    </row>
    <row r="550" spans="2:27" x14ac:dyDescent="0.45">
      <c r="B550" s="45" t="s">
        <v>356</v>
      </c>
      <c r="C550" s="90"/>
      <c r="D550" s="56"/>
      <c r="E550" s="80"/>
      <c r="F550" s="58" t="e">
        <f>VLOOKUP($C550,'Daily_BU설비데이터 '!$C$20:$T$1000,4,0)</f>
        <v>#N/A</v>
      </c>
      <c r="G550" s="58" t="e">
        <f>VLOOKUP($C550,'Daily_BU설비데이터 '!$C$20:$T$1000,5,0)</f>
        <v>#N/A</v>
      </c>
      <c r="H550" s="58" t="e">
        <f>VLOOKUP($C550,'Daily_BU설비데이터 '!$C$20:$T$1000,6,0)</f>
        <v>#N/A</v>
      </c>
      <c r="I550" s="58" t="e">
        <f>VLOOKUP($C550,'Daily_BU설비데이터 '!$C$20:$T$1000,7,0)</f>
        <v>#N/A</v>
      </c>
      <c r="J550" s="58" t="e">
        <f>VLOOKUP($C550,'Daily_BU설비데이터 '!$C$20:$T$1000,8,0)</f>
        <v>#N/A</v>
      </c>
      <c r="K550" s="58" t="e">
        <f>VLOOKUP($C550,'Daily_BU설비데이터 '!$C$20:$T$1000,9,0)</f>
        <v>#N/A</v>
      </c>
      <c r="L550" s="59" t="e">
        <f t="shared" si="59"/>
        <v>#N/A</v>
      </c>
      <c r="M550" s="68" t="e">
        <f>VLOOKUP($C550,'Daily_BU설비데이터 '!$C$20:$T$1000,11,0)</f>
        <v>#N/A</v>
      </c>
      <c r="N550" s="68" t="e">
        <f>VLOOKUP($C550,'Daily_BU설비데이터 '!$C$20:$T$1000,12,0)</f>
        <v>#N/A</v>
      </c>
      <c r="O550" s="68" t="e">
        <f>VLOOKUP($C550,'Daily_BU설비데이터 '!$C$20:$T$1000,13,0)</f>
        <v>#N/A</v>
      </c>
      <c r="P550" s="68" t="e">
        <f>VLOOKUP($C550,'Daily_BU설비데이터 '!$C$20:$T$1000,14,0)</f>
        <v>#N/A</v>
      </c>
      <c r="Q550" s="99" t="e">
        <f t="shared" si="60"/>
        <v>#N/A</v>
      </c>
      <c r="R550" s="100" t="e">
        <f t="shared" si="61"/>
        <v>#N/A</v>
      </c>
      <c r="S550" s="83" t="e">
        <f>VLOOKUP($C550,'Daily_BU설비데이터 '!$C$20:$T$1000,17,0)</f>
        <v>#N/A</v>
      </c>
      <c r="T550" s="83" t="e">
        <f>VLOOKUP($C550,'Daily_BU설비데이터 '!$C$20:$T$1000,18,0)</f>
        <v>#N/A</v>
      </c>
      <c r="U550" s="101" t="e">
        <f t="shared" si="62"/>
        <v>#N/A</v>
      </c>
      <c r="V550" s="45"/>
      <c r="W550" s="45"/>
      <c r="X550" s="45"/>
      <c r="Y550" s="45"/>
      <c r="Z550" s="45"/>
      <c r="AA550" s="45"/>
    </row>
    <row r="551" spans="2:27" x14ac:dyDescent="0.45">
      <c r="B551" s="45" t="s">
        <v>357</v>
      </c>
      <c r="C551" s="90"/>
      <c r="D551" s="56"/>
      <c r="E551" s="84"/>
      <c r="F551" s="58" t="e">
        <f>VLOOKUP($C551,'Daily_BU설비데이터 '!$C$20:$T$1000,4,0)</f>
        <v>#N/A</v>
      </c>
      <c r="G551" s="58" t="e">
        <f>VLOOKUP($C551,'Daily_BU설비데이터 '!$C$20:$T$1000,5,0)</f>
        <v>#N/A</v>
      </c>
      <c r="H551" s="58" t="e">
        <f>VLOOKUP($C551,'Daily_BU설비데이터 '!$C$20:$T$1000,6,0)</f>
        <v>#N/A</v>
      </c>
      <c r="I551" s="58" t="e">
        <f>VLOOKUP($C551,'Daily_BU설비데이터 '!$C$20:$T$1000,7,0)</f>
        <v>#N/A</v>
      </c>
      <c r="J551" s="58" t="e">
        <f>VLOOKUP($C551,'Daily_BU설비데이터 '!$C$20:$T$1000,8,0)</f>
        <v>#N/A</v>
      </c>
      <c r="K551" s="58" t="e">
        <f>VLOOKUP($C551,'Daily_BU설비데이터 '!$C$20:$T$1000,9,0)</f>
        <v>#N/A</v>
      </c>
      <c r="L551" s="59" t="e">
        <f t="shared" si="59"/>
        <v>#N/A</v>
      </c>
      <c r="M551" s="68" t="e">
        <f>VLOOKUP($C551,'Daily_BU설비데이터 '!$C$20:$T$1000,11,0)</f>
        <v>#N/A</v>
      </c>
      <c r="N551" s="68" t="e">
        <f>VLOOKUP($C551,'Daily_BU설비데이터 '!$C$20:$T$1000,12,0)</f>
        <v>#N/A</v>
      </c>
      <c r="O551" s="68" t="e">
        <f>VLOOKUP($C551,'Daily_BU설비데이터 '!$C$20:$T$1000,13,0)</f>
        <v>#N/A</v>
      </c>
      <c r="P551" s="68" t="e">
        <f>VLOOKUP($C551,'Daily_BU설비데이터 '!$C$20:$T$1000,14,0)</f>
        <v>#N/A</v>
      </c>
      <c r="Q551" s="99" t="e">
        <f t="shared" si="60"/>
        <v>#N/A</v>
      </c>
      <c r="R551" s="100" t="e">
        <f t="shared" si="61"/>
        <v>#N/A</v>
      </c>
      <c r="S551" s="83" t="e">
        <f>VLOOKUP($C551,'Daily_BU설비데이터 '!$C$20:$T$1000,17,0)</f>
        <v>#N/A</v>
      </c>
      <c r="T551" s="83" t="e">
        <f>VLOOKUP($C551,'Daily_BU설비데이터 '!$C$20:$T$1000,18,0)</f>
        <v>#N/A</v>
      </c>
      <c r="U551" s="101" t="e">
        <f t="shared" si="62"/>
        <v>#N/A</v>
      </c>
      <c r="V551" s="45"/>
      <c r="W551" s="45"/>
      <c r="X551" s="45"/>
      <c r="Y551" s="45"/>
      <c r="Z551" s="45"/>
      <c r="AA551" s="45"/>
    </row>
    <row r="552" spans="2:27" x14ac:dyDescent="0.45">
      <c r="B552" s="45" t="s">
        <v>358</v>
      </c>
      <c r="C552" s="90"/>
      <c r="D552" s="56"/>
      <c r="E552" s="57"/>
      <c r="F552" s="58" t="e">
        <f>VLOOKUP($C552,'Daily_BU설비데이터 '!$C$20:$T$1000,4,0)</f>
        <v>#N/A</v>
      </c>
      <c r="G552" s="58" t="e">
        <f>VLOOKUP($C552,'Daily_BU설비데이터 '!$C$20:$T$1000,5,0)</f>
        <v>#N/A</v>
      </c>
      <c r="H552" s="58" t="e">
        <f>VLOOKUP($C552,'Daily_BU설비데이터 '!$C$20:$T$1000,6,0)</f>
        <v>#N/A</v>
      </c>
      <c r="I552" s="58" t="e">
        <f>VLOOKUP($C552,'Daily_BU설비데이터 '!$C$20:$T$1000,7,0)</f>
        <v>#N/A</v>
      </c>
      <c r="J552" s="58" t="e">
        <f>VLOOKUP($C552,'Daily_BU설비데이터 '!$C$20:$T$1000,8,0)</f>
        <v>#N/A</v>
      </c>
      <c r="K552" s="58" t="e">
        <f>VLOOKUP($C552,'Daily_BU설비데이터 '!$C$20:$T$1000,9,0)</f>
        <v>#N/A</v>
      </c>
      <c r="L552" s="59" t="e">
        <f t="shared" si="59"/>
        <v>#N/A</v>
      </c>
      <c r="M552" s="68" t="e">
        <f>VLOOKUP($C552,'Daily_BU설비데이터 '!$C$20:$T$1000,11,0)</f>
        <v>#N/A</v>
      </c>
      <c r="N552" s="68" t="e">
        <f>VLOOKUP($C552,'Daily_BU설비데이터 '!$C$20:$T$1000,12,0)</f>
        <v>#N/A</v>
      </c>
      <c r="O552" s="68" t="e">
        <f>VLOOKUP($C552,'Daily_BU설비데이터 '!$C$20:$T$1000,13,0)</f>
        <v>#N/A</v>
      </c>
      <c r="P552" s="68" t="e">
        <f>VLOOKUP($C552,'Daily_BU설비데이터 '!$C$20:$T$1000,14,0)</f>
        <v>#N/A</v>
      </c>
      <c r="Q552" s="99" t="e">
        <f t="shared" si="60"/>
        <v>#N/A</v>
      </c>
      <c r="R552" s="100" t="e">
        <f t="shared" si="61"/>
        <v>#N/A</v>
      </c>
      <c r="S552" s="83" t="e">
        <f>VLOOKUP($C552,'Daily_BU설비데이터 '!$C$20:$T$1000,17,0)</f>
        <v>#N/A</v>
      </c>
      <c r="T552" s="83" t="e">
        <f>VLOOKUP($C552,'Daily_BU설비데이터 '!$C$20:$T$1000,18,0)</f>
        <v>#N/A</v>
      </c>
      <c r="U552" s="101" t="e">
        <f t="shared" si="62"/>
        <v>#N/A</v>
      </c>
      <c r="V552" s="45"/>
      <c r="W552" s="45"/>
      <c r="X552" s="45"/>
      <c r="Y552" s="45"/>
      <c r="Z552" s="45"/>
      <c r="AA552" s="45"/>
    </row>
    <row r="553" spans="2:27" x14ac:dyDescent="0.45">
      <c r="B553" s="45" t="s">
        <v>359</v>
      </c>
      <c r="C553" s="90"/>
      <c r="D553" s="56"/>
      <c r="E553" s="80"/>
      <c r="F553" s="58" t="e">
        <f>VLOOKUP($C553,'Daily_BU설비데이터 '!$C$20:$T$1000,4,0)</f>
        <v>#N/A</v>
      </c>
      <c r="G553" s="58" t="e">
        <f>VLOOKUP($C553,'Daily_BU설비데이터 '!$C$20:$T$1000,5,0)</f>
        <v>#N/A</v>
      </c>
      <c r="H553" s="58" t="e">
        <f>VLOOKUP($C553,'Daily_BU설비데이터 '!$C$20:$T$1000,6,0)</f>
        <v>#N/A</v>
      </c>
      <c r="I553" s="58" t="e">
        <f>VLOOKUP($C553,'Daily_BU설비데이터 '!$C$20:$T$1000,7,0)</f>
        <v>#N/A</v>
      </c>
      <c r="J553" s="58" t="e">
        <f>VLOOKUP($C553,'Daily_BU설비데이터 '!$C$20:$T$1000,8,0)</f>
        <v>#N/A</v>
      </c>
      <c r="K553" s="58" t="e">
        <f>VLOOKUP($C553,'Daily_BU설비데이터 '!$C$20:$T$1000,9,0)</f>
        <v>#N/A</v>
      </c>
      <c r="L553" s="59" t="e">
        <f t="shared" si="59"/>
        <v>#N/A</v>
      </c>
      <c r="M553" s="68" t="e">
        <f>VLOOKUP($C553,'Daily_BU설비데이터 '!$C$20:$T$1000,11,0)</f>
        <v>#N/A</v>
      </c>
      <c r="N553" s="68" t="e">
        <f>VLOOKUP($C553,'Daily_BU설비데이터 '!$C$20:$T$1000,12,0)</f>
        <v>#N/A</v>
      </c>
      <c r="O553" s="68" t="e">
        <f>VLOOKUP($C553,'Daily_BU설비데이터 '!$C$20:$T$1000,13,0)</f>
        <v>#N/A</v>
      </c>
      <c r="P553" s="68" t="e">
        <f>VLOOKUP($C553,'Daily_BU설비데이터 '!$C$20:$T$1000,14,0)</f>
        <v>#N/A</v>
      </c>
      <c r="Q553" s="99" t="e">
        <f t="shared" si="60"/>
        <v>#N/A</v>
      </c>
      <c r="R553" s="100" t="e">
        <f t="shared" si="61"/>
        <v>#N/A</v>
      </c>
      <c r="S553" s="83" t="e">
        <f>VLOOKUP($C553,'Daily_BU설비데이터 '!$C$20:$T$1000,17,0)</f>
        <v>#N/A</v>
      </c>
      <c r="T553" s="83" t="e">
        <f>VLOOKUP($C553,'Daily_BU설비데이터 '!$C$20:$T$1000,18,0)</f>
        <v>#N/A</v>
      </c>
      <c r="U553" s="101" t="e">
        <f t="shared" si="62"/>
        <v>#N/A</v>
      </c>
      <c r="V553" s="45"/>
      <c r="W553" s="45"/>
      <c r="X553" s="45"/>
      <c r="Y553" s="45"/>
      <c r="Z553" s="45"/>
      <c r="AA553" s="45"/>
    </row>
    <row r="554" spans="2:27" x14ac:dyDescent="0.45">
      <c r="B554" s="45" t="s">
        <v>360</v>
      </c>
      <c r="C554" s="90"/>
      <c r="D554" s="56"/>
      <c r="E554" s="84"/>
      <c r="F554" s="58" t="e">
        <f>VLOOKUP($C554,'Daily_BU설비데이터 '!$C$20:$T$1000,4,0)</f>
        <v>#N/A</v>
      </c>
      <c r="G554" s="58" t="e">
        <f>VLOOKUP($C554,'Daily_BU설비데이터 '!$C$20:$T$1000,5,0)</f>
        <v>#N/A</v>
      </c>
      <c r="H554" s="58" t="e">
        <f>VLOOKUP($C554,'Daily_BU설비데이터 '!$C$20:$T$1000,6,0)</f>
        <v>#N/A</v>
      </c>
      <c r="I554" s="58" t="e">
        <f>VLOOKUP($C554,'Daily_BU설비데이터 '!$C$20:$T$1000,7,0)</f>
        <v>#N/A</v>
      </c>
      <c r="J554" s="58" t="e">
        <f>VLOOKUP($C554,'Daily_BU설비데이터 '!$C$20:$T$1000,8,0)</f>
        <v>#N/A</v>
      </c>
      <c r="K554" s="58" t="e">
        <f>VLOOKUP($C554,'Daily_BU설비데이터 '!$C$20:$T$1000,9,0)</f>
        <v>#N/A</v>
      </c>
      <c r="L554" s="59" t="e">
        <f t="shared" si="59"/>
        <v>#N/A</v>
      </c>
      <c r="M554" s="68" t="e">
        <f>VLOOKUP($C554,'Daily_BU설비데이터 '!$C$20:$T$1000,11,0)</f>
        <v>#N/A</v>
      </c>
      <c r="N554" s="68" t="e">
        <f>VLOOKUP($C554,'Daily_BU설비데이터 '!$C$20:$T$1000,12,0)</f>
        <v>#N/A</v>
      </c>
      <c r="O554" s="68" t="e">
        <f>VLOOKUP($C554,'Daily_BU설비데이터 '!$C$20:$T$1000,13,0)</f>
        <v>#N/A</v>
      </c>
      <c r="P554" s="68" t="e">
        <f>VLOOKUP($C554,'Daily_BU설비데이터 '!$C$20:$T$1000,14,0)</f>
        <v>#N/A</v>
      </c>
      <c r="Q554" s="99" t="e">
        <f t="shared" si="60"/>
        <v>#N/A</v>
      </c>
      <c r="R554" s="100" t="e">
        <f t="shared" si="61"/>
        <v>#N/A</v>
      </c>
      <c r="S554" s="83" t="e">
        <f>VLOOKUP($C554,'Daily_BU설비데이터 '!$C$20:$T$1000,17,0)</f>
        <v>#N/A</v>
      </c>
      <c r="T554" s="83" t="e">
        <f>VLOOKUP($C554,'Daily_BU설비데이터 '!$C$20:$T$1000,18,0)</f>
        <v>#N/A</v>
      </c>
      <c r="U554" s="101" t="e">
        <f t="shared" si="62"/>
        <v>#N/A</v>
      </c>
      <c r="V554" s="45"/>
      <c r="W554" s="45"/>
      <c r="X554" s="45"/>
      <c r="Y554" s="45"/>
      <c r="Z554" s="45"/>
      <c r="AA554" s="45"/>
    </row>
    <row r="555" spans="2:27" x14ac:dyDescent="0.45">
      <c r="B555" s="45" t="s">
        <v>361</v>
      </c>
      <c r="C555" s="90"/>
      <c r="D555" s="56"/>
      <c r="E555" s="57"/>
      <c r="F555" s="58" t="e">
        <f>VLOOKUP($C555,'Daily_BU설비데이터 '!$C$20:$T$1000,4,0)</f>
        <v>#N/A</v>
      </c>
      <c r="G555" s="58" t="e">
        <f>VLOOKUP($C555,'Daily_BU설비데이터 '!$C$20:$T$1000,5,0)</f>
        <v>#N/A</v>
      </c>
      <c r="H555" s="58" t="e">
        <f>VLOOKUP($C555,'Daily_BU설비데이터 '!$C$20:$T$1000,6,0)</f>
        <v>#N/A</v>
      </c>
      <c r="I555" s="58" t="e">
        <f>VLOOKUP($C555,'Daily_BU설비데이터 '!$C$20:$T$1000,7,0)</f>
        <v>#N/A</v>
      </c>
      <c r="J555" s="58" t="e">
        <f>VLOOKUP($C555,'Daily_BU설비데이터 '!$C$20:$T$1000,8,0)</f>
        <v>#N/A</v>
      </c>
      <c r="K555" s="58" t="e">
        <f>VLOOKUP($C555,'Daily_BU설비데이터 '!$C$20:$T$1000,9,0)</f>
        <v>#N/A</v>
      </c>
      <c r="L555" s="59" t="e">
        <f t="shared" si="59"/>
        <v>#N/A</v>
      </c>
      <c r="M555" s="68" t="e">
        <f>VLOOKUP($C555,'Daily_BU설비데이터 '!$C$20:$T$1000,11,0)</f>
        <v>#N/A</v>
      </c>
      <c r="N555" s="68" t="e">
        <f>VLOOKUP($C555,'Daily_BU설비데이터 '!$C$20:$T$1000,12,0)</f>
        <v>#N/A</v>
      </c>
      <c r="O555" s="68" t="e">
        <f>VLOOKUP($C555,'Daily_BU설비데이터 '!$C$20:$T$1000,13,0)</f>
        <v>#N/A</v>
      </c>
      <c r="P555" s="68" t="e">
        <f>VLOOKUP($C555,'Daily_BU설비데이터 '!$C$20:$T$1000,14,0)</f>
        <v>#N/A</v>
      </c>
      <c r="Q555" s="99" t="e">
        <f t="shared" si="60"/>
        <v>#N/A</v>
      </c>
      <c r="R555" s="100" t="e">
        <f t="shared" si="61"/>
        <v>#N/A</v>
      </c>
      <c r="S555" s="83" t="e">
        <f>VLOOKUP($C555,'Daily_BU설비데이터 '!$C$20:$T$1000,17,0)</f>
        <v>#N/A</v>
      </c>
      <c r="T555" s="83" t="e">
        <f>VLOOKUP($C555,'Daily_BU설비데이터 '!$C$20:$T$1000,18,0)</f>
        <v>#N/A</v>
      </c>
      <c r="U555" s="101" t="e">
        <f t="shared" si="62"/>
        <v>#N/A</v>
      </c>
      <c r="V555" s="45"/>
      <c r="W555" s="45"/>
      <c r="X555" s="45"/>
      <c r="Y555" s="45"/>
      <c r="Z555" s="45"/>
      <c r="AA555" s="45"/>
    </row>
    <row r="556" spans="2:27" x14ac:dyDescent="0.45">
      <c r="B556" s="45" t="s">
        <v>362</v>
      </c>
      <c r="C556" s="90"/>
      <c r="D556" s="56"/>
      <c r="E556" s="80"/>
      <c r="F556" s="58" t="e">
        <f>VLOOKUP($C556,'Daily_BU설비데이터 '!$C$20:$T$1000,4,0)</f>
        <v>#N/A</v>
      </c>
      <c r="G556" s="58" t="e">
        <f>VLOOKUP($C556,'Daily_BU설비데이터 '!$C$20:$T$1000,5,0)</f>
        <v>#N/A</v>
      </c>
      <c r="H556" s="58" t="e">
        <f>VLOOKUP($C556,'Daily_BU설비데이터 '!$C$20:$T$1000,6,0)</f>
        <v>#N/A</v>
      </c>
      <c r="I556" s="58" t="e">
        <f>VLOOKUP($C556,'Daily_BU설비데이터 '!$C$20:$T$1000,7,0)</f>
        <v>#N/A</v>
      </c>
      <c r="J556" s="58" t="e">
        <f>VLOOKUP($C556,'Daily_BU설비데이터 '!$C$20:$T$1000,8,0)</f>
        <v>#N/A</v>
      </c>
      <c r="K556" s="58" t="e">
        <f>VLOOKUP($C556,'Daily_BU설비데이터 '!$C$20:$T$1000,9,0)</f>
        <v>#N/A</v>
      </c>
      <c r="L556" s="59" t="e">
        <f t="shared" si="59"/>
        <v>#N/A</v>
      </c>
      <c r="M556" s="68" t="e">
        <f>VLOOKUP($C556,'Daily_BU설비데이터 '!$C$20:$T$1000,11,0)</f>
        <v>#N/A</v>
      </c>
      <c r="N556" s="68" t="e">
        <f>VLOOKUP($C556,'Daily_BU설비데이터 '!$C$20:$T$1000,12,0)</f>
        <v>#N/A</v>
      </c>
      <c r="O556" s="68" t="e">
        <f>VLOOKUP($C556,'Daily_BU설비데이터 '!$C$20:$T$1000,13,0)</f>
        <v>#N/A</v>
      </c>
      <c r="P556" s="68" t="e">
        <f>VLOOKUP($C556,'Daily_BU설비데이터 '!$C$20:$T$1000,14,0)</f>
        <v>#N/A</v>
      </c>
      <c r="Q556" s="99" t="e">
        <f t="shared" si="60"/>
        <v>#N/A</v>
      </c>
      <c r="R556" s="100" t="e">
        <f t="shared" si="61"/>
        <v>#N/A</v>
      </c>
      <c r="S556" s="83" t="e">
        <f>VLOOKUP($C556,'Daily_BU설비데이터 '!$C$20:$T$1000,17,0)</f>
        <v>#N/A</v>
      </c>
      <c r="T556" s="83" t="e">
        <f>VLOOKUP($C556,'Daily_BU설비데이터 '!$C$20:$T$1000,18,0)</f>
        <v>#N/A</v>
      </c>
      <c r="U556" s="101" t="e">
        <f t="shared" si="62"/>
        <v>#N/A</v>
      </c>
      <c r="V556" s="45"/>
      <c r="W556" s="45"/>
      <c r="X556" s="45"/>
      <c r="Y556" s="45"/>
      <c r="Z556" s="45"/>
      <c r="AA556" s="45"/>
    </row>
    <row r="557" spans="2:27" x14ac:dyDescent="0.45">
      <c r="B557" s="45" t="s">
        <v>363</v>
      </c>
      <c r="C557" s="90"/>
      <c r="D557" s="56"/>
      <c r="E557" s="84"/>
      <c r="F557" s="58" t="e">
        <f>VLOOKUP($C557,'Daily_BU설비데이터 '!$C$20:$T$1000,4,0)</f>
        <v>#N/A</v>
      </c>
      <c r="G557" s="58" t="e">
        <f>VLOOKUP($C557,'Daily_BU설비데이터 '!$C$20:$T$1000,5,0)</f>
        <v>#N/A</v>
      </c>
      <c r="H557" s="58" t="e">
        <f>VLOOKUP($C557,'Daily_BU설비데이터 '!$C$20:$T$1000,6,0)</f>
        <v>#N/A</v>
      </c>
      <c r="I557" s="58" t="e">
        <f>VLOOKUP($C557,'Daily_BU설비데이터 '!$C$20:$T$1000,7,0)</f>
        <v>#N/A</v>
      </c>
      <c r="J557" s="58" t="e">
        <f>VLOOKUP($C557,'Daily_BU설비데이터 '!$C$20:$T$1000,8,0)</f>
        <v>#N/A</v>
      </c>
      <c r="K557" s="58" t="e">
        <f>VLOOKUP($C557,'Daily_BU설비데이터 '!$C$20:$T$1000,9,0)</f>
        <v>#N/A</v>
      </c>
      <c r="L557" s="59" t="e">
        <f t="shared" si="59"/>
        <v>#N/A</v>
      </c>
      <c r="M557" s="68" t="e">
        <f>VLOOKUP($C557,'Daily_BU설비데이터 '!$C$20:$T$1000,11,0)</f>
        <v>#N/A</v>
      </c>
      <c r="N557" s="68" t="e">
        <f>VLOOKUP($C557,'Daily_BU설비데이터 '!$C$20:$T$1000,12,0)</f>
        <v>#N/A</v>
      </c>
      <c r="O557" s="68" t="e">
        <f>VLOOKUP($C557,'Daily_BU설비데이터 '!$C$20:$T$1000,13,0)</f>
        <v>#N/A</v>
      </c>
      <c r="P557" s="68" t="e">
        <f>VLOOKUP($C557,'Daily_BU설비데이터 '!$C$20:$T$1000,14,0)</f>
        <v>#N/A</v>
      </c>
      <c r="Q557" s="99" t="e">
        <f t="shared" si="60"/>
        <v>#N/A</v>
      </c>
      <c r="R557" s="100" t="e">
        <f t="shared" si="61"/>
        <v>#N/A</v>
      </c>
      <c r="S557" s="83" t="e">
        <f>VLOOKUP($C557,'Daily_BU설비데이터 '!$C$20:$T$1000,17,0)</f>
        <v>#N/A</v>
      </c>
      <c r="T557" s="83" t="e">
        <f>VLOOKUP($C557,'Daily_BU설비데이터 '!$C$20:$T$1000,18,0)</f>
        <v>#N/A</v>
      </c>
      <c r="U557" s="101" t="e">
        <f t="shared" si="62"/>
        <v>#N/A</v>
      </c>
      <c r="V557" s="45"/>
      <c r="W557" s="45"/>
      <c r="X557" s="45"/>
      <c r="Y557" s="45"/>
      <c r="Z557" s="45"/>
      <c r="AA557" s="45"/>
    </row>
    <row r="558" spans="2:27" x14ac:dyDescent="0.45">
      <c r="B558" s="45" t="s">
        <v>364</v>
      </c>
      <c r="C558" s="90"/>
      <c r="D558" s="56"/>
      <c r="E558" s="57"/>
      <c r="F558" s="58" t="e">
        <f>VLOOKUP($C558,'Daily_BU설비데이터 '!$C$20:$T$1000,4,0)</f>
        <v>#N/A</v>
      </c>
      <c r="G558" s="58" t="e">
        <f>VLOOKUP($C558,'Daily_BU설비데이터 '!$C$20:$T$1000,5,0)</f>
        <v>#N/A</v>
      </c>
      <c r="H558" s="58" t="e">
        <f>VLOOKUP($C558,'Daily_BU설비데이터 '!$C$20:$T$1000,6,0)</f>
        <v>#N/A</v>
      </c>
      <c r="I558" s="58" t="e">
        <f>VLOOKUP($C558,'Daily_BU설비데이터 '!$C$20:$T$1000,7,0)</f>
        <v>#N/A</v>
      </c>
      <c r="J558" s="58" t="e">
        <f>VLOOKUP($C558,'Daily_BU설비데이터 '!$C$20:$T$1000,8,0)</f>
        <v>#N/A</v>
      </c>
      <c r="K558" s="58" t="e">
        <f>VLOOKUP($C558,'Daily_BU설비데이터 '!$C$20:$T$1000,9,0)</f>
        <v>#N/A</v>
      </c>
      <c r="L558" s="59" t="e">
        <f t="shared" si="59"/>
        <v>#N/A</v>
      </c>
      <c r="M558" s="68" t="e">
        <f>VLOOKUP($C558,'Daily_BU설비데이터 '!$C$20:$T$1000,11,0)</f>
        <v>#N/A</v>
      </c>
      <c r="N558" s="68" t="e">
        <f>VLOOKUP($C558,'Daily_BU설비데이터 '!$C$20:$T$1000,12,0)</f>
        <v>#N/A</v>
      </c>
      <c r="O558" s="68" t="e">
        <f>VLOOKUP($C558,'Daily_BU설비데이터 '!$C$20:$T$1000,13,0)</f>
        <v>#N/A</v>
      </c>
      <c r="P558" s="68" t="e">
        <f>VLOOKUP($C558,'Daily_BU설비데이터 '!$C$20:$T$1000,14,0)</f>
        <v>#N/A</v>
      </c>
      <c r="Q558" s="99" t="e">
        <f t="shared" si="60"/>
        <v>#N/A</v>
      </c>
      <c r="R558" s="100" t="e">
        <f t="shared" si="61"/>
        <v>#N/A</v>
      </c>
      <c r="S558" s="83" t="e">
        <f>VLOOKUP($C558,'Daily_BU설비데이터 '!$C$20:$T$1000,17,0)</f>
        <v>#N/A</v>
      </c>
      <c r="T558" s="83" t="e">
        <f>VLOOKUP($C558,'Daily_BU설비데이터 '!$C$20:$T$1000,18,0)</f>
        <v>#N/A</v>
      </c>
      <c r="U558" s="101" t="e">
        <f t="shared" si="62"/>
        <v>#N/A</v>
      </c>
      <c r="V558" s="45"/>
      <c r="W558" s="45"/>
      <c r="X558" s="45"/>
      <c r="Y558" s="45"/>
      <c r="Z558" s="45"/>
      <c r="AA558" s="45"/>
    </row>
    <row r="559" spans="2:27" x14ac:dyDescent="0.45">
      <c r="B559" s="45" t="s">
        <v>365</v>
      </c>
      <c r="C559" s="90"/>
      <c r="D559" s="56"/>
      <c r="E559" s="80"/>
      <c r="F559" s="58" t="e">
        <f>VLOOKUP($C559,'Daily_BU설비데이터 '!$C$20:$T$1000,4,0)</f>
        <v>#N/A</v>
      </c>
      <c r="G559" s="58" t="e">
        <f>VLOOKUP($C559,'Daily_BU설비데이터 '!$C$20:$T$1000,5,0)</f>
        <v>#N/A</v>
      </c>
      <c r="H559" s="58" t="e">
        <f>VLOOKUP($C559,'Daily_BU설비데이터 '!$C$20:$T$1000,6,0)</f>
        <v>#N/A</v>
      </c>
      <c r="I559" s="58" t="e">
        <f>VLOOKUP($C559,'Daily_BU설비데이터 '!$C$20:$T$1000,7,0)</f>
        <v>#N/A</v>
      </c>
      <c r="J559" s="58" t="e">
        <f>VLOOKUP($C559,'Daily_BU설비데이터 '!$C$20:$T$1000,8,0)</f>
        <v>#N/A</v>
      </c>
      <c r="K559" s="58" t="e">
        <f>VLOOKUP($C559,'Daily_BU설비데이터 '!$C$20:$T$1000,9,0)</f>
        <v>#N/A</v>
      </c>
      <c r="L559" s="59" t="e">
        <f t="shared" si="59"/>
        <v>#N/A</v>
      </c>
      <c r="M559" s="68" t="e">
        <f>VLOOKUP($C559,'Daily_BU설비데이터 '!$C$20:$T$1000,11,0)</f>
        <v>#N/A</v>
      </c>
      <c r="N559" s="68" t="e">
        <f>VLOOKUP($C559,'Daily_BU설비데이터 '!$C$20:$T$1000,12,0)</f>
        <v>#N/A</v>
      </c>
      <c r="O559" s="68" t="e">
        <f>VLOOKUP($C559,'Daily_BU설비데이터 '!$C$20:$T$1000,13,0)</f>
        <v>#N/A</v>
      </c>
      <c r="P559" s="68" t="e">
        <f>VLOOKUP($C559,'Daily_BU설비데이터 '!$C$20:$T$1000,14,0)</f>
        <v>#N/A</v>
      </c>
      <c r="Q559" s="99" t="e">
        <f t="shared" si="60"/>
        <v>#N/A</v>
      </c>
      <c r="R559" s="100" t="e">
        <f t="shared" si="61"/>
        <v>#N/A</v>
      </c>
      <c r="S559" s="83" t="e">
        <f>VLOOKUP($C559,'Daily_BU설비데이터 '!$C$20:$T$1000,17,0)</f>
        <v>#N/A</v>
      </c>
      <c r="T559" s="83" t="e">
        <f>VLOOKUP($C559,'Daily_BU설비데이터 '!$C$20:$T$1000,18,0)</f>
        <v>#N/A</v>
      </c>
      <c r="U559" s="101" t="e">
        <f t="shared" si="62"/>
        <v>#N/A</v>
      </c>
      <c r="V559" s="45"/>
      <c r="W559" s="45"/>
      <c r="X559" s="45"/>
      <c r="Y559" s="45"/>
      <c r="Z559" s="45"/>
      <c r="AA559" s="45"/>
    </row>
    <row r="560" spans="2:27" x14ac:dyDescent="0.45">
      <c r="B560" s="45" t="s">
        <v>366</v>
      </c>
      <c r="C560" s="90"/>
      <c r="D560" s="56"/>
      <c r="E560" s="84"/>
      <c r="F560" s="58" t="e">
        <f>VLOOKUP($C560,'Daily_BU설비데이터 '!$C$20:$T$1000,4,0)</f>
        <v>#N/A</v>
      </c>
      <c r="G560" s="58" t="e">
        <f>VLOOKUP($C560,'Daily_BU설비데이터 '!$C$20:$T$1000,5,0)</f>
        <v>#N/A</v>
      </c>
      <c r="H560" s="58" t="e">
        <f>VLOOKUP($C560,'Daily_BU설비데이터 '!$C$20:$T$1000,6,0)</f>
        <v>#N/A</v>
      </c>
      <c r="I560" s="58" t="e">
        <f>VLOOKUP($C560,'Daily_BU설비데이터 '!$C$20:$T$1000,7,0)</f>
        <v>#N/A</v>
      </c>
      <c r="J560" s="58" t="e">
        <f>VLOOKUP($C560,'Daily_BU설비데이터 '!$C$20:$T$1000,8,0)</f>
        <v>#N/A</v>
      </c>
      <c r="K560" s="58" t="e">
        <f>VLOOKUP($C560,'Daily_BU설비데이터 '!$C$20:$T$1000,9,0)</f>
        <v>#N/A</v>
      </c>
      <c r="L560" s="59" t="e">
        <f t="shared" si="59"/>
        <v>#N/A</v>
      </c>
      <c r="M560" s="68" t="e">
        <f>VLOOKUP($C560,'Daily_BU설비데이터 '!$C$20:$T$1000,11,0)</f>
        <v>#N/A</v>
      </c>
      <c r="N560" s="68" t="e">
        <f>VLOOKUP($C560,'Daily_BU설비데이터 '!$C$20:$T$1000,12,0)</f>
        <v>#N/A</v>
      </c>
      <c r="O560" s="68" t="e">
        <f>VLOOKUP($C560,'Daily_BU설비데이터 '!$C$20:$T$1000,13,0)</f>
        <v>#N/A</v>
      </c>
      <c r="P560" s="68" t="e">
        <f>VLOOKUP($C560,'Daily_BU설비데이터 '!$C$20:$T$1000,14,0)</f>
        <v>#N/A</v>
      </c>
      <c r="Q560" s="99" t="e">
        <f t="shared" si="60"/>
        <v>#N/A</v>
      </c>
      <c r="R560" s="100" t="e">
        <f t="shared" si="61"/>
        <v>#N/A</v>
      </c>
      <c r="S560" s="83" t="e">
        <f>VLOOKUP($C560,'Daily_BU설비데이터 '!$C$20:$T$1000,17,0)</f>
        <v>#N/A</v>
      </c>
      <c r="T560" s="83" t="e">
        <f>VLOOKUP($C560,'Daily_BU설비데이터 '!$C$20:$T$1000,18,0)</f>
        <v>#N/A</v>
      </c>
      <c r="U560" s="101" t="e">
        <f t="shared" si="62"/>
        <v>#N/A</v>
      </c>
      <c r="V560" s="45"/>
      <c r="W560" s="45"/>
      <c r="X560" s="45"/>
      <c r="Y560" s="45"/>
      <c r="Z560" s="45"/>
      <c r="AA560" s="45"/>
    </row>
    <row r="561" spans="2:27" x14ac:dyDescent="0.45">
      <c r="B561" s="45" t="s">
        <v>367</v>
      </c>
      <c r="C561" s="90"/>
      <c r="D561" s="56"/>
      <c r="E561" s="57"/>
      <c r="F561" s="58" t="e">
        <f>VLOOKUP($C561,'Daily_BU설비데이터 '!$C$20:$T$1000,4,0)</f>
        <v>#N/A</v>
      </c>
      <c r="G561" s="58" t="e">
        <f>VLOOKUP($C561,'Daily_BU설비데이터 '!$C$20:$T$1000,5,0)</f>
        <v>#N/A</v>
      </c>
      <c r="H561" s="58" t="e">
        <f>VLOOKUP($C561,'Daily_BU설비데이터 '!$C$20:$T$1000,6,0)</f>
        <v>#N/A</v>
      </c>
      <c r="I561" s="58" t="e">
        <f>VLOOKUP($C561,'Daily_BU설비데이터 '!$C$20:$T$1000,7,0)</f>
        <v>#N/A</v>
      </c>
      <c r="J561" s="58" t="e">
        <f>VLOOKUP($C561,'Daily_BU설비데이터 '!$C$20:$T$1000,8,0)</f>
        <v>#N/A</v>
      </c>
      <c r="K561" s="58" t="e">
        <f>VLOOKUP($C561,'Daily_BU설비데이터 '!$C$20:$T$1000,9,0)</f>
        <v>#N/A</v>
      </c>
      <c r="L561" s="59" t="e">
        <f t="shared" si="59"/>
        <v>#N/A</v>
      </c>
      <c r="M561" s="68" t="e">
        <f>VLOOKUP($C561,'Daily_BU설비데이터 '!$C$20:$T$1000,11,0)</f>
        <v>#N/A</v>
      </c>
      <c r="N561" s="68" t="e">
        <f>VLOOKUP($C561,'Daily_BU설비데이터 '!$C$20:$T$1000,12,0)</f>
        <v>#N/A</v>
      </c>
      <c r="O561" s="68" t="e">
        <f>VLOOKUP($C561,'Daily_BU설비데이터 '!$C$20:$T$1000,13,0)</f>
        <v>#N/A</v>
      </c>
      <c r="P561" s="68" t="e">
        <f>VLOOKUP($C561,'Daily_BU설비데이터 '!$C$20:$T$1000,14,0)</f>
        <v>#N/A</v>
      </c>
      <c r="Q561" s="99" t="e">
        <f t="shared" si="60"/>
        <v>#N/A</v>
      </c>
      <c r="R561" s="100" t="e">
        <f t="shared" si="61"/>
        <v>#N/A</v>
      </c>
      <c r="S561" s="83" t="e">
        <f>VLOOKUP($C561,'Daily_BU설비데이터 '!$C$20:$T$1000,17,0)</f>
        <v>#N/A</v>
      </c>
      <c r="T561" s="83" t="e">
        <f>VLOOKUP($C561,'Daily_BU설비데이터 '!$C$20:$T$1000,18,0)</f>
        <v>#N/A</v>
      </c>
      <c r="U561" s="101" t="e">
        <f t="shared" si="62"/>
        <v>#N/A</v>
      </c>
      <c r="V561" s="45"/>
      <c r="W561" s="45"/>
      <c r="X561" s="45"/>
      <c r="Y561" s="45"/>
      <c r="Z561" s="45"/>
      <c r="AA561" s="45"/>
    </row>
    <row r="562" spans="2:27" x14ac:dyDescent="0.45">
      <c r="B562" s="45" t="s">
        <v>368</v>
      </c>
      <c r="C562" s="90"/>
      <c r="D562" s="56"/>
      <c r="E562" s="80"/>
      <c r="F562" s="58" t="e">
        <f>VLOOKUP($C562,'Daily_BU설비데이터 '!$C$20:$T$1000,4,0)</f>
        <v>#N/A</v>
      </c>
      <c r="G562" s="58" t="e">
        <f>VLOOKUP($C562,'Daily_BU설비데이터 '!$C$20:$T$1000,5,0)</f>
        <v>#N/A</v>
      </c>
      <c r="H562" s="58" t="e">
        <f>VLOOKUP($C562,'Daily_BU설비데이터 '!$C$20:$T$1000,6,0)</f>
        <v>#N/A</v>
      </c>
      <c r="I562" s="58" t="e">
        <f>VLOOKUP($C562,'Daily_BU설비데이터 '!$C$20:$T$1000,7,0)</f>
        <v>#N/A</v>
      </c>
      <c r="J562" s="58" t="e">
        <f>VLOOKUP($C562,'Daily_BU설비데이터 '!$C$20:$T$1000,8,0)</f>
        <v>#N/A</v>
      </c>
      <c r="K562" s="58" t="e">
        <f>VLOOKUP($C562,'Daily_BU설비데이터 '!$C$20:$T$1000,9,0)</f>
        <v>#N/A</v>
      </c>
      <c r="L562" s="59" t="e">
        <f t="shared" si="59"/>
        <v>#N/A</v>
      </c>
      <c r="M562" s="68" t="e">
        <f>VLOOKUP($C562,'Daily_BU설비데이터 '!$C$20:$T$1000,11,0)</f>
        <v>#N/A</v>
      </c>
      <c r="N562" s="68" t="e">
        <f>VLOOKUP($C562,'Daily_BU설비데이터 '!$C$20:$T$1000,12,0)</f>
        <v>#N/A</v>
      </c>
      <c r="O562" s="68" t="e">
        <f>VLOOKUP($C562,'Daily_BU설비데이터 '!$C$20:$T$1000,13,0)</f>
        <v>#N/A</v>
      </c>
      <c r="P562" s="68" t="e">
        <f>VLOOKUP($C562,'Daily_BU설비데이터 '!$C$20:$T$1000,14,0)</f>
        <v>#N/A</v>
      </c>
      <c r="Q562" s="99" t="e">
        <f t="shared" si="60"/>
        <v>#N/A</v>
      </c>
      <c r="R562" s="100" t="e">
        <f t="shared" si="61"/>
        <v>#N/A</v>
      </c>
      <c r="S562" s="83" t="e">
        <f>VLOOKUP($C562,'Daily_BU설비데이터 '!$C$20:$T$1000,17,0)</f>
        <v>#N/A</v>
      </c>
      <c r="T562" s="83" t="e">
        <f>VLOOKUP($C562,'Daily_BU설비데이터 '!$C$20:$T$1000,18,0)</f>
        <v>#N/A</v>
      </c>
      <c r="U562" s="101" t="e">
        <f t="shared" si="62"/>
        <v>#N/A</v>
      </c>
      <c r="V562" s="45"/>
      <c r="W562" s="45"/>
      <c r="X562" s="45"/>
      <c r="Y562" s="45"/>
      <c r="Z562" s="45"/>
      <c r="AA562" s="45"/>
    </row>
    <row r="563" spans="2:27" x14ac:dyDescent="0.45">
      <c r="B563" s="45" t="s">
        <v>369</v>
      </c>
      <c r="C563" s="90"/>
      <c r="D563" s="56"/>
      <c r="E563" s="84"/>
      <c r="F563" s="58" t="e">
        <f>VLOOKUP($C563,'Daily_BU설비데이터 '!$C$20:$T$1000,4,0)</f>
        <v>#N/A</v>
      </c>
      <c r="G563" s="58" t="e">
        <f>VLOOKUP($C563,'Daily_BU설비데이터 '!$C$20:$T$1000,5,0)</f>
        <v>#N/A</v>
      </c>
      <c r="H563" s="58" t="e">
        <f>VLOOKUP($C563,'Daily_BU설비데이터 '!$C$20:$T$1000,6,0)</f>
        <v>#N/A</v>
      </c>
      <c r="I563" s="58" t="e">
        <f>VLOOKUP($C563,'Daily_BU설비데이터 '!$C$20:$T$1000,7,0)</f>
        <v>#N/A</v>
      </c>
      <c r="J563" s="58" t="e">
        <f>VLOOKUP($C563,'Daily_BU설비데이터 '!$C$20:$T$1000,8,0)</f>
        <v>#N/A</v>
      </c>
      <c r="K563" s="58" t="e">
        <f>VLOOKUP($C563,'Daily_BU설비데이터 '!$C$20:$T$1000,9,0)</f>
        <v>#N/A</v>
      </c>
      <c r="L563" s="59" t="e">
        <f t="shared" si="59"/>
        <v>#N/A</v>
      </c>
      <c r="M563" s="68" t="e">
        <f>VLOOKUP($C563,'Daily_BU설비데이터 '!$C$20:$T$1000,11,0)</f>
        <v>#N/A</v>
      </c>
      <c r="N563" s="68" t="e">
        <f>VLOOKUP($C563,'Daily_BU설비데이터 '!$C$20:$T$1000,12,0)</f>
        <v>#N/A</v>
      </c>
      <c r="O563" s="68" t="e">
        <f>VLOOKUP($C563,'Daily_BU설비데이터 '!$C$20:$T$1000,13,0)</f>
        <v>#N/A</v>
      </c>
      <c r="P563" s="68" t="e">
        <f>VLOOKUP($C563,'Daily_BU설비데이터 '!$C$20:$T$1000,14,0)</f>
        <v>#N/A</v>
      </c>
      <c r="Q563" s="99" t="e">
        <f t="shared" si="60"/>
        <v>#N/A</v>
      </c>
      <c r="R563" s="100" t="e">
        <f t="shared" si="61"/>
        <v>#N/A</v>
      </c>
      <c r="S563" s="83" t="e">
        <f>VLOOKUP($C563,'Daily_BU설비데이터 '!$C$20:$T$1000,17,0)</f>
        <v>#N/A</v>
      </c>
      <c r="T563" s="83" t="e">
        <f>VLOOKUP($C563,'Daily_BU설비데이터 '!$C$20:$T$1000,18,0)</f>
        <v>#N/A</v>
      </c>
      <c r="U563" s="101" t="e">
        <f t="shared" si="62"/>
        <v>#N/A</v>
      </c>
      <c r="V563" s="45"/>
      <c r="W563" s="45"/>
      <c r="X563" s="45"/>
      <c r="Y563" s="45"/>
      <c r="Z563" s="45"/>
      <c r="AA563" s="45"/>
    </row>
    <row r="564" spans="2:27" x14ac:dyDescent="0.45">
      <c r="B564" s="45" t="s">
        <v>370</v>
      </c>
      <c r="C564" s="90"/>
      <c r="D564" s="56"/>
      <c r="E564" s="57"/>
      <c r="F564" s="58" t="e">
        <f>VLOOKUP($C564,'Daily_BU설비데이터 '!$C$20:$T$1000,4,0)</f>
        <v>#N/A</v>
      </c>
      <c r="G564" s="58" t="e">
        <f>VLOOKUP($C564,'Daily_BU설비데이터 '!$C$20:$T$1000,5,0)</f>
        <v>#N/A</v>
      </c>
      <c r="H564" s="58" t="e">
        <f>VLOOKUP($C564,'Daily_BU설비데이터 '!$C$20:$T$1000,6,0)</f>
        <v>#N/A</v>
      </c>
      <c r="I564" s="58" t="e">
        <f>VLOOKUP($C564,'Daily_BU설비데이터 '!$C$20:$T$1000,7,0)</f>
        <v>#N/A</v>
      </c>
      <c r="J564" s="58" t="e">
        <f>VLOOKUP($C564,'Daily_BU설비데이터 '!$C$20:$T$1000,8,0)</f>
        <v>#N/A</v>
      </c>
      <c r="K564" s="58" t="e">
        <f>VLOOKUP($C564,'Daily_BU설비데이터 '!$C$20:$T$1000,9,0)</f>
        <v>#N/A</v>
      </c>
      <c r="L564" s="59" t="e">
        <f t="shared" si="59"/>
        <v>#N/A</v>
      </c>
      <c r="M564" s="68" t="e">
        <f>VLOOKUP($C564,'Daily_BU설비데이터 '!$C$20:$T$1000,11,0)</f>
        <v>#N/A</v>
      </c>
      <c r="N564" s="68" t="e">
        <f>VLOOKUP($C564,'Daily_BU설비데이터 '!$C$20:$T$1000,12,0)</f>
        <v>#N/A</v>
      </c>
      <c r="O564" s="68" t="e">
        <f>VLOOKUP($C564,'Daily_BU설비데이터 '!$C$20:$T$1000,13,0)</f>
        <v>#N/A</v>
      </c>
      <c r="P564" s="68" t="e">
        <f>VLOOKUP($C564,'Daily_BU설비데이터 '!$C$20:$T$1000,14,0)</f>
        <v>#N/A</v>
      </c>
      <c r="Q564" s="99" t="e">
        <f t="shared" si="60"/>
        <v>#N/A</v>
      </c>
      <c r="R564" s="100" t="e">
        <f t="shared" si="61"/>
        <v>#N/A</v>
      </c>
      <c r="S564" s="83" t="e">
        <f>VLOOKUP($C564,'Daily_BU설비데이터 '!$C$20:$T$1000,17,0)</f>
        <v>#N/A</v>
      </c>
      <c r="T564" s="83" t="e">
        <f>VLOOKUP($C564,'Daily_BU설비데이터 '!$C$20:$T$1000,18,0)</f>
        <v>#N/A</v>
      </c>
      <c r="U564" s="101" t="e">
        <f t="shared" si="62"/>
        <v>#N/A</v>
      </c>
      <c r="V564" s="45"/>
      <c r="W564" s="45"/>
      <c r="X564" s="45"/>
      <c r="Y564" s="45"/>
      <c r="Z564" s="45"/>
      <c r="AA564" s="45"/>
    </row>
    <row r="565" spans="2:27" x14ac:dyDescent="0.45">
      <c r="B565" s="45" t="s">
        <v>371</v>
      </c>
      <c r="C565" s="90"/>
      <c r="D565" s="56"/>
      <c r="E565" s="80"/>
      <c r="F565" s="58" t="e">
        <f>VLOOKUP($C565,'Daily_BU설비데이터 '!$C$20:$T$1000,4,0)</f>
        <v>#N/A</v>
      </c>
      <c r="G565" s="58" t="e">
        <f>VLOOKUP($C565,'Daily_BU설비데이터 '!$C$20:$T$1000,5,0)</f>
        <v>#N/A</v>
      </c>
      <c r="H565" s="58" t="e">
        <f>VLOOKUP($C565,'Daily_BU설비데이터 '!$C$20:$T$1000,6,0)</f>
        <v>#N/A</v>
      </c>
      <c r="I565" s="58" t="e">
        <f>VLOOKUP($C565,'Daily_BU설비데이터 '!$C$20:$T$1000,7,0)</f>
        <v>#N/A</v>
      </c>
      <c r="J565" s="58" t="e">
        <f>VLOOKUP($C565,'Daily_BU설비데이터 '!$C$20:$T$1000,8,0)</f>
        <v>#N/A</v>
      </c>
      <c r="K565" s="58" t="e">
        <f>VLOOKUP($C565,'Daily_BU설비데이터 '!$C$20:$T$1000,9,0)</f>
        <v>#N/A</v>
      </c>
      <c r="L565" s="59" t="e">
        <f t="shared" si="59"/>
        <v>#N/A</v>
      </c>
      <c r="M565" s="68" t="e">
        <f>VLOOKUP($C565,'Daily_BU설비데이터 '!$C$20:$T$1000,11,0)</f>
        <v>#N/A</v>
      </c>
      <c r="N565" s="68" t="e">
        <f>VLOOKUP($C565,'Daily_BU설비데이터 '!$C$20:$T$1000,12,0)</f>
        <v>#N/A</v>
      </c>
      <c r="O565" s="68" t="e">
        <f>VLOOKUP($C565,'Daily_BU설비데이터 '!$C$20:$T$1000,13,0)</f>
        <v>#N/A</v>
      </c>
      <c r="P565" s="68" t="e">
        <f>VLOOKUP($C565,'Daily_BU설비데이터 '!$C$20:$T$1000,14,0)</f>
        <v>#N/A</v>
      </c>
      <c r="Q565" s="99" t="e">
        <f t="shared" si="60"/>
        <v>#N/A</v>
      </c>
      <c r="R565" s="100" t="e">
        <f t="shared" si="61"/>
        <v>#N/A</v>
      </c>
      <c r="S565" s="83" t="e">
        <f>VLOOKUP($C565,'Daily_BU설비데이터 '!$C$20:$T$1000,17,0)</f>
        <v>#N/A</v>
      </c>
      <c r="T565" s="83" t="e">
        <f>VLOOKUP($C565,'Daily_BU설비데이터 '!$C$20:$T$1000,18,0)</f>
        <v>#N/A</v>
      </c>
      <c r="U565" s="101" t="e">
        <f t="shared" si="62"/>
        <v>#N/A</v>
      </c>
      <c r="V565" s="45"/>
      <c r="W565" s="45"/>
      <c r="X565" s="45"/>
      <c r="Y565" s="45"/>
      <c r="Z565" s="45"/>
      <c r="AA565" s="45"/>
    </row>
    <row r="566" spans="2:27" x14ac:dyDescent="0.45">
      <c r="B566" s="45" t="s">
        <v>372</v>
      </c>
      <c r="C566" s="90"/>
      <c r="D566" s="56"/>
      <c r="E566" s="84"/>
      <c r="F566" s="58" t="e">
        <f>VLOOKUP($C566,'Daily_BU설비데이터 '!$C$20:$T$1000,4,0)</f>
        <v>#N/A</v>
      </c>
      <c r="G566" s="58" t="e">
        <f>VLOOKUP($C566,'Daily_BU설비데이터 '!$C$20:$T$1000,5,0)</f>
        <v>#N/A</v>
      </c>
      <c r="H566" s="58" t="e">
        <f>VLOOKUP($C566,'Daily_BU설비데이터 '!$C$20:$T$1000,6,0)</f>
        <v>#N/A</v>
      </c>
      <c r="I566" s="58" t="e">
        <f>VLOOKUP($C566,'Daily_BU설비데이터 '!$C$20:$T$1000,7,0)</f>
        <v>#N/A</v>
      </c>
      <c r="J566" s="58" t="e">
        <f>VLOOKUP($C566,'Daily_BU설비데이터 '!$C$20:$T$1000,8,0)</f>
        <v>#N/A</v>
      </c>
      <c r="K566" s="58" t="e">
        <f>VLOOKUP($C566,'Daily_BU설비데이터 '!$C$20:$T$1000,9,0)</f>
        <v>#N/A</v>
      </c>
      <c r="L566" s="59" t="e">
        <f t="shared" si="59"/>
        <v>#N/A</v>
      </c>
      <c r="M566" s="68" t="e">
        <f>VLOOKUP($C566,'Daily_BU설비데이터 '!$C$20:$T$1000,11,0)</f>
        <v>#N/A</v>
      </c>
      <c r="N566" s="68" t="e">
        <f>VLOOKUP($C566,'Daily_BU설비데이터 '!$C$20:$T$1000,12,0)</f>
        <v>#N/A</v>
      </c>
      <c r="O566" s="68" t="e">
        <f>VLOOKUP($C566,'Daily_BU설비데이터 '!$C$20:$T$1000,13,0)</f>
        <v>#N/A</v>
      </c>
      <c r="P566" s="68" t="e">
        <f>VLOOKUP($C566,'Daily_BU설비데이터 '!$C$20:$T$1000,14,0)</f>
        <v>#N/A</v>
      </c>
      <c r="Q566" s="99" t="e">
        <f t="shared" si="60"/>
        <v>#N/A</v>
      </c>
      <c r="R566" s="100" t="e">
        <f t="shared" si="61"/>
        <v>#N/A</v>
      </c>
      <c r="S566" s="83" t="e">
        <f>VLOOKUP($C566,'Daily_BU설비데이터 '!$C$20:$T$1000,17,0)</f>
        <v>#N/A</v>
      </c>
      <c r="T566" s="83" t="e">
        <f>VLOOKUP($C566,'Daily_BU설비데이터 '!$C$20:$T$1000,18,0)</f>
        <v>#N/A</v>
      </c>
      <c r="U566" s="101" t="e">
        <f t="shared" si="62"/>
        <v>#N/A</v>
      </c>
      <c r="V566" s="45"/>
      <c r="W566" s="45"/>
      <c r="X566" s="45"/>
      <c r="Y566" s="45"/>
      <c r="Z566" s="45"/>
      <c r="AA566" s="45"/>
    </row>
    <row r="567" spans="2:27" x14ac:dyDescent="0.45">
      <c r="B567" s="45" t="s">
        <v>373</v>
      </c>
      <c r="C567" s="90"/>
      <c r="D567" s="56"/>
      <c r="E567" s="57"/>
      <c r="F567" s="58" t="e">
        <f>VLOOKUP($C567,'Daily_BU설비데이터 '!$C$20:$T$1000,4,0)</f>
        <v>#N/A</v>
      </c>
      <c r="G567" s="58" t="e">
        <f>VLOOKUP($C567,'Daily_BU설비데이터 '!$C$20:$T$1000,5,0)</f>
        <v>#N/A</v>
      </c>
      <c r="H567" s="58" t="e">
        <f>VLOOKUP($C567,'Daily_BU설비데이터 '!$C$20:$T$1000,6,0)</f>
        <v>#N/A</v>
      </c>
      <c r="I567" s="58" t="e">
        <f>VLOOKUP($C567,'Daily_BU설비데이터 '!$C$20:$T$1000,7,0)</f>
        <v>#N/A</v>
      </c>
      <c r="J567" s="58" t="e">
        <f>VLOOKUP($C567,'Daily_BU설비데이터 '!$C$20:$T$1000,8,0)</f>
        <v>#N/A</v>
      </c>
      <c r="K567" s="58" t="e">
        <f>VLOOKUP($C567,'Daily_BU설비데이터 '!$C$20:$T$1000,9,0)</f>
        <v>#N/A</v>
      </c>
      <c r="L567" s="59" t="e">
        <f t="shared" si="59"/>
        <v>#N/A</v>
      </c>
      <c r="M567" s="68" t="e">
        <f>VLOOKUP($C567,'Daily_BU설비데이터 '!$C$20:$T$1000,11,0)</f>
        <v>#N/A</v>
      </c>
      <c r="N567" s="68" t="e">
        <f>VLOOKUP($C567,'Daily_BU설비데이터 '!$C$20:$T$1000,12,0)</f>
        <v>#N/A</v>
      </c>
      <c r="O567" s="68" t="e">
        <f>VLOOKUP($C567,'Daily_BU설비데이터 '!$C$20:$T$1000,13,0)</f>
        <v>#N/A</v>
      </c>
      <c r="P567" s="68" t="e">
        <f>VLOOKUP($C567,'Daily_BU설비데이터 '!$C$20:$T$1000,14,0)</f>
        <v>#N/A</v>
      </c>
      <c r="Q567" s="99" t="e">
        <f t="shared" si="60"/>
        <v>#N/A</v>
      </c>
      <c r="R567" s="100" t="e">
        <f t="shared" si="61"/>
        <v>#N/A</v>
      </c>
      <c r="S567" s="83" t="e">
        <f>VLOOKUP($C567,'Daily_BU설비데이터 '!$C$20:$T$1000,17,0)</f>
        <v>#N/A</v>
      </c>
      <c r="T567" s="83" t="e">
        <f>VLOOKUP($C567,'Daily_BU설비데이터 '!$C$20:$T$1000,18,0)</f>
        <v>#N/A</v>
      </c>
      <c r="U567" s="101" t="e">
        <f t="shared" si="62"/>
        <v>#N/A</v>
      </c>
      <c r="V567" s="45"/>
      <c r="W567" s="45"/>
      <c r="X567" s="45"/>
      <c r="Y567" s="45"/>
      <c r="Z567" s="45"/>
      <c r="AA567" s="45"/>
    </row>
    <row r="568" spans="2:27" x14ac:dyDescent="0.45">
      <c r="B568" s="45" t="s">
        <v>374</v>
      </c>
      <c r="C568" s="90"/>
      <c r="D568" s="56"/>
      <c r="E568" s="80"/>
      <c r="F568" s="58" t="e">
        <f>VLOOKUP($C568,'Daily_BU설비데이터 '!$C$20:$T$1000,4,0)</f>
        <v>#N/A</v>
      </c>
      <c r="G568" s="58" t="e">
        <f>VLOOKUP($C568,'Daily_BU설비데이터 '!$C$20:$T$1000,5,0)</f>
        <v>#N/A</v>
      </c>
      <c r="H568" s="58" t="e">
        <f>VLOOKUP($C568,'Daily_BU설비데이터 '!$C$20:$T$1000,6,0)</f>
        <v>#N/A</v>
      </c>
      <c r="I568" s="58" t="e">
        <f>VLOOKUP($C568,'Daily_BU설비데이터 '!$C$20:$T$1000,7,0)</f>
        <v>#N/A</v>
      </c>
      <c r="J568" s="58" t="e">
        <f>VLOOKUP($C568,'Daily_BU설비데이터 '!$C$20:$T$1000,8,0)</f>
        <v>#N/A</v>
      </c>
      <c r="K568" s="58" t="e">
        <f>VLOOKUP($C568,'Daily_BU설비데이터 '!$C$20:$T$1000,9,0)</f>
        <v>#N/A</v>
      </c>
      <c r="L568" s="59" t="e">
        <f t="shared" si="59"/>
        <v>#N/A</v>
      </c>
      <c r="M568" s="68" t="e">
        <f>VLOOKUP($C568,'Daily_BU설비데이터 '!$C$20:$T$1000,11,0)</f>
        <v>#N/A</v>
      </c>
      <c r="N568" s="68" t="e">
        <f>VLOOKUP($C568,'Daily_BU설비데이터 '!$C$20:$T$1000,12,0)</f>
        <v>#N/A</v>
      </c>
      <c r="O568" s="68" t="e">
        <f>VLOOKUP($C568,'Daily_BU설비데이터 '!$C$20:$T$1000,13,0)</f>
        <v>#N/A</v>
      </c>
      <c r="P568" s="68" t="e">
        <f>VLOOKUP($C568,'Daily_BU설비데이터 '!$C$20:$T$1000,14,0)</f>
        <v>#N/A</v>
      </c>
      <c r="Q568" s="99" t="e">
        <f t="shared" si="60"/>
        <v>#N/A</v>
      </c>
      <c r="R568" s="100" t="e">
        <f t="shared" si="61"/>
        <v>#N/A</v>
      </c>
      <c r="S568" s="83" t="e">
        <f>VLOOKUP($C568,'Daily_BU설비데이터 '!$C$20:$T$1000,17,0)</f>
        <v>#N/A</v>
      </c>
      <c r="T568" s="83" t="e">
        <f>VLOOKUP($C568,'Daily_BU설비데이터 '!$C$20:$T$1000,18,0)</f>
        <v>#N/A</v>
      </c>
      <c r="U568" s="101" t="e">
        <f t="shared" si="62"/>
        <v>#N/A</v>
      </c>
      <c r="V568" s="45"/>
      <c r="W568" s="45"/>
      <c r="X568" s="45"/>
      <c r="Y568" s="45"/>
      <c r="Z568" s="45"/>
      <c r="AA568" s="45"/>
    </row>
    <row r="569" spans="2:27" x14ac:dyDescent="0.45">
      <c r="B569" s="45" t="s">
        <v>375</v>
      </c>
      <c r="C569" s="90"/>
      <c r="D569" s="56"/>
      <c r="E569" s="84"/>
      <c r="F569" s="58" t="e">
        <f>VLOOKUP($C569,'Daily_BU설비데이터 '!$C$20:$T$1000,4,0)</f>
        <v>#N/A</v>
      </c>
      <c r="G569" s="58" t="e">
        <f>VLOOKUP($C569,'Daily_BU설비데이터 '!$C$20:$T$1000,5,0)</f>
        <v>#N/A</v>
      </c>
      <c r="H569" s="58" t="e">
        <f>VLOOKUP($C569,'Daily_BU설비데이터 '!$C$20:$T$1000,6,0)</f>
        <v>#N/A</v>
      </c>
      <c r="I569" s="58" t="e">
        <f>VLOOKUP($C569,'Daily_BU설비데이터 '!$C$20:$T$1000,7,0)</f>
        <v>#N/A</v>
      </c>
      <c r="J569" s="58" t="e">
        <f>VLOOKUP($C569,'Daily_BU설비데이터 '!$C$20:$T$1000,8,0)</f>
        <v>#N/A</v>
      </c>
      <c r="K569" s="58" t="e">
        <f>VLOOKUP($C569,'Daily_BU설비데이터 '!$C$20:$T$1000,9,0)</f>
        <v>#N/A</v>
      </c>
      <c r="L569" s="59" t="e">
        <f t="shared" si="59"/>
        <v>#N/A</v>
      </c>
      <c r="M569" s="68" t="e">
        <f>VLOOKUP($C569,'Daily_BU설비데이터 '!$C$20:$T$1000,11,0)</f>
        <v>#N/A</v>
      </c>
      <c r="N569" s="68" t="e">
        <f>VLOOKUP($C569,'Daily_BU설비데이터 '!$C$20:$T$1000,12,0)</f>
        <v>#N/A</v>
      </c>
      <c r="O569" s="68" t="e">
        <f>VLOOKUP($C569,'Daily_BU설비데이터 '!$C$20:$T$1000,13,0)</f>
        <v>#N/A</v>
      </c>
      <c r="P569" s="68" t="e">
        <f>VLOOKUP($C569,'Daily_BU설비데이터 '!$C$20:$T$1000,14,0)</f>
        <v>#N/A</v>
      </c>
      <c r="Q569" s="99" t="e">
        <f t="shared" si="60"/>
        <v>#N/A</v>
      </c>
      <c r="R569" s="100" t="e">
        <f t="shared" si="61"/>
        <v>#N/A</v>
      </c>
      <c r="S569" s="83" t="e">
        <f>VLOOKUP($C569,'Daily_BU설비데이터 '!$C$20:$T$1000,17,0)</f>
        <v>#N/A</v>
      </c>
      <c r="T569" s="83" t="e">
        <f>VLOOKUP($C569,'Daily_BU설비데이터 '!$C$20:$T$1000,18,0)</f>
        <v>#N/A</v>
      </c>
      <c r="U569" s="101" t="e">
        <f t="shared" si="62"/>
        <v>#N/A</v>
      </c>
      <c r="V569" s="45"/>
      <c r="W569" s="45"/>
      <c r="X569" s="45"/>
      <c r="Y569" s="45"/>
      <c r="Z569" s="45"/>
      <c r="AA569" s="45"/>
    </row>
    <row r="570" spans="2:27" x14ac:dyDescent="0.45">
      <c r="B570" s="45" t="s">
        <v>376</v>
      </c>
      <c r="C570" s="90"/>
      <c r="D570" s="56"/>
      <c r="E570" s="57"/>
      <c r="F570" s="58" t="e">
        <f>VLOOKUP($C570,'Daily_BU설비데이터 '!$C$20:$T$1000,4,0)</f>
        <v>#N/A</v>
      </c>
      <c r="G570" s="58" t="e">
        <f>VLOOKUP($C570,'Daily_BU설비데이터 '!$C$20:$T$1000,5,0)</f>
        <v>#N/A</v>
      </c>
      <c r="H570" s="58" t="e">
        <f>VLOOKUP($C570,'Daily_BU설비데이터 '!$C$20:$T$1000,6,0)</f>
        <v>#N/A</v>
      </c>
      <c r="I570" s="58" t="e">
        <f>VLOOKUP($C570,'Daily_BU설비데이터 '!$C$20:$T$1000,7,0)</f>
        <v>#N/A</v>
      </c>
      <c r="J570" s="58" t="e">
        <f>VLOOKUP($C570,'Daily_BU설비데이터 '!$C$20:$T$1000,8,0)</f>
        <v>#N/A</v>
      </c>
      <c r="K570" s="58" t="e">
        <f>VLOOKUP($C570,'Daily_BU설비데이터 '!$C$20:$T$1000,9,0)</f>
        <v>#N/A</v>
      </c>
      <c r="L570" s="59" t="e">
        <f t="shared" si="59"/>
        <v>#N/A</v>
      </c>
      <c r="M570" s="68" t="e">
        <f>VLOOKUP($C570,'Daily_BU설비데이터 '!$C$20:$T$1000,11,0)</f>
        <v>#N/A</v>
      </c>
      <c r="N570" s="68" t="e">
        <f>VLOOKUP($C570,'Daily_BU설비데이터 '!$C$20:$T$1000,12,0)</f>
        <v>#N/A</v>
      </c>
      <c r="O570" s="68" t="e">
        <f>VLOOKUP($C570,'Daily_BU설비데이터 '!$C$20:$T$1000,13,0)</f>
        <v>#N/A</v>
      </c>
      <c r="P570" s="68" t="e">
        <f>VLOOKUP($C570,'Daily_BU설비데이터 '!$C$20:$T$1000,14,0)</f>
        <v>#N/A</v>
      </c>
      <c r="Q570" s="99" t="e">
        <f t="shared" si="60"/>
        <v>#N/A</v>
      </c>
      <c r="R570" s="100" t="e">
        <f t="shared" si="61"/>
        <v>#N/A</v>
      </c>
      <c r="S570" s="83" t="e">
        <f>VLOOKUP($C570,'Daily_BU설비데이터 '!$C$20:$T$1000,17,0)</f>
        <v>#N/A</v>
      </c>
      <c r="T570" s="83" t="e">
        <f>VLOOKUP($C570,'Daily_BU설비데이터 '!$C$20:$T$1000,18,0)</f>
        <v>#N/A</v>
      </c>
      <c r="U570" s="101" t="e">
        <f t="shared" si="62"/>
        <v>#N/A</v>
      </c>
      <c r="V570" s="45"/>
      <c r="W570" s="45"/>
      <c r="X570" s="45"/>
      <c r="Y570" s="45"/>
      <c r="Z570" s="45"/>
      <c r="AA570" s="45"/>
    </row>
    <row r="571" spans="2:27" x14ac:dyDescent="0.45">
      <c r="B571" s="45" t="s">
        <v>377</v>
      </c>
      <c r="C571" s="90"/>
      <c r="D571" s="56"/>
      <c r="E571" s="80"/>
      <c r="F571" s="58" t="e">
        <f>VLOOKUP($C571,'Daily_BU설비데이터 '!$C$20:$T$1000,4,0)</f>
        <v>#N/A</v>
      </c>
      <c r="G571" s="58" t="e">
        <f>VLOOKUP($C571,'Daily_BU설비데이터 '!$C$20:$T$1000,5,0)</f>
        <v>#N/A</v>
      </c>
      <c r="H571" s="58" t="e">
        <f>VLOOKUP($C571,'Daily_BU설비데이터 '!$C$20:$T$1000,6,0)</f>
        <v>#N/A</v>
      </c>
      <c r="I571" s="58" t="e">
        <f>VLOOKUP($C571,'Daily_BU설비데이터 '!$C$20:$T$1000,7,0)</f>
        <v>#N/A</v>
      </c>
      <c r="J571" s="58" t="e">
        <f>VLOOKUP($C571,'Daily_BU설비데이터 '!$C$20:$T$1000,8,0)</f>
        <v>#N/A</v>
      </c>
      <c r="K571" s="58" t="e">
        <f>VLOOKUP($C571,'Daily_BU설비데이터 '!$C$20:$T$1000,9,0)</f>
        <v>#N/A</v>
      </c>
      <c r="L571" s="59" t="e">
        <f t="shared" si="59"/>
        <v>#N/A</v>
      </c>
      <c r="M571" s="68" t="e">
        <f>VLOOKUP($C571,'Daily_BU설비데이터 '!$C$20:$T$1000,11,0)</f>
        <v>#N/A</v>
      </c>
      <c r="N571" s="68" t="e">
        <f>VLOOKUP($C571,'Daily_BU설비데이터 '!$C$20:$T$1000,12,0)</f>
        <v>#N/A</v>
      </c>
      <c r="O571" s="68" t="e">
        <f>VLOOKUP($C571,'Daily_BU설비데이터 '!$C$20:$T$1000,13,0)</f>
        <v>#N/A</v>
      </c>
      <c r="P571" s="68" t="e">
        <f>VLOOKUP($C571,'Daily_BU설비데이터 '!$C$20:$T$1000,14,0)</f>
        <v>#N/A</v>
      </c>
      <c r="Q571" s="99" t="e">
        <f t="shared" si="60"/>
        <v>#N/A</v>
      </c>
      <c r="R571" s="100" t="e">
        <f t="shared" si="61"/>
        <v>#N/A</v>
      </c>
      <c r="S571" s="83" t="e">
        <f>VLOOKUP($C571,'Daily_BU설비데이터 '!$C$20:$T$1000,17,0)</f>
        <v>#N/A</v>
      </c>
      <c r="T571" s="83" t="e">
        <f>VLOOKUP($C571,'Daily_BU설비데이터 '!$C$20:$T$1000,18,0)</f>
        <v>#N/A</v>
      </c>
      <c r="U571" s="101" t="e">
        <f t="shared" si="62"/>
        <v>#N/A</v>
      </c>
      <c r="V571" s="45"/>
      <c r="W571" s="45"/>
      <c r="X571" s="45"/>
      <c r="Y571" s="45"/>
      <c r="Z571" s="45"/>
      <c r="AA571" s="45"/>
    </row>
    <row r="572" spans="2:27" x14ac:dyDescent="0.45">
      <c r="B572" s="45" t="s">
        <v>378</v>
      </c>
      <c r="C572" s="90"/>
      <c r="D572" s="56"/>
      <c r="E572" s="84"/>
      <c r="F572" s="58" t="e">
        <f>VLOOKUP($C572,'Daily_BU설비데이터 '!$C$20:$T$1000,4,0)</f>
        <v>#N/A</v>
      </c>
      <c r="G572" s="58" t="e">
        <f>VLOOKUP($C572,'Daily_BU설비데이터 '!$C$20:$T$1000,5,0)</f>
        <v>#N/A</v>
      </c>
      <c r="H572" s="58" t="e">
        <f>VLOOKUP($C572,'Daily_BU설비데이터 '!$C$20:$T$1000,6,0)</f>
        <v>#N/A</v>
      </c>
      <c r="I572" s="58" t="e">
        <f>VLOOKUP($C572,'Daily_BU설비데이터 '!$C$20:$T$1000,7,0)</f>
        <v>#N/A</v>
      </c>
      <c r="J572" s="58" t="e">
        <f>VLOOKUP($C572,'Daily_BU설비데이터 '!$C$20:$T$1000,8,0)</f>
        <v>#N/A</v>
      </c>
      <c r="K572" s="58" t="e">
        <f>VLOOKUP($C572,'Daily_BU설비데이터 '!$C$20:$T$1000,9,0)</f>
        <v>#N/A</v>
      </c>
      <c r="L572" s="59" t="e">
        <f t="shared" si="59"/>
        <v>#N/A</v>
      </c>
      <c r="M572" s="68" t="e">
        <f>VLOOKUP($C572,'Daily_BU설비데이터 '!$C$20:$T$1000,11,0)</f>
        <v>#N/A</v>
      </c>
      <c r="N572" s="68" t="e">
        <f>VLOOKUP($C572,'Daily_BU설비데이터 '!$C$20:$T$1000,12,0)</f>
        <v>#N/A</v>
      </c>
      <c r="O572" s="68" t="e">
        <f>VLOOKUP($C572,'Daily_BU설비데이터 '!$C$20:$T$1000,13,0)</f>
        <v>#N/A</v>
      </c>
      <c r="P572" s="68" t="e">
        <f>VLOOKUP($C572,'Daily_BU설비데이터 '!$C$20:$T$1000,14,0)</f>
        <v>#N/A</v>
      </c>
      <c r="Q572" s="99" t="e">
        <f t="shared" si="60"/>
        <v>#N/A</v>
      </c>
      <c r="R572" s="100" t="e">
        <f t="shared" si="61"/>
        <v>#N/A</v>
      </c>
      <c r="S572" s="83" t="e">
        <f>VLOOKUP($C572,'Daily_BU설비데이터 '!$C$20:$T$1000,17,0)</f>
        <v>#N/A</v>
      </c>
      <c r="T572" s="83" t="e">
        <f>VLOOKUP($C572,'Daily_BU설비데이터 '!$C$20:$T$1000,18,0)</f>
        <v>#N/A</v>
      </c>
      <c r="U572" s="101" t="e">
        <f t="shared" si="62"/>
        <v>#N/A</v>
      </c>
      <c r="V572" s="45"/>
      <c r="W572" s="45"/>
      <c r="X572" s="45"/>
      <c r="Y572" s="45"/>
      <c r="Z572" s="45"/>
      <c r="AA572" s="45"/>
    </row>
    <row r="573" spans="2:27" x14ac:dyDescent="0.45">
      <c r="B573" s="45" t="s">
        <v>379</v>
      </c>
      <c r="C573" s="90"/>
      <c r="D573" s="56"/>
      <c r="E573" s="57"/>
      <c r="F573" s="58" t="e">
        <f>VLOOKUP($C573,'Daily_BU설비데이터 '!$C$20:$T$1000,4,0)</f>
        <v>#N/A</v>
      </c>
      <c r="G573" s="58" t="e">
        <f>VLOOKUP($C573,'Daily_BU설비데이터 '!$C$20:$T$1000,5,0)</f>
        <v>#N/A</v>
      </c>
      <c r="H573" s="58" t="e">
        <f>VLOOKUP($C573,'Daily_BU설비데이터 '!$C$20:$T$1000,6,0)</f>
        <v>#N/A</v>
      </c>
      <c r="I573" s="58" t="e">
        <f>VLOOKUP($C573,'Daily_BU설비데이터 '!$C$20:$T$1000,7,0)</f>
        <v>#N/A</v>
      </c>
      <c r="J573" s="58" t="e">
        <f>VLOOKUP($C573,'Daily_BU설비데이터 '!$C$20:$T$1000,8,0)</f>
        <v>#N/A</v>
      </c>
      <c r="K573" s="58" t="e">
        <f>VLOOKUP($C573,'Daily_BU설비데이터 '!$C$20:$T$1000,9,0)</f>
        <v>#N/A</v>
      </c>
      <c r="L573" s="59" t="e">
        <f t="shared" si="59"/>
        <v>#N/A</v>
      </c>
      <c r="M573" s="68" t="e">
        <f>VLOOKUP($C573,'Daily_BU설비데이터 '!$C$20:$T$1000,11,0)</f>
        <v>#N/A</v>
      </c>
      <c r="N573" s="68" t="e">
        <f>VLOOKUP($C573,'Daily_BU설비데이터 '!$C$20:$T$1000,12,0)</f>
        <v>#N/A</v>
      </c>
      <c r="O573" s="68" t="e">
        <f>VLOOKUP($C573,'Daily_BU설비데이터 '!$C$20:$T$1000,13,0)</f>
        <v>#N/A</v>
      </c>
      <c r="P573" s="68" t="e">
        <f>VLOOKUP($C573,'Daily_BU설비데이터 '!$C$20:$T$1000,14,0)</f>
        <v>#N/A</v>
      </c>
      <c r="Q573" s="99" t="e">
        <f t="shared" si="60"/>
        <v>#N/A</v>
      </c>
      <c r="R573" s="100" t="e">
        <f t="shared" si="61"/>
        <v>#N/A</v>
      </c>
      <c r="S573" s="83" t="e">
        <f>VLOOKUP($C573,'Daily_BU설비데이터 '!$C$20:$T$1000,17,0)</f>
        <v>#N/A</v>
      </c>
      <c r="T573" s="83" t="e">
        <f>VLOOKUP($C573,'Daily_BU설비데이터 '!$C$20:$T$1000,18,0)</f>
        <v>#N/A</v>
      </c>
      <c r="U573" s="101" t="e">
        <f t="shared" si="62"/>
        <v>#N/A</v>
      </c>
      <c r="V573" s="45"/>
      <c r="W573" s="45"/>
      <c r="X573" s="45"/>
      <c r="Y573" s="45"/>
      <c r="Z573" s="45"/>
      <c r="AA573" s="45"/>
    </row>
    <row r="574" spans="2:27" x14ac:dyDescent="0.45">
      <c r="B574" s="45" t="s">
        <v>380</v>
      </c>
      <c r="C574" s="90"/>
      <c r="D574" s="56"/>
      <c r="E574" s="80"/>
      <c r="F574" s="58" t="e">
        <f>VLOOKUP($C574,'Daily_BU설비데이터 '!$C$20:$T$1000,4,0)</f>
        <v>#N/A</v>
      </c>
      <c r="G574" s="58" t="e">
        <f>VLOOKUP($C574,'Daily_BU설비데이터 '!$C$20:$T$1000,5,0)</f>
        <v>#N/A</v>
      </c>
      <c r="H574" s="58" t="e">
        <f>VLOOKUP($C574,'Daily_BU설비데이터 '!$C$20:$T$1000,6,0)</f>
        <v>#N/A</v>
      </c>
      <c r="I574" s="58" t="e">
        <f>VLOOKUP($C574,'Daily_BU설비데이터 '!$C$20:$T$1000,7,0)</f>
        <v>#N/A</v>
      </c>
      <c r="J574" s="58" t="e">
        <f>VLOOKUP($C574,'Daily_BU설비데이터 '!$C$20:$T$1000,8,0)</f>
        <v>#N/A</v>
      </c>
      <c r="K574" s="58" t="e">
        <f>VLOOKUP($C574,'Daily_BU설비데이터 '!$C$20:$T$1000,9,0)</f>
        <v>#N/A</v>
      </c>
      <c r="L574" s="59" t="e">
        <f t="shared" si="59"/>
        <v>#N/A</v>
      </c>
      <c r="M574" s="68" t="e">
        <f>VLOOKUP($C574,'Daily_BU설비데이터 '!$C$20:$T$1000,11,0)</f>
        <v>#N/A</v>
      </c>
      <c r="N574" s="68" t="e">
        <f>VLOOKUP($C574,'Daily_BU설비데이터 '!$C$20:$T$1000,12,0)</f>
        <v>#N/A</v>
      </c>
      <c r="O574" s="68" t="e">
        <f>VLOOKUP($C574,'Daily_BU설비데이터 '!$C$20:$T$1000,13,0)</f>
        <v>#N/A</v>
      </c>
      <c r="P574" s="68" t="e">
        <f>VLOOKUP($C574,'Daily_BU설비데이터 '!$C$20:$T$1000,14,0)</f>
        <v>#N/A</v>
      </c>
      <c r="Q574" s="99" t="e">
        <f t="shared" si="60"/>
        <v>#N/A</v>
      </c>
      <c r="R574" s="100" t="e">
        <f t="shared" si="61"/>
        <v>#N/A</v>
      </c>
      <c r="S574" s="83" t="e">
        <f>VLOOKUP($C574,'Daily_BU설비데이터 '!$C$20:$T$1000,17,0)</f>
        <v>#N/A</v>
      </c>
      <c r="T574" s="83" t="e">
        <f>VLOOKUP($C574,'Daily_BU설비데이터 '!$C$20:$T$1000,18,0)</f>
        <v>#N/A</v>
      </c>
      <c r="U574" s="101" t="e">
        <f t="shared" si="62"/>
        <v>#N/A</v>
      </c>
      <c r="V574" s="45"/>
      <c r="W574" s="45"/>
      <c r="X574" s="45"/>
      <c r="Y574" s="45"/>
      <c r="Z574" s="45"/>
      <c r="AA574" s="45"/>
    </row>
    <row r="575" spans="2:27" x14ac:dyDescent="0.45">
      <c r="B575" s="45" t="s">
        <v>381</v>
      </c>
      <c r="C575" s="90"/>
      <c r="D575" s="56"/>
      <c r="E575" s="84"/>
      <c r="F575" s="58" t="e">
        <f>VLOOKUP($C575,'Daily_BU설비데이터 '!$C$20:$T$1000,4,0)</f>
        <v>#N/A</v>
      </c>
      <c r="G575" s="58" t="e">
        <f>VLOOKUP($C575,'Daily_BU설비데이터 '!$C$20:$T$1000,5,0)</f>
        <v>#N/A</v>
      </c>
      <c r="H575" s="58" t="e">
        <f>VLOOKUP($C575,'Daily_BU설비데이터 '!$C$20:$T$1000,6,0)</f>
        <v>#N/A</v>
      </c>
      <c r="I575" s="58" t="e">
        <f>VLOOKUP($C575,'Daily_BU설비데이터 '!$C$20:$T$1000,7,0)</f>
        <v>#N/A</v>
      </c>
      <c r="J575" s="58" t="e">
        <f>VLOOKUP($C575,'Daily_BU설비데이터 '!$C$20:$T$1000,8,0)</f>
        <v>#N/A</v>
      </c>
      <c r="K575" s="58" t="e">
        <f>VLOOKUP($C575,'Daily_BU설비데이터 '!$C$20:$T$1000,9,0)</f>
        <v>#N/A</v>
      </c>
      <c r="L575" s="59" t="e">
        <f t="shared" si="59"/>
        <v>#N/A</v>
      </c>
      <c r="M575" s="68" t="e">
        <f>VLOOKUP($C575,'Daily_BU설비데이터 '!$C$20:$T$1000,11,0)</f>
        <v>#N/A</v>
      </c>
      <c r="N575" s="68" t="e">
        <f>VLOOKUP($C575,'Daily_BU설비데이터 '!$C$20:$T$1000,12,0)</f>
        <v>#N/A</v>
      </c>
      <c r="O575" s="68" t="e">
        <f>VLOOKUP($C575,'Daily_BU설비데이터 '!$C$20:$T$1000,13,0)</f>
        <v>#N/A</v>
      </c>
      <c r="P575" s="68" t="e">
        <f>VLOOKUP($C575,'Daily_BU설비데이터 '!$C$20:$T$1000,14,0)</f>
        <v>#N/A</v>
      </c>
      <c r="Q575" s="99" t="e">
        <f t="shared" si="60"/>
        <v>#N/A</v>
      </c>
      <c r="R575" s="100" t="e">
        <f t="shared" si="61"/>
        <v>#N/A</v>
      </c>
      <c r="S575" s="83" t="e">
        <f>VLOOKUP($C575,'Daily_BU설비데이터 '!$C$20:$T$1000,17,0)</f>
        <v>#N/A</v>
      </c>
      <c r="T575" s="83" t="e">
        <f>VLOOKUP($C575,'Daily_BU설비데이터 '!$C$20:$T$1000,18,0)</f>
        <v>#N/A</v>
      </c>
      <c r="U575" s="101" t="e">
        <f t="shared" si="62"/>
        <v>#N/A</v>
      </c>
      <c r="V575" s="45"/>
      <c r="W575" s="45"/>
      <c r="X575" s="45"/>
      <c r="Y575" s="45"/>
      <c r="Z575" s="45"/>
      <c r="AA575" s="45"/>
    </row>
    <row r="576" spans="2:27" x14ac:dyDescent="0.45">
      <c r="B576" s="45" t="s">
        <v>382</v>
      </c>
      <c r="C576" s="90"/>
      <c r="D576" s="56"/>
      <c r="E576" s="57"/>
      <c r="F576" s="58" t="e">
        <f>VLOOKUP($C576,'Daily_BU설비데이터 '!$C$20:$T$1000,4,0)</f>
        <v>#N/A</v>
      </c>
      <c r="G576" s="58" t="e">
        <f>VLOOKUP($C576,'Daily_BU설비데이터 '!$C$20:$T$1000,5,0)</f>
        <v>#N/A</v>
      </c>
      <c r="H576" s="58" t="e">
        <f>VLOOKUP($C576,'Daily_BU설비데이터 '!$C$20:$T$1000,6,0)</f>
        <v>#N/A</v>
      </c>
      <c r="I576" s="58" t="e">
        <f>VLOOKUP($C576,'Daily_BU설비데이터 '!$C$20:$T$1000,7,0)</f>
        <v>#N/A</v>
      </c>
      <c r="J576" s="58" t="e">
        <f>VLOOKUP($C576,'Daily_BU설비데이터 '!$C$20:$T$1000,8,0)</f>
        <v>#N/A</v>
      </c>
      <c r="K576" s="58" t="e">
        <f>VLOOKUP($C576,'Daily_BU설비데이터 '!$C$20:$T$1000,9,0)</f>
        <v>#N/A</v>
      </c>
      <c r="L576" s="59" t="e">
        <f t="shared" si="59"/>
        <v>#N/A</v>
      </c>
      <c r="M576" s="68" t="e">
        <f>VLOOKUP($C576,'Daily_BU설비데이터 '!$C$20:$T$1000,11,0)</f>
        <v>#N/A</v>
      </c>
      <c r="N576" s="68" t="e">
        <f>VLOOKUP($C576,'Daily_BU설비데이터 '!$C$20:$T$1000,12,0)</f>
        <v>#N/A</v>
      </c>
      <c r="O576" s="68" t="e">
        <f>VLOOKUP($C576,'Daily_BU설비데이터 '!$C$20:$T$1000,13,0)</f>
        <v>#N/A</v>
      </c>
      <c r="P576" s="68" t="e">
        <f>VLOOKUP($C576,'Daily_BU설비데이터 '!$C$20:$T$1000,14,0)</f>
        <v>#N/A</v>
      </c>
      <c r="Q576" s="99" t="e">
        <f t="shared" si="60"/>
        <v>#N/A</v>
      </c>
      <c r="R576" s="100" t="e">
        <f t="shared" si="61"/>
        <v>#N/A</v>
      </c>
      <c r="S576" s="83" t="e">
        <f>VLOOKUP($C576,'Daily_BU설비데이터 '!$C$20:$T$1000,17,0)</f>
        <v>#N/A</v>
      </c>
      <c r="T576" s="83" t="e">
        <f>VLOOKUP($C576,'Daily_BU설비데이터 '!$C$20:$T$1000,18,0)</f>
        <v>#N/A</v>
      </c>
      <c r="U576" s="101" t="e">
        <f t="shared" si="62"/>
        <v>#N/A</v>
      </c>
      <c r="V576" s="45"/>
      <c r="W576" s="45"/>
      <c r="X576" s="45"/>
      <c r="Y576" s="45"/>
      <c r="Z576" s="45"/>
      <c r="AA576" s="45"/>
    </row>
    <row r="577" spans="2:27" x14ac:dyDescent="0.45">
      <c r="B577" s="45" t="s">
        <v>383</v>
      </c>
      <c r="C577" s="90"/>
      <c r="D577" s="56"/>
      <c r="E577" s="80"/>
      <c r="F577" s="58" t="e">
        <f>VLOOKUP($C577,'Daily_BU설비데이터 '!$C$20:$T$1000,4,0)</f>
        <v>#N/A</v>
      </c>
      <c r="G577" s="58" t="e">
        <f>VLOOKUP($C577,'Daily_BU설비데이터 '!$C$20:$T$1000,5,0)</f>
        <v>#N/A</v>
      </c>
      <c r="H577" s="58" t="e">
        <f>VLOOKUP($C577,'Daily_BU설비데이터 '!$C$20:$T$1000,6,0)</f>
        <v>#N/A</v>
      </c>
      <c r="I577" s="58" t="e">
        <f>VLOOKUP($C577,'Daily_BU설비데이터 '!$C$20:$T$1000,7,0)</f>
        <v>#N/A</v>
      </c>
      <c r="J577" s="58" t="e">
        <f>VLOOKUP($C577,'Daily_BU설비데이터 '!$C$20:$T$1000,8,0)</f>
        <v>#N/A</v>
      </c>
      <c r="K577" s="58" t="e">
        <f>VLOOKUP($C577,'Daily_BU설비데이터 '!$C$20:$T$1000,9,0)</f>
        <v>#N/A</v>
      </c>
      <c r="L577" s="59" t="e">
        <f t="shared" si="59"/>
        <v>#N/A</v>
      </c>
      <c r="M577" s="68" t="e">
        <f>VLOOKUP($C577,'Daily_BU설비데이터 '!$C$20:$T$1000,11,0)</f>
        <v>#N/A</v>
      </c>
      <c r="N577" s="68" t="e">
        <f>VLOOKUP($C577,'Daily_BU설비데이터 '!$C$20:$T$1000,12,0)</f>
        <v>#N/A</v>
      </c>
      <c r="O577" s="68" t="e">
        <f>VLOOKUP($C577,'Daily_BU설비데이터 '!$C$20:$T$1000,13,0)</f>
        <v>#N/A</v>
      </c>
      <c r="P577" s="68" t="e">
        <f>VLOOKUP($C577,'Daily_BU설비데이터 '!$C$20:$T$1000,14,0)</f>
        <v>#N/A</v>
      </c>
      <c r="Q577" s="99" t="e">
        <f t="shared" si="60"/>
        <v>#N/A</v>
      </c>
      <c r="R577" s="100" t="e">
        <f t="shared" si="61"/>
        <v>#N/A</v>
      </c>
      <c r="S577" s="83" t="e">
        <f>VLOOKUP($C577,'Daily_BU설비데이터 '!$C$20:$T$1000,17,0)</f>
        <v>#N/A</v>
      </c>
      <c r="T577" s="83" t="e">
        <f>VLOOKUP($C577,'Daily_BU설비데이터 '!$C$20:$T$1000,18,0)</f>
        <v>#N/A</v>
      </c>
      <c r="U577" s="101" t="e">
        <f t="shared" si="62"/>
        <v>#N/A</v>
      </c>
      <c r="V577" s="45"/>
      <c r="W577" s="45"/>
      <c r="X577" s="45"/>
      <c r="Y577" s="45"/>
      <c r="Z577" s="45"/>
      <c r="AA577" s="45"/>
    </row>
    <row r="578" spans="2:27" x14ac:dyDescent="0.45">
      <c r="B578" s="45" t="s">
        <v>384</v>
      </c>
      <c r="C578" s="90"/>
      <c r="D578" s="56"/>
      <c r="E578" s="84"/>
      <c r="F578" s="58" t="e">
        <f>VLOOKUP($C578,'Daily_BU설비데이터 '!$C$20:$T$1000,4,0)</f>
        <v>#N/A</v>
      </c>
      <c r="G578" s="58" t="e">
        <f>VLOOKUP($C578,'Daily_BU설비데이터 '!$C$20:$T$1000,5,0)</f>
        <v>#N/A</v>
      </c>
      <c r="H578" s="58" t="e">
        <f>VLOOKUP($C578,'Daily_BU설비데이터 '!$C$20:$T$1000,6,0)</f>
        <v>#N/A</v>
      </c>
      <c r="I578" s="58" t="e">
        <f>VLOOKUP($C578,'Daily_BU설비데이터 '!$C$20:$T$1000,7,0)</f>
        <v>#N/A</v>
      </c>
      <c r="J578" s="58" t="e">
        <f>VLOOKUP($C578,'Daily_BU설비데이터 '!$C$20:$T$1000,8,0)</f>
        <v>#N/A</v>
      </c>
      <c r="K578" s="58" t="e">
        <f>VLOOKUP($C578,'Daily_BU설비데이터 '!$C$20:$T$1000,9,0)</f>
        <v>#N/A</v>
      </c>
      <c r="L578" s="59" t="e">
        <f t="shared" si="59"/>
        <v>#N/A</v>
      </c>
      <c r="M578" s="68" t="e">
        <f>VLOOKUP($C578,'Daily_BU설비데이터 '!$C$20:$T$1000,11,0)</f>
        <v>#N/A</v>
      </c>
      <c r="N578" s="68" t="e">
        <f>VLOOKUP($C578,'Daily_BU설비데이터 '!$C$20:$T$1000,12,0)</f>
        <v>#N/A</v>
      </c>
      <c r="O578" s="68" t="e">
        <f>VLOOKUP($C578,'Daily_BU설비데이터 '!$C$20:$T$1000,13,0)</f>
        <v>#N/A</v>
      </c>
      <c r="P578" s="68" t="e">
        <f>VLOOKUP($C578,'Daily_BU설비데이터 '!$C$20:$T$1000,14,0)</f>
        <v>#N/A</v>
      </c>
      <c r="Q578" s="99" t="e">
        <f t="shared" si="60"/>
        <v>#N/A</v>
      </c>
      <c r="R578" s="100" t="e">
        <f t="shared" si="61"/>
        <v>#N/A</v>
      </c>
      <c r="S578" s="83" t="e">
        <f>VLOOKUP($C578,'Daily_BU설비데이터 '!$C$20:$T$1000,17,0)</f>
        <v>#N/A</v>
      </c>
      <c r="T578" s="83" t="e">
        <f>VLOOKUP($C578,'Daily_BU설비데이터 '!$C$20:$T$1000,18,0)</f>
        <v>#N/A</v>
      </c>
      <c r="U578" s="101" t="e">
        <f t="shared" si="62"/>
        <v>#N/A</v>
      </c>
      <c r="V578" s="45"/>
      <c r="W578" s="45"/>
      <c r="X578" s="45"/>
      <c r="Y578" s="45"/>
      <c r="Z578" s="45"/>
      <c r="AA578" s="45"/>
    </row>
    <row r="579" spans="2:27" x14ac:dyDescent="0.45">
      <c r="B579" s="45" t="s">
        <v>385</v>
      </c>
      <c r="C579" s="90"/>
      <c r="D579" s="56"/>
      <c r="E579" s="57"/>
      <c r="F579" s="58" t="e">
        <f>VLOOKUP($C579,'Daily_BU설비데이터 '!$C$20:$T$1000,4,0)</f>
        <v>#N/A</v>
      </c>
      <c r="G579" s="58" t="e">
        <f>VLOOKUP($C579,'Daily_BU설비데이터 '!$C$20:$T$1000,5,0)</f>
        <v>#N/A</v>
      </c>
      <c r="H579" s="58" t="e">
        <f>VLOOKUP($C579,'Daily_BU설비데이터 '!$C$20:$T$1000,6,0)</f>
        <v>#N/A</v>
      </c>
      <c r="I579" s="58" t="e">
        <f>VLOOKUP($C579,'Daily_BU설비데이터 '!$C$20:$T$1000,7,0)</f>
        <v>#N/A</v>
      </c>
      <c r="J579" s="58" t="e">
        <f>VLOOKUP($C579,'Daily_BU설비데이터 '!$C$20:$T$1000,8,0)</f>
        <v>#N/A</v>
      </c>
      <c r="K579" s="58" t="e">
        <f>VLOOKUP($C579,'Daily_BU설비데이터 '!$C$20:$T$1000,9,0)</f>
        <v>#N/A</v>
      </c>
      <c r="L579" s="59" t="e">
        <f t="shared" si="59"/>
        <v>#N/A</v>
      </c>
      <c r="M579" s="68" t="e">
        <f>VLOOKUP($C579,'Daily_BU설비데이터 '!$C$20:$T$1000,11,0)</f>
        <v>#N/A</v>
      </c>
      <c r="N579" s="68" t="e">
        <f>VLOOKUP($C579,'Daily_BU설비데이터 '!$C$20:$T$1000,12,0)</f>
        <v>#N/A</v>
      </c>
      <c r="O579" s="68" t="e">
        <f>VLOOKUP($C579,'Daily_BU설비데이터 '!$C$20:$T$1000,13,0)</f>
        <v>#N/A</v>
      </c>
      <c r="P579" s="68" t="e">
        <f>VLOOKUP($C579,'Daily_BU설비데이터 '!$C$20:$T$1000,14,0)</f>
        <v>#N/A</v>
      </c>
      <c r="Q579" s="99" t="e">
        <f t="shared" si="60"/>
        <v>#N/A</v>
      </c>
      <c r="R579" s="100" t="e">
        <f t="shared" si="61"/>
        <v>#N/A</v>
      </c>
      <c r="S579" s="83" t="e">
        <f>VLOOKUP($C579,'Daily_BU설비데이터 '!$C$20:$T$1000,17,0)</f>
        <v>#N/A</v>
      </c>
      <c r="T579" s="83" t="e">
        <f>VLOOKUP($C579,'Daily_BU설비데이터 '!$C$20:$T$1000,18,0)</f>
        <v>#N/A</v>
      </c>
      <c r="U579" s="101" t="e">
        <f t="shared" si="62"/>
        <v>#N/A</v>
      </c>
      <c r="V579" s="45"/>
      <c r="W579" s="45"/>
      <c r="X579" s="45"/>
      <c r="Y579" s="45"/>
      <c r="Z579" s="45"/>
      <c r="AA579" s="45"/>
    </row>
    <row r="580" spans="2:27" x14ac:dyDescent="0.45">
      <c r="B580" s="45" t="s">
        <v>386</v>
      </c>
      <c r="C580" s="90"/>
      <c r="D580" s="56"/>
      <c r="E580" s="80"/>
      <c r="F580" s="58" t="e">
        <f>VLOOKUP($C580,'Daily_BU설비데이터 '!$C$20:$T$1000,4,0)</f>
        <v>#N/A</v>
      </c>
      <c r="G580" s="58" t="e">
        <f>VLOOKUP($C580,'Daily_BU설비데이터 '!$C$20:$T$1000,5,0)</f>
        <v>#N/A</v>
      </c>
      <c r="H580" s="58" t="e">
        <f>VLOOKUP($C580,'Daily_BU설비데이터 '!$C$20:$T$1000,6,0)</f>
        <v>#N/A</v>
      </c>
      <c r="I580" s="58" t="e">
        <f>VLOOKUP($C580,'Daily_BU설비데이터 '!$C$20:$T$1000,7,0)</f>
        <v>#N/A</v>
      </c>
      <c r="J580" s="58" t="e">
        <f>VLOOKUP($C580,'Daily_BU설비데이터 '!$C$20:$T$1000,8,0)</f>
        <v>#N/A</v>
      </c>
      <c r="K580" s="58" t="e">
        <f>VLOOKUP($C580,'Daily_BU설비데이터 '!$C$20:$T$1000,9,0)</f>
        <v>#N/A</v>
      </c>
      <c r="L580" s="59" t="e">
        <f t="shared" si="59"/>
        <v>#N/A</v>
      </c>
      <c r="M580" s="68" t="e">
        <f>VLOOKUP($C580,'Daily_BU설비데이터 '!$C$20:$T$1000,11,0)</f>
        <v>#N/A</v>
      </c>
      <c r="N580" s="68" t="e">
        <f>VLOOKUP($C580,'Daily_BU설비데이터 '!$C$20:$T$1000,12,0)</f>
        <v>#N/A</v>
      </c>
      <c r="O580" s="68" t="e">
        <f>VLOOKUP($C580,'Daily_BU설비데이터 '!$C$20:$T$1000,13,0)</f>
        <v>#N/A</v>
      </c>
      <c r="P580" s="68" t="e">
        <f>VLOOKUP($C580,'Daily_BU설비데이터 '!$C$20:$T$1000,14,0)</f>
        <v>#N/A</v>
      </c>
      <c r="Q580" s="99" t="e">
        <f t="shared" si="60"/>
        <v>#N/A</v>
      </c>
      <c r="R580" s="100" t="e">
        <f t="shared" si="61"/>
        <v>#N/A</v>
      </c>
      <c r="S580" s="83" t="e">
        <f>VLOOKUP($C580,'Daily_BU설비데이터 '!$C$20:$T$1000,17,0)</f>
        <v>#N/A</v>
      </c>
      <c r="T580" s="83" t="e">
        <f>VLOOKUP($C580,'Daily_BU설비데이터 '!$C$20:$T$1000,18,0)</f>
        <v>#N/A</v>
      </c>
      <c r="U580" s="101" t="e">
        <f t="shared" si="62"/>
        <v>#N/A</v>
      </c>
      <c r="V580" s="45"/>
      <c r="W580" s="45"/>
      <c r="X580" s="45"/>
      <c r="Y580" s="45"/>
      <c r="Z580" s="45"/>
      <c r="AA580" s="45"/>
    </row>
    <row r="581" spans="2:27" x14ac:dyDescent="0.45">
      <c r="B581" s="45" t="s">
        <v>387</v>
      </c>
      <c r="C581" s="90"/>
      <c r="D581" s="56"/>
      <c r="E581" s="84"/>
      <c r="F581" s="58" t="e">
        <f>VLOOKUP($C581,'Daily_BU설비데이터 '!$C$20:$T$1000,4,0)</f>
        <v>#N/A</v>
      </c>
      <c r="G581" s="58" t="e">
        <f>VLOOKUP($C581,'Daily_BU설비데이터 '!$C$20:$T$1000,5,0)</f>
        <v>#N/A</v>
      </c>
      <c r="H581" s="58" t="e">
        <f>VLOOKUP($C581,'Daily_BU설비데이터 '!$C$20:$T$1000,6,0)</f>
        <v>#N/A</v>
      </c>
      <c r="I581" s="58" t="e">
        <f>VLOOKUP($C581,'Daily_BU설비데이터 '!$C$20:$T$1000,7,0)</f>
        <v>#N/A</v>
      </c>
      <c r="J581" s="58" t="e">
        <f>VLOOKUP($C581,'Daily_BU설비데이터 '!$C$20:$T$1000,8,0)</f>
        <v>#N/A</v>
      </c>
      <c r="K581" s="58" t="e">
        <f>VLOOKUP($C581,'Daily_BU설비데이터 '!$C$20:$T$1000,9,0)</f>
        <v>#N/A</v>
      </c>
      <c r="L581" s="59" t="e">
        <f t="shared" si="59"/>
        <v>#N/A</v>
      </c>
      <c r="M581" s="68" t="e">
        <f>VLOOKUP($C581,'Daily_BU설비데이터 '!$C$20:$T$1000,11,0)</f>
        <v>#N/A</v>
      </c>
      <c r="N581" s="68" t="e">
        <f>VLOOKUP($C581,'Daily_BU설비데이터 '!$C$20:$T$1000,12,0)</f>
        <v>#N/A</v>
      </c>
      <c r="O581" s="68" t="e">
        <f>VLOOKUP($C581,'Daily_BU설비데이터 '!$C$20:$T$1000,13,0)</f>
        <v>#N/A</v>
      </c>
      <c r="P581" s="68" t="e">
        <f>VLOOKUP($C581,'Daily_BU설비데이터 '!$C$20:$T$1000,14,0)</f>
        <v>#N/A</v>
      </c>
      <c r="Q581" s="99" t="e">
        <f t="shared" si="60"/>
        <v>#N/A</v>
      </c>
      <c r="R581" s="100" t="e">
        <f t="shared" si="61"/>
        <v>#N/A</v>
      </c>
      <c r="S581" s="83" t="e">
        <f>VLOOKUP($C581,'Daily_BU설비데이터 '!$C$20:$T$1000,17,0)</f>
        <v>#N/A</v>
      </c>
      <c r="T581" s="83" t="e">
        <f>VLOOKUP($C581,'Daily_BU설비데이터 '!$C$20:$T$1000,18,0)</f>
        <v>#N/A</v>
      </c>
      <c r="U581" s="101" t="e">
        <f t="shared" si="62"/>
        <v>#N/A</v>
      </c>
      <c r="V581" s="45"/>
      <c r="W581" s="45"/>
      <c r="X581" s="45"/>
      <c r="Y581" s="45"/>
      <c r="Z581" s="45"/>
      <c r="AA581" s="45"/>
    </row>
    <row r="582" spans="2:27" x14ac:dyDescent="0.45">
      <c r="B582" s="45" t="s">
        <v>388</v>
      </c>
      <c r="C582" s="90"/>
      <c r="D582" s="56"/>
      <c r="E582" s="57"/>
      <c r="F582" s="58" t="e">
        <f>VLOOKUP($C582,'Daily_BU설비데이터 '!$C$20:$T$1000,4,0)</f>
        <v>#N/A</v>
      </c>
      <c r="G582" s="58" t="e">
        <f>VLOOKUP($C582,'Daily_BU설비데이터 '!$C$20:$T$1000,5,0)</f>
        <v>#N/A</v>
      </c>
      <c r="H582" s="58" t="e">
        <f>VLOOKUP($C582,'Daily_BU설비데이터 '!$C$20:$T$1000,6,0)</f>
        <v>#N/A</v>
      </c>
      <c r="I582" s="58" t="e">
        <f>VLOOKUP($C582,'Daily_BU설비데이터 '!$C$20:$T$1000,7,0)</f>
        <v>#N/A</v>
      </c>
      <c r="J582" s="58" t="e">
        <f>VLOOKUP($C582,'Daily_BU설비데이터 '!$C$20:$T$1000,8,0)</f>
        <v>#N/A</v>
      </c>
      <c r="K582" s="58" t="e">
        <f>VLOOKUP($C582,'Daily_BU설비데이터 '!$C$20:$T$1000,9,0)</f>
        <v>#N/A</v>
      </c>
      <c r="L582" s="59" t="e">
        <f t="shared" si="59"/>
        <v>#N/A</v>
      </c>
      <c r="M582" s="68" t="e">
        <f>VLOOKUP($C582,'Daily_BU설비데이터 '!$C$20:$T$1000,11,0)</f>
        <v>#N/A</v>
      </c>
      <c r="N582" s="68" t="e">
        <f>VLOOKUP($C582,'Daily_BU설비데이터 '!$C$20:$T$1000,12,0)</f>
        <v>#N/A</v>
      </c>
      <c r="O582" s="68" t="e">
        <f>VLOOKUP($C582,'Daily_BU설비데이터 '!$C$20:$T$1000,13,0)</f>
        <v>#N/A</v>
      </c>
      <c r="P582" s="68" t="e">
        <f>VLOOKUP($C582,'Daily_BU설비데이터 '!$C$20:$T$1000,14,0)</f>
        <v>#N/A</v>
      </c>
      <c r="Q582" s="99" t="e">
        <f t="shared" si="60"/>
        <v>#N/A</v>
      </c>
      <c r="R582" s="100" t="e">
        <f t="shared" si="61"/>
        <v>#N/A</v>
      </c>
      <c r="S582" s="83" t="e">
        <f>VLOOKUP($C582,'Daily_BU설비데이터 '!$C$20:$T$1000,17,0)</f>
        <v>#N/A</v>
      </c>
      <c r="T582" s="83" t="e">
        <f>VLOOKUP($C582,'Daily_BU설비데이터 '!$C$20:$T$1000,18,0)</f>
        <v>#N/A</v>
      </c>
      <c r="U582" s="101" t="e">
        <f t="shared" si="62"/>
        <v>#N/A</v>
      </c>
      <c r="V582" s="45"/>
      <c r="W582" s="45"/>
      <c r="X582" s="45"/>
      <c r="Y582" s="45"/>
      <c r="Z582" s="45"/>
      <c r="AA582" s="45"/>
    </row>
    <row r="583" spans="2:27" x14ac:dyDescent="0.45">
      <c r="B583" s="45" t="s">
        <v>389</v>
      </c>
      <c r="C583" s="90"/>
      <c r="D583" s="56"/>
      <c r="E583" s="80"/>
      <c r="F583" s="58" t="e">
        <f>VLOOKUP($C583,'Daily_BU설비데이터 '!$C$20:$T$1000,4,0)</f>
        <v>#N/A</v>
      </c>
      <c r="G583" s="58" t="e">
        <f>VLOOKUP($C583,'Daily_BU설비데이터 '!$C$20:$T$1000,5,0)</f>
        <v>#N/A</v>
      </c>
      <c r="H583" s="58" t="e">
        <f>VLOOKUP($C583,'Daily_BU설비데이터 '!$C$20:$T$1000,6,0)</f>
        <v>#N/A</v>
      </c>
      <c r="I583" s="58" t="e">
        <f>VLOOKUP($C583,'Daily_BU설비데이터 '!$C$20:$T$1000,7,0)</f>
        <v>#N/A</v>
      </c>
      <c r="J583" s="58" t="e">
        <f>VLOOKUP($C583,'Daily_BU설비데이터 '!$C$20:$T$1000,8,0)</f>
        <v>#N/A</v>
      </c>
      <c r="K583" s="58" t="e">
        <f>VLOOKUP($C583,'Daily_BU설비데이터 '!$C$20:$T$1000,9,0)</f>
        <v>#N/A</v>
      </c>
      <c r="L583" s="59" t="e">
        <f t="shared" si="59"/>
        <v>#N/A</v>
      </c>
      <c r="M583" s="68" t="e">
        <f>VLOOKUP($C583,'Daily_BU설비데이터 '!$C$20:$T$1000,11,0)</f>
        <v>#N/A</v>
      </c>
      <c r="N583" s="68" t="e">
        <f>VLOOKUP($C583,'Daily_BU설비데이터 '!$C$20:$T$1000,12,0)</f>
        <v>#N/A</v>
      </c>
      <c r="O583" s="68" t="e">
        <f>VLOOKUP($C583,'Daily_BU설비데이터 '!$C$20:$T$1000,13,0)</f>
        <v>#N/A</v>
      </c>
      <c r="P583" s="68" t="e">
        <f>VLOOKUP($C583,'Daily_BU설비데이터 '!$C$20:$T$1000,14,0)</f>
        <v>#N/A</v>
      </c>
      <c r="Q583" s="99" t="e">
        <f t="shared" si="60"/>
        <v>#N/A</v>
      </c>
      <c r="R583" s="100" t="e">
        <f t="shared" si="61"/>
        <v>#N/A</v>
      </c>
      <c r="S583" s="83" t="e">
        <f>VLOOKUP($C583,'Daily_BU설비데이터 '!$C$20:$T$1000,17,0)</f>
        <v>#N/A</v>
      </c>
      <c r="T583" s="83" t="e">
        <f>VLOOKUP($C583,'Daily_BU설비데이터 '!$C$20:$T$1000,18,0)</f>
        <v>#N/A</v>
      </c>
      <c r="U583" s="101" t="e">
        <f t="shared" si="62"/>
        <v>#N/A</v>
      </c>
      <c r="V583" s="45"/>
      <c r="W583" s="45"/>
      <c r="X583" s="45"/>
      <c r="Y583" s="45"/>
      <c r="Z583" s="45"/>
      <c r="AA583" s="45"/>
    </row>
    <row r="584" spans="2:27" x14ac:dyDescent="0.45">
      <c r="B584" s="45" t="s">
        <v>390</v>
      </c>
      <c r="C584" s="90"/>
      <c r="D584" s="56"/>
      <c r="E584" s="84"/>
      <c r="F584" s="58" t="e">
        <f>VLOOKUP($C584,'Daily_BU설비데이터 '!$C$20:$T$1000,4,0)</f>
        <v>#N/A</v>
      </c>
      <c r="G584" s="58" t="e">
        <f>VLOOKUP($C584,'Daily_BU설비데이터 '!$C$20:$T$1000,5,0)</f>
        <v>#N/A</v>
      </c>
      <c r="H584" s="58" t="e">
        <f>VLOOKUP($C584,'Daily_BU설비데이터 '!$C$20:$T$1000,6,0)</f>
        <v>#N/A</v>
      </c>
      <c r="I584" s="58" t="e">
        <f>VLOOKUP($C584,'Daily_BU설비데이터 '!$C$20:$T$1000,7,0)</f>
        <v>#N/A</v>
      </c>
      <c r="J584" s="58" t="e">
        <f>VLOOKUP($C584,'Daily_BU설비데이터 '!$C$20:$T$1000,8,0)</f>
        <v>#N/A</v>
      </c>
      <c r="K584" s="58" t="e">
        <f>VLOOKUP($C584,'Daily_BU설비데이터 '!$C$20:$T$1000,9,0)</f>
        <v>#N/A</v>
      </c>
      <c r="L584" s="59" t="e">
        <f t="shared" si="59"/>
        <v>#N/A</v>
      </c>
      <c r="M584" s="68" t="e">
        <f>VLOOKUP($C584,'Daily_BU설비데이터 '!$C$20:$T$1000,11,0)</f>
        <v>#N/A</v>
      </c>
      <c r="N584" s="68" t="e">
        <f>VLOOKUP($C584,'Daily_BU설비데이터 '!$C$20:$T$1000,12,0)</f>
        <v>#N/A</v>
      </c>
      <c r="O584" s="68" t="e">
        <f>VLOOKUP($C584,'Daily_BU설비데이터 '!$C$20:$T$1000,13,0)</f>
        <v>#N/A</v>
      </c>
      <c r="P584" s="68" t="e">
        <f>VLOOKUP($C584,'Daily_BU설비데이터 '!$C$20:$T$1000,14,0)</f>
        <v>#N/A</v>
      </c>
      <c r="Q584" s="99" t="e">
        <f t="shared" si="60"/>
        <v>#N/A</v>
      </c>
      <c r="R584" s="100" t="e">
        <f t="shared" si="61"/>
        <v>#N/A</v>
      </c>
      <c r="S584" s="83" t="e">
        <f>VLOOKUP($C584,'Daily_BU설비데이터 '!$C$20:$T$1000,17,0)</f>
        <v>#N/A</v>
      </c>
      <c r="T584" s="83" t="e">
        <f>VLOOKUP($C584,'Daily_BU설비데이터 '!$C$20:$T$1000,18,0)</f>
        <v>#N/A</v>
      </c>
      <c r="U584" s="101" t="e">
        <f t="shared" si="62"/>
        <v>#N/A</v>
      </c>
      <c r="V584" s="45"/>
      <c r="W584" s="45"/>
      <c r="X584" s="45"/>
      <c r="Y584" s="45"/>
      <c r="Z584" s="45"/>
      <c r="AA584" s="45"/>
    </row>
    <row r="585" spans="2:27" x14ac:dyDescent="0.45">
      <c r="B585" s="45" t="s">
        <v>391</v>
      </c>
      <c r="C585" s="90"/>
      <c r="D585" s="56"/>
      <c r="E585" s="57"/>
      <c r="F585" s="58" t="e">
        <f>VLOOKUP($C585,'Daily_BU설비데이터 '!$C$20:$T$1000,4,0)</f>
        <v>#N/A</v>
      </c>
      <c r="G585" s="58" t="e">
        <f>VLOOKUP($C585,'Daily_BU설비데이터 '!$C$20:$T$1000,5,0)</f>
        <v>#N/A</v>
      </c>
      <c r="H585" s="58" t="e">
        <f>VLOOKUP($C585,'Daily_BU설비데이터 '!$C$20:$T$1000,6,0)</f>
        <v>#N/A</v>
      </c>
      <c r="I585" s="58" t="e">
        <f>VLOOKUP($C585,'Daily_BU설비데이터 '!$C$20:$T$1000,7,0)</f>
        <v>#N/A</v>
      </c>
      <c r="J585" s="58" t="e">
        <f>VLOOKUP($C585,'Daily_BU설비데이터 '!$C$20:$T$1000,8,0)</f>
        <v>#N/A</v>
      </c>
      <c r="K585" s="58" t="e">
        <f>VLOOKUP($C585,'Daily_BU설비데이터 '!$C$20:$T$1000,9,0)</f>
        <v>#N/A</v>
      </c>
      <c r="L585" s="59" t="e">
        <f t="shared" si="59"/>
        <v>#N/A</v>
      </c>
      <c r="M585" s="68" t="e">
        <f>VLOOKUP($C585,'Daily_BU설비데이터 '!$C$20:$T$1000,11,0)</f>
        <v>#N/A</v>
      </c>
      <c r="N585" s="68" t="e">
        <f>VLOOKUP($C585,'Daily_BU설비데이터 '!$C$20:$T$1000,12,0)</f>
        <v>#N/A</v>
      </c>
      <c r="O585" s="68" t="e">
        <f>VLOOKUP($C585,'Daily_BU설비데이터 '!$C$20:$T$1000,13,0)</f>
        <v>#N/A</v>
      </c>
      <c r="P585" s="68" t="e">
        <f>VLOOKUP($C585,'Daily_BU설비데이터 '!$C$20:$T$1000,14,0)</f>
        <v>#N/A</v>
      </c>
      <c r="Q585" s="99" t="e">
        <f t="shared" si="60"/>
        <v>#N/A</v>
      </c>
      <c r="R585" s="100" t="e">
        <f t="shared" si="61"/>
        <v>#N/A</v>
      </c>
      <c r="S585" s="83" t="e">
        <f>VLOOKUP($C585,'Daily_BU설비데이터 '!$C$20:$T$1000,17,0)</f>
        <v>#N/A</v>
      </c>
      <c r="T585" s="83" t="e">
        <f>VLOOKUP($C585,'Daily_BU설비데이터 '!$C$20:$T$1000,18,0)</f>
        <v>#N/A</v>
      </c>
      <c r="U585" s="101" t="e">
        <f t="shared" si="62"/>
        <v>#N/A</v>
      </c>
      <c r="V585" s="45"/>
      <c r="W585" s="45"/>
      <c r="X585" s="45"/>
      <c r="Y585" s="45"/>
      <c r="Z585" s="45"/>
      <c r="AA585" s="45"/>
    </row>
    <row r="586" spans="2:27" x14ac:dyDescent="0.45">
      <c r="B586" s="45" t="s">
        <v>392</v>
      </c>
      <c r="C586" s="90"/>
      <c r="D586" s="56"/>
      <c r="E586" s="80"/>
      <c r="F586" s="58" t="e">
        <f>VLOOKUP($C586,'Daily_BU설비데이터 '!$C$20:$T$1000,4,0)</f>
        <v>#N/A</v>
      </c>
      <c r="G586" s="58" t="e">
        <f>VLOOKUP($C586,'Daily_BU설비데이터 '!$C$20:$T$1000,5,0)</f>
        <v>#N/A</v>
      </c>
      <c r="H586" s="58" t="e">
        <f>VLOOKUP($C586,'Daily_BU설비데이터 '!$C$20:$T$1000,6,0)</f>
        <v>#N/A</v>
      </c>
      <c r="I586" s="58" t="e">
        <f>VLOOKUP($C586,'Daily_BU설비데이터 '!$C$20:$T$1000,7,0)</f>
        <v>#N/A</v>
      </c>
      <c r="J586" s="58" t="e">
        <f>VLOOKUP($C586,'Daily_BU설비데이터 '!$C$20:$T$1000,8,0)</f>
        <v>#N/A</v>
      </c>
      <c r="K586" s="58" t="e">
        <f>VLOOKUP($C586,'Daily_BU설비데이터 '!$C$20:$T$1000,9,0)</f>
        <v>#N/A</v>
      </c>
      <c r="L586" s="59" t="e">
        <f t="shared" si="59"/>
        <v>#N/A</v>
      </c>
      <c r="M586" s="68" t="e">
        <f>VLOOKUP($C586,'Daily_BU설비데이터 '!$C$20:$T$1000,11,0)</f>
        <v>#N/A</v>
      </c>
      <c r="N586" s="68" t="e">
        <f>VLOOKUP($C586,'Daily_BU설비데이터 '!$C$20:$T$1000,12,0)</f>
        <v>#N/A</v>
      </c>
      <c r="O586" s="68" t="e">
        <f>VLOOKUP($C586,'Daily_BU설비데이터 '!$C$20:$T$1000,13,0)</f>
        <v>#N/A</v>
      </c>
      <c r="P586" s="68" t="e">
        <f>VLOOKUP($C586,'Daily_BU설비데이터 '!$C$20:$T$1000,14,0)</f>
        <v>#N/A</v>
      </c>
      <c r="Q586" s="99" t="e">
        <f t="shared" si="60"/>
        <v>#N/A</v>
      </c>
      <c r="R586" s="100" t="e">
        <f t="shared" si="61"/>
        <v>#N/A</v>
      </c>
      <c r="S586" s="83" t="e">
        <f>VLOOKUP($C586,'Daily_BU설비데이터 '!$C$20:$T$1000,17,0)</f>
        <v>#N/A</v>
      </c>
      <c r="T586" s="83" t="e">
        <f>VLOOKUP($C586,'Daily_BU설비데이터 '!$C$20:$T$1000,18,0)</f>
        <v>#N/A</v>
      </c>
      <c r="U586" s="101" t="e">
        <f t="shared" si="62"/>
        <v>#N/A</v>
      </c>
      <c r="V586" s="45"/>
      <c r="W586" s="45"/>
      <c r="X586" s="45"/>
      <c r="Y586" s="45"/>
      <c r="Z586" s="45"/>
      <c r="AA586" s="45"/>
    </row>
    <row r="587" spans="2:27" x14ac:dyDescent="0.45">
      <c r="B587" s="45" t="s">
        <v>393</v>
      </c>
      <c r="C587" s="90"/>
      <c r="D587" s="56"/>
      <c r="E587" s="84"/>
      <c r="F587" s="58" t="e">
        <f>VLOOKUP($C587,'Daily_BU설비데이터 '!$C$20:$T$1000,4,0)</f>
        <v>#N/A</v>
      </c>
      <c r="G587" s="58" t="e">
        <f>VLOOKUP($C587,'Daily_BU설비데이터 '!$C$20:$T$1000,5,0)</f>
        <v>#N/A</v>
      </c>
      <c r="H587" s="58" t="e">
        <f>VLOOKUP($C587,'Daily_BU설비데이터 '!$C$20:$T$1000,6,0)</f>
        <v>#N/A</v>
      </c>
      <c r="I587" s="58" t="e">
        <f>VLOOKUP($C587,'Daily_BU설비데이터 '!$C$20:$T$1000,7,0)</f>
        <v>#N/A</v>
      </c>
      <c r="J587" s="58" t="e">
        <f>VLOOKUP($C587,'Daily_BU설비데이터 '!$C$20:$T$1000,8,0)</f>
        <v>#N/A</v>
      </c>
      <c r="K587" s="58" t="e">
        <f>VLOOKUP($C587,'Daily_BU설비데이터 '!$C$20:$T$1000,9,0)</f>
        <v>#N/A</v>
      </c>
      <c r="L587" s="59" t="e">
        <f t="shared" si="59"/>
        <v>#N/A</v>
      </c>
      <c r="M587" s="68" t="e">
        <f>VLOOKUP($C587,'Daily_BU설비데이터 '!$C$20:$T$1000,11,0)</f>
        <v>#N/A</v>
      </c>
      <c r="N587" s="68" t="e">
        <f>VLOOKUP($C587,'Daily_BU설비데이터 '!$C$20:$T$1000,12,0)</f>
        <v>#N/A</v>
      </c>
      <c r="O587" s="68" t="e">
        <f>VLOOKUP($C587,'Daily_BU설비데이터 '!$C$20:$T$1000,13,0)</f>
        <v>#N/A</v>
      </c>
      <c r="P587" s="68" t="e">
        <f>VLOOKUP($C587,'Daily_BU설비데이터 '!$C$20:$T$1000,14,0)</f>
        <v>#N/A</v>
      </c>
      <c r="Q587" s="99" t="e">
        <f t="shared" si="60"/>
        <v>#N/A</v>
      </c>
      <c r="R587" s="100" t="e">
        <f t="shared" si="61"/>
        <v>#N/A</v>
      </c>
      <c r="S587" s="83" t="e">
        <f>VLOOKUP($C587,'Daily_BU설비데이터 '!$C$20:$T$1000,17,0)</f>
        <v>#N/A</v>
      </c>
      <c r="T587" s="83" t="e">
        <f>VLOOKUP($C587,'Daily_BU설비데이터 '!$C$20:$T$1000,18,0)</f>
        <v>#N/A</v>
      </c>
      <c r="U587" s="101" t="e">
        <f t="shared" si="62"/>
        <v>#N/A</v>
      </c>
      <c r="V587" s="45"/>
      <c r="W587" s="45"/>
      <c r="X587" s="45"/>
      <c r="Y587" s="45"/>
      <c r="Z587" s="45"/>
      <c r="AA587" s="45"/>
    </row>
    <row r="588" spans="2:27" x14ac:dyDescent="0.45">
      <c r="B588" s="45" t="s">
        <v>394</v>
      </c>
      <c r="C588" s="90"/>
      <c r="D588" s="56"/>
      <c r="E588" s="57"/>
      <c r="F588" s="58" t="e">
        <f>VLOOKUP($C588,'Daily_BU설비데이터 '!$C$20:$T$1000,4,0)</f>
        <v>#N/A</v>
      </c>
      <c r="G588" s="58" t="e">
        <f>VLOOKUP($C588,'Daily_BU설비데이터 '!$C$20:$T$1000,5,0)</f>
        <v>#N/A</v>
      </c>
      <c r="H588" s="58" t="e">
        <f>VLOOKUP($C588,'Daily_BU설비데이터 '!$C$20:$T$1000,6,0)</f>
        <v>#N/A</v>
      </c>
      <c r="I588" s="58" t="e">
        <f>VLOOKUP($C588,'Daily_BU설비데이터 '!$C$20:$T$1000,7,0)</f>
        <v>#N/A</v>
      </c>
      <c r="J588" s="58" t="e">
        <f>VLOOKUP($C588,'Daily_BU설비데이터 '!$C$20:$T$1000,8,0)</f>
        <v>#N/A</v>
      </c>
      <c r="K588" s="58" t="e">
        <f>VLOOKUP($C588,'Daily_BU설비데이터 '!$C$20:$T$1000,9,0)</f>
        <v>#N/A</v>
      </c>
      <c r="L588" s="59" t="e">
        <f t="shared" si="59"/>
        <v>#N/A</v>
      </c>
      <c r="M588" s="68" t="e">
        <f>VLOOKUP($C588,'Daily_BU설비데이터 '!$C$20:$T$1000,11,0)</f>
        <v>#N/A</v>
      </c>
      <c r="N588" s="68" t="e">
        <f>VLOOKUP($C588,'Daily_BU설비데이터 '!$C$20:$T$1000,12,0)</f>
        <v>#N/A</v>
      </c>
      <c r="O588" s="68" t="e">
        <f>VLOOKUP($C588,'Daily_BU설비데이터 '!$C$20:$T$1000,13,0)</f>
        <v>#N/A</v>
      </c>
      <c r="P588" s="68" t="e">
        <f>VLOOKUP($C588,'Daily_BU설비데이터 '!$C$20:$T$1000,14,0)</f>
        <v>#N/A</v>
      </c>
      <c r="Q588" s="99" t="e">
        <f t="shared" si="60"/>
        <v>#N/A</v>
      </c>
      <c r="R588" s="100" t="e">
        <f t="shared" si="61"/>
        <v>#N/A</v>
      </c>
      <c r="S588" s="83" t="e">
        <f>VLOOKUP($C588,'Daily_BU설비데이터 '!$C$20:$T$1000,17,0)</f>
        <v>#N/A</v>
      </c>
      <c r="T588" s="83" t="e">
        <f>VLOOKUP($C588,'Daily_BU설비데이터 '!$C$20:$T$1000,18,0)</f>
        <v>#N/A</v>
      </c>
      <c r="U588" s="101" t="e">
        <f t="shared" si="62"/>
        <v>#N/A</v>
      </c>
      <c r="V588" s="45"/>
      <c r="W588" s="45"/>
      <c r="X588" s="45"/>
      <c r="Y588" s="45"/>
      <c r="Z588" s="45"/>
      <c r="AA588" s="45"/>
    </row>
    <row r="589" spans="2:27" x14ac:dyDescent="0.45">
      <c r="B589" s="45" t="s">
        <v>395</v>
      </c>
      <c r="C589" s="90"/>
      <c r="D589" s="56"/>
      <c r="E589" s="80"/>
      <c r="F589" s="58" t="e">
        <f>VLOOKUP($C589,'Daily_BU설비데이터 '!$C$20:$T$1000,4,0)</f>
        <v>#N/A</v>
      </c>
      <c r="G589" s="58" t="e">
        <f>VLOOKUP($C589,'Daily_BU설비데이터 '!$C$20:$T$1000,5,0)</f>
        <v>#N/A</v>
      </c>
      <c r="H589" s="58" t="e">
        <f>VLOOKUP($C589,'Daily_BU설비데이터 '!$C$20:$T$1000,6,0)</f>
        <v>#N/A</v>
      </c>
      <c r="I589" s="58" t="e">
        <f>VLOOKUP($C589,'Daily_BU설비데이터 '!$C$20:$T$1000,7,0)</f>
        <v>#N/A</v>
      </c>
      <c r="J589" s="58" t="e">
        <f>VLOOKUP($C589,'Daily_BU설비데이터 '!$C$20:$T$1000,8,0)</f>
        <v>#N/A</v>
      </c>
      <c r="K589" s="58" t="e">
        <f>VLOOKUP($C589,'Daily_BU설비데이터 '!$C$20:$T$1000,9,0)</f>
        <v>#N/A</v>
      </c>
      <c r="L589" s="59" t="e">
        <f t="shared" si="59"/>
        <v>#N/A</v>
      </c>
      <c r="M589" s="68" t="e">
        <f>VLOOKUP($C589,'Daily_BU설비데이터 '!$C$20:$T$1000,11,0)</f>
        <v>#N/A</v>
      </c>
      <c r="N589" s="68" t="e">
        <f>VLOOKUP($C589,'Daily_BU설비데이터 '!$C$20:$T$1000,12,0)</f>
        <v>#N/A</v>
      </c>
      <c r="O589" s="68" t="e">
        <f>VLOOKUP($C589,'Daily_BU설비데이터 '!$C$20:$T$1000,13,0)</f>
        <v>#N/A</v>
      </c>
      <c r="P589" s="68" t="e">
        <f>VLOOKUP($C589,'Daily_BU설비데이터 '!$C$20:$T$1000,14,0)</f>
        <v>#N/A</v>
      </c>
      <c r="Q589" s="99" t="e">
        <f t="shared" si="60"/>
        <v>#N/A</v>
      </c>
      <c r="R589" s="100" t="e">
        <f t="shared" si="61"/>
        <v>#N/A</v>
      </c>
      <c r="S589" s="83" t="e">
        <f>VLOOKUP($C589,'Daily_BU설비데이터 '!$C$20:$T$1000,17,0)</f>
        <v>#N/A</v>
      </c>
      <c r="T589" s="83" t="e">
        <f>VLOOKUP($C589,'Daily_BU설비데이터 '!$C$20:$T$1000,18,0)</f>
        <v>#N/A</v>
      </c>
      <c r="U589" s="101" t="e">
        <f t="shared" si="62"/>
        <v>#N/A</v>
      </c>
      <c r="V589" s="45"/>
      <c r="W589" s="45"/>
      <c r="X589" s="45"/>
      <c r="Y589" s="45"/>
      <c r="Z589" s="45"/>
      <c r="AA589" s="45"/>
    </row>
    <row r="590" spans="2:27" x14ac:dyDescent="0.45">
      <c r="B590" s="45" t="s">
        <v>396</v>
      </c>
      <c r="C590" s="90"/>
      <c r="D590" s="56"/>
      <c r="E590" s="84"/>
      <c r="F590" s="58" t="e">
        <f>VLOOKUP($C590,'Daily_BU설비데이터 '!$C$20:$T$1000,4,0)</f>
        <v>#N/A</v>
      </c>
      <c r="G590" s="58" t="e">
        <f>VLOOKUP($C590,'Daily_BU설비데이터 '!$C$20:$T$1000,5,0)</f>
        <v>#N/A</v>
      </c>
      <c r="H590" s="58" t="e">
        <f>VLOOKUP($C590,'Daily_BU설비데이터 '!$C$20:$T$1000,6,0)</f>
        <v>#N/A</v>
      </c>
      <c r="I590" s="58" t="e">
        <f>VLOOKUP($C590,'Daily_BU설비데이터 '!$C$20:$T$1000,7,0)</f>
        <v>#N/A</v>
      </c>
      <c r="J590" s="58" t="e">
        <f>VLOOKUP($C590,'Daily_BU설비데이터 '!$C$20:$T$1000,8,0)</f>
        <v>#N/A</v>
      </c>
      <c r="K590" s="58" t="e">
        <f>VLOOKUP($C590,'Daily_BU설비데이터 '!$C$20:$T$1000,9,0)</f>
        <v>#N/A</v>
      </c>
      <c r="L590" s="59" t="e">
        <f t="shared" si="59"/>
        <v>#N/A</v>
      </c>
      <c r="M590" s="68" t="e">
        <f>VLOOKUP($C590,'Daily_BU설비데이터 '!$C$20:$T$1000,11,0)</f>
        <v>#N/A</v>
      </c>
      <c r="N590" s="68" t="e">
        <f>VLOOKUP($C590,'Daily_BU설비데이터 '!$C$20:$T$1000,12,0)</f>
        <v>#N/A</v>
      </c>
      <c r="O590" s="68" t="e">
        <f>VLOOKUP($C590,'Daily_BU설비데이터 '!$C$20:$T$1000,13,0)</f>
        <v>#N/A</v>
      </c>
      <c r="P590" s="68" t="e">
        <f>VLOOKUP($C590,'Daily_BU설비데이터 '!$C$20:$T$1000,14,0)</f>
        <v>#N/A</v>
      </c>
      <c r="Q590" s="99" t="e">
        <f t="shared" si="60"/>
        <v>#N/A</v>
      </c>
      <c r="R590" s="100" t="e">
        <f t="shared" si="61"/>
        <v>#N/A</v>
      </c>
      <c r="S590" s="83" t="e">
        <f>VLOOKUP($C590,'Daily_BU설비데이터 '!$C$20:$T$1000,17,0)</f>
        <v>#N/A</v>
      </c>
      <c r="T590" s="83" t="e">
        <f>VLOOKUP($C590,'Daily_BU설비데이터 '!$C$20:$T$1000,18,0)</f>
        <v>#N/A</v>
      </c>
      <c r="U590" s="101" t="e">
        <f t="shared" si="62"/>
        <v>#N/A</v>
      </c>
      <c r="V590" s="45"/>
      <c r="W590" s="45"/>
      <c r="X590" s="45"/>
      <c r="Y590" s="45"/>
      <c r="Z590" s="45"/>
      <c r="AA590" s="45"/>
    </row>
    <row r="591" spans="2:27" x14ac:dyDescent="0.45">
      <c r="B591" s="45" t="s">
        <v>397</v>
      </c>
      <c r="C591" s="90"/>
      <c r="D591" s="56"/>
      <c r="E591" s="57"/>
      <c r="F591" s="58" t="e">
        <f>VLOOKUP($C591,'Daily_BU설비데이터 '!$C$20:$T$1000,4,0)</f>
        <v>#N/A</v>
      </c>
      <c r="G591" s="58" t="e">
        <f>VLOOKUP($C591,'Daily_BU설비데이터 '!$C$20:$T$1000,5,0)</f>
        <v>#N/A</v>
      </c>
      <c r="H591" s="58" t="e">
        <f>VLOOKUP($C591,'Daily_BU설비데이터 '!$C$20:$T$1000,6,0)</f>
        <v>#N/A</v>
      </c>
      <c r="I591" s="58" t="e">
        <f>VLOOKUP($C591,'Daily_BU설비데이터 '!$C$20:$T$1000,7,0)</f>
        <v>#N/A</v>
      </c>
      <c r="J591" s="58" t="e">
        <f>VLOOKUP($C591,'Daily_BU설비데이터 '!$C$20:$T$1000,8,0)</f>
        <v>#N/A</v>
      </c>
      <c r="K591" s="58" t="e">
        <f>VLOOKUP($C591,'Daily_BU설비데이터 '!$C$20:$T$1000,9,0)</f>
        <v>#N/A</v>
      </c>
      <c r="L591" s="59" t="e">
        <f t="shared" si="59"/>
        <v>#N/A</v>
      </c>
      <c r="M591" s="68" t="e">
        <f>VLOOKUP($C591,'Daily_BU설비데이터 '!$C$20:$T$1000,11,0)</f>
        <v>#N/A</v>
      </c>
      <c r="N591" s="68" t="e">
        <f>VLOOKUP($C591,'Daily_BU설비데이터 '!$C$20:$T$1000,12,0)</f>
        <v>#N/A</v>
      </c>
      <c r="O591" s="68" t="e">
        <f>VLOOKUP($C591,'Daily_BU설비데이터 '!$C$20:$T$1000,13,0)</f>
        <v>#N/A</v>
      </c>
      <c r="P591" s="68" t="e">
        <f>VLOOKUP($C591,'Daily_BU설비데이터 '!$C$20:$T$1000,14,0)</f>
        <v>#N/A</v>
      </c>
      <c r="Q591" s="99" t="e">
        <f t="shared" si="60"/>
        <v>#N/A</v>
      </c>
      <c r="R591" s="100" t="e">
        <f t="shared" si="61"/>
        <v>#N/A</v>
      </c>
      <c r="S591" s="83" t="e">
        <f>VLOOKUP($C591,'Daily_BU설비데이터 '!$C$20:$T$1000,17,0)</f>
        <v>#N/A</v>
      </c>
      <c r="T591" s="83" t="e">
        <f>VLOOKUP($C591,'Daily_BU설비데이터 '!$C$20:$T$1000,18,0)</f>
        <v>#N/A</v>
      </c>
      <c r="U591" s="101" t="e">
        <f t="shared" si="62"/>
        <v>#N/A</v>
      </c>
      <c r="V591" s="45"/>
      <c r="W591" s="45"/>
      <c r="X591" s="45"/>
      <c r="Y591" s="45"/>
      <c r="Z591" s="45"/>
      <c r="AA591" s="45"/>
    </row>
    <row r="592" spans="2:27" x14ac:dyDescent="0.45">
      <c r="B592" s="45" t="s">
        <v>398</v>
      </c>
      <c r="C592" s="90"/>
      <c r="D592" s="56"/>
      <c r="E592" s="80"/>
      <c r="F592" s="58" t="e">
        <f>VLOOKUP($C592,'Daily_BU설비데이터 '!$C$20:$T$1000,4,0)</f>
        <v>#N/A</v>
      </c>
      <c r="G592" s="58" t="e">
        <f>VLOOKUP($C592,'Daily_BU설비데이터 '!$C$20:$T$1000,5,0)</f>
        <v>#N/A</v>
      </c>
      <c r="H592" s="58" t="e">
        <f>VLOOKUP($C592,'Daily_BU설비데이터 '!$C$20:$T$1000,6,0)</f>
        <v>#N/A</v>
      </c>
      <c r="I592" s="58" t="e">
        <f>VLOOKUP($C592,'Daily_BU설비데이터 '!$C$20:$T$1000,7,0)</f>
        <v>#N/A</v>
      </c>
      <c r="J592" s="58" t="e">
        <f>VLOOKUP($C592,'Daily_BU설비데이터 '!$C$20:$T$1000,8,0)</f>
        <v>#N/A</v>
      </c>
      <c r="K592" s="58" t="e">
        <f>VLOOKUP($C592,'Daily_BU설비데이터 '!$C$20:$T$1000,9,0)</f>
        <v>#N/A</v>
      </c>
      <c r="L592" s="59" t="e">
        <f t="shared" si="59"/>
        <v>#N/A</v>
      </c>
      <c r="M592" s="68" t="e">
        <f>VLOOKUP($C592,'Daily_BU설비데이터 '!$C$20:$T$1000,11,0)</f>
        <v>#N/A</v>
      </c>
      <c r="N592" s="68" t="e">
        <f>VLOOKUP($C592,'Daily_BU설비데이터 '!$C$20:$T$1000,12,0)</f>
        <v>#N/A</v>
      </c>
      <c r="O592" s="68" t="e">
        <f>VLOOKUP($C592,'Daily_BU설비데이터 '!$C$20:$T$1000,13,0)</f>
        <v>#N/A</v>
      </c>
      <c r="P592" s="68" t="e">
        <f>VLOOKUP($C592,'Daily_BU설비데이터 '!$C$20:$T$1000,14,0)</f>
        <v>#N/A</v>
      </c>
      <c r="Q592" s="99" t="e">
        <f t="shared" si="60"/>
        <v>#N/A</v>
      </c>
      <c r="R592" s="100" t="e">
        <f t="shared" si="61"/>
        <v>#N/A</v>
      </c>
      <c r="S592" s="83" t="e">
        <f>VLOOKUP($C592,'Daily_BU설비데이터 '!$C$20:$T$1000,17,0)</f>
        <v>#N/A</v>
      </c>
      <c r="T592" s="83" t="e">
        <f>VLOOKUP($C592,'Daily_BU설비데이터 '!$C$20:$T$1000,18,0)</f>
        <v>#N/A</v>
      </c>
      <c r="U592" s="101" t="e">
        <f t="shared" si="62"/>
        <v>#N/A</v>
      </c>
      <c r="V592" s="45"/>
      <c r="W592" s="45"/>
      <c r="X592" s="45"/>
      <c r="Y592" s="45"/>
      <c r="Z592" s="45"/>
      <c r="AA592" s="45"/>
    </row>
    <row r="593" spans="2:27" x14ac:dyDescent="0.45">
      <c r="B593" s="45" t="s">
        <v>399</v>
      </c>
      <c r="C593" s="90"/>
      <c r="D593" s="56"/>
      <c r="E593" s="84"/>
      <c r="F593" s="58" t="e">
        <f>VLOOKUP($C593,'Daily_BU설비데이터 '!$C$20:$T$1000,4,0)</f>
        <v>#N/A</v>
      </c>
      <c r="G593" s="58" t="e">
        <f>VLOOKUP($C593,'Daily_BU설비데이터 '!$C$20:$T$1000,5,0)</f>
        <v>#N/A</v>
      </c>
      <c r="H593" s="58" t="e">
        <f>VLOOKUP($C593,'Daily_BU설비데이터 '!$C$20:$T$1000,6,0)</f>
        <v>#N/A</v>
      </c>
      <c r="I593" s="58" t="e">
        <f>VLOOKUP($C593,'Daily_BU설비데이터 '!$C$20:$T$1000,7,0)</f>
        <v>#N/A</v>
      </c>
      <c r="J593" s="58" t="e">
        <f>VLOOKUP($C593,'Daily_BU설비데이터 '!$C$20:$T$1000,8,0)</f>
        <v>#N/A</v>
      </c>
      <c r="K593" s="58" t="e">
        <f>VLOOKUP($C593,'Daily_BU설비데이터 '!$C$20:$T$1000,9,0)</f>
        <v>#N/A</v>
      </c>
      <c r="L593" s="59" t="e">
        <f t="shared" si="59"/>
        <v>#N/A</v>
      </c>
      <c r="M593" s="68" t="e">
        <f>VLOOKUP($C593,'Daily_BU설비데이터 '!$C$20:$T$1000,11,0)</f>
        <v>#N/A</v>
      </c>
      <c r="N593" s="68" t="e">
        <f>VLOOKUP($C593,'Daily_BU설비데이터 '!$C$20:$T$1000,12,0)</f>
        <v>#N/A</v>
      </c>
      <c r="O593" s="68" t="e">
        <f>VLOOKUP($C593,'Daily_BU설비데이터 '!$C$20:$T$1000,13,0)</f>
        <v>#N/A</v>
      </c>
      <c r="P593" s="68" t="e">
        <f>VLOOKUP($C593,'Daily_BU설비데이터 '!$C$20:$T$1000,14,0)</f>
        <v>#N/A</v>
      </c>
      <c r="Q593" s="99" t="e">
        <f t="shared" si="60"/>
        <v>#N/A</v>
      </c>
      <c r="R593" s="100" t="e">
        <f t="shared" si="61"/>
        <v>#N/A</v>
      </c>
      <c r="S593" s="83" t="e">
        <f>VLOOKUP($C593,'Daily_BU설비데이터 '!$C$20:$T$1000,17,0)</f>
        <v>#N/A</v>
      </c>
      <c r="T593" s="83" t="e">
        <f>VLOOKUP($C593,'Daily_BU설비데이터 '!$C$20:$T$1000,18,0)</f>
        <v>#N/A</v>
      </c>
      <c r="U593" s="101" t="e">
        <f t="shared" si="62"/>
        <v>#N/A</v>
      </c>
      <c r="V593" s="45"/>
      <c r="W593" s="45"/>
      <c r="X593" s="45"/>
      <c r="Y593" s="45"/>
      <c r="Z593" s="45"/>
      <c r="AA593" s="45"/>
    </row>
    <row r="594" spans="2:27" x14ac:dyDescent="0.45">
      <c r="B594" s="45" t="s">
        <v>400</v>
      </c>
      <c r="C594" s="90"/>
      <c r="D594" s="56"/>
      <c r="E594" s="57"/>
      <c r="F594" s="58" t="e">
        <f>VLOOKUP($C594,'Daily_BU설비데이터 '!$C$20:$T$1000,4,0)</f>
        <v>#N/A</v>
      </c>
      <c r="G594" s="58" t="e">
        <f>VLOOKUP($C594,'Daily_BU설비데이터 '!$C$20:$T$1000,5,0)</f>
        <v>#N/A</v>
      </c>
      <c r="H594" s="58" t="e">
        <f>VLOOKUP($C594,'Daily_BU설비데이터 '!$C$20:$T$1000,6,0)</f>
        <v>#N/A</v>
      </c>
      <c r="I594" s="58" t="e">
        <f>VLOOKUP($C594,'Daily_BU설비데이터 '!$C$20:$T$1000,7,0)</f>
        <v>#N/A</v>
      </c>
      <c r="J594" s="58" t="e">
        <f>VLOOKUP($C594,'Daily_BU설비데이터 '!$C$20:$T$1000,8,0)</f>
        <v>#N/A</v>
      </c>
      <c r="K594" s="58" t="e">
        <f>VLOOKUP($C594,'Daily_BU설비데이터 '!$C$20:$T$1000,9,0)</f>
        <v>#N/A</v>
      </c>
      <c r="L594" s="59" t="e">
        <f t="shared" ref="L594:L657" si="63">1/2*((F594*I594+H594*K594+J594*G594)-(G594*H594+I594*J594+K594*F594))/0.1582*100</f>
        <v>#N/A</v>
      </c>
      <c r="M594" s="68" t="e">
        <f>VLOOKUP($C594,'Daily_BU설비데이터 '!$C$20:$T$1000,11,0)</f>
        <v>#N/A</v>
      </c>
      <c r="N594" s="68" t="e">
        <f>VLOOKUP($C594,'Daily_BU설비데이터 '!$C$20:$T$1000,12,0)</f>
        <v>#N/A</v>
      </c>
      <c r="O594" s="68" t="e">
        <f>VLOOKUP($C594,'Daily_BU설비데이터 '!$C$20:$T$1000,13,0)</f>
        <v>#N/A</v>
      </c>
      <c r="P594" s="68" t="e">
        <f>VLOOKUP($C594,'Daily_BU설비데이터 '!$C$20:$T$1000,14,0)</f>
        <v>#N/A</v>
      </c>
      <c r="Q594" s="99" t="e">
        <f t="shared" ref="Q594:Q657" si="64">O594/P594</f>
        <v>#N/A</v>
      </c>
      <c r="R594" s="100" t="e">
        <f t="shared" ref="R594:R657" si="65">SQRT(POWER(M594-$M$12,2)+POWER(N594-$N$12,2))</f>
        <v>#N/A</v>
      </c>
      <c r="S594" s="83" t="e">
        <f>VLOOKUP($C594,'Daily_BU설비데이터 '!$C$20:$T$1000,17,0)</f>
        <v>#N/A</v>
      </c>
      <c r="T594" s="83" t="e">
        <f>VLOOKUP($C594,'Daily_BU설비데이터 '!$C$20:$T$1000,18,0)</f>
        <v>#N/A</v>
      </c>
      <c r="U594" s="101" t="e">
        <f t="shared" ref="U594:U657" si="66">(-449*((M594-0.332)/(N594-0.1858))^3)+(3525*((M594-0.332)/(N594-0.1858))^2)+(-6823.3*(M594-0.332)/(N594-0.1858))+5520.33</f>
        <v>#N/A</v>
      </c>
      <c r="V594" s="45"/>
      <c r="W594" s="45"/>
      <c r="X594" s="45"/>
      <c r="Y594" s="45"/>
      <c r="Z594" s="45"/>
      <c r="AA594" s="45"/>
    </row>
    <row r="595" spans="2:27" x14ac:dyDescent="0.45">
      <c r="B595" s="45" t="s">
        <v>401</v>
      </c>
      <c r="C595" s="90"/>
      <c r="D595" s="56"/>
      <c r="E595" s="80"/>
      <c r="F595" s="58" t="e">
        <f>VLOOKUP($C595,'Daily_BU설비데이터 '!$C$20:$T$1000,4,0)</f>
        <v>#N/A</v>
      </c>
      <c r="G595" s="58" t="e">
        <f>VLOOKUP($C595,'Daily_BU설비데이터 '!$C$20:$T$1000,5,0)</f>
        <v>#N/A</v>
      </c>
      <c r="H595" s="58" t="e">
        <f>VLOOKUP($C595,'Daily_BU설비데이터 '!$C$20:$T$1000,6,0)</f>
        <v>#N/A</v>
      </c>
      <c r="I595" s="58" t="e">
        <f>VLOOKUP($C595,'Daily_BU설비데이터 '!$C$20:$T$1000,7,0)</f>
        <v>#N/A</v>
      </c>
      <c r="J595" s="58" t="e">
        <f>VLOOKUP($C595,'Daily_BU설비데이터 '!$C$20:$T$1000,8,0)</f>
        <v>#N/A</v>
      </c>
      <c r="K595" s="58" t="e">
        <f>VLOOKUP($C595,'Daily_BU설비데이터 '!$C$20:$T$1000,9,0)</f>
        <v>#N/A</v>
      </c>
      <c r="L595" s="59" t="e">
        <f t="shared" si="63"/>
        <v>#N/A</v>
      </c>
      <c r="M595" s="68" t="e">
        <f>VLOOKUP($C595,'Daily_BU설비데이터 '!$C$20:$T$1000,11,0)</f>
        <v>#N/A</v>
      </c>
      <c r="N595" s="68" t="e">
        <f>VLOOKUP($C595,'Daily_BU설비데이터 '!$C$20:$T$1000,12,0)</f>
        <v>#N/A</v>
      </c>
      <c r="O595" s="68" t="e">
        <f>VLOOKUP($C595,'Daily_BU설비데이터 '!$C$20:$T$1000,13,0)</f>
        <v>#N/A</v>
      </c>
      <c r="P595" s="68" t="e">
        <f>VLOOKUP($C595,'Daily_BU설비데이터 '!$C$20:$T$1000,14,0)</f>
        <v>#N/A</v>
      </c>
      <c r="Q595" s="99" t="e">
        <f t="shared" si="64"/>
        <v>#N/A</v>
      </c>
      <c r="R595" s="100" t="e">
        <f t="shared" si="65"/>
        <v>#N/A</v>
      </c>
      <c r="S595" s="83" t="e">
        <f>VLOOKUP($C595,'Daily_BU설비데이터 '!$C$20:$T$1000,17,0)</f>
        <v>#N/A</v>
      </c>
      <c r="T595" s="83" t="e">
        <f>VLOOKUP($C595,'Daily_BU설비데이터 '!$C$20:$T$1000,18,0)</f>
        <v>#N/A</v>
      </c>
      <c r="U595" s="101" t="e">
        <f t="shared" si="66"/>
        <v>#N/A</v>
      </c>
      <c r="V595" s="45"/>
      <c r="W595" s="45"/>
      <c r="X595" s="45"/>
      <c r="Y595" s="45"/>
      <c r="Z595" s="45"/>
      <c r="AA595" s="45"/>
    </row>
    <row r="596" spans="2:27" x14ac:dyDescent="0.45">
      <c r="B596" s="45" t="s">
        <v>402</v>
      </c>
      <c r="C596" s="90"/>
      <c r="D596" s="56"/>
      <c r="E596" s="84"/>
      <c r="F596" s="58" t="e">
        <f>VLOOKUP($C596,'Daily_BU설비데이터 '!$C$20:$T$1000,4,0)</f>
        <v>#N/A</v>
      </c>
      <c r="G596" s="58" t="e">
        <f>VLOOKUP($C596,'Daily_BU설비데이터 '!$C$20:$T$1000,5,0)</f>
        <v>#N/A</v>
      </c>
      <c r="H596" s="58" t="e">
        <f>VLOOKUP($C596,'Daily_BU설비데이터 '!$C$20:$T$1000,6,0)</f>
        <v>#N/A</v>
      </c>
      <c r="I596" s="58" t="e">
        <f>VLOOKUP($C596,'Daily_BU설비데이터 '!$C$20:$T$1000,7,0)</f>
        <v>#N/A</v>
      </c>
      <c r="J596" s="58" t="e">
        <f>VLOOKUP($C596,'Daily_BU설비데이터 '!$C$20:$T$1000,8,0)</f>
        <v>#N/A</v>
      </c>
      <c r="K596" s="58" t="e">
        <f>VLOOKUP($C596,'Daily_BU설비데이터 '!$C$20:$T$1000,9,0)</f>
        <v>#N/A</v>
      </c>
      <c r="L596" s="59" t="e">
        <f t="shared" si="63"/>
        <v>#N/A</v>
      </c>
      <c r="M596" s="68" t="e">
        <f>VLOOKUP($C596,'Daily_BU설비데이터 '!$C$20:$T$1000,11,0)</f>
        <v>#N/A</v>
      </c>
      <c r="N596" s="68" t="e">
        <f>VLOOKUP($C596,'Daily_BU설비데이터 '!$C$20:$T$1000,12,0)</f>
        <v>#N/A</v>
      </c>
      <c r="O596" s="68" t="e">
        <f>VLOOKUP($C596,'Daily_BU설비데이터 '!$C$20:$T$1000,13,0)</f>
        <v>#N/A</v>
      </c>
      <c r="P596" s="68" t="e">
        <f>VLOOKUP($C596,'Daily_BU설비데이터 '!$C$20:$T$1000,14,0)</f>
        <v>#N/A</v>
      </c>
      <c r="Q596" s="99" t="e">
        <f t="shared" si="64"/>
        <v>#N/A</v>
      </c>
      <c r="R596" s="100" t="e">
        <f t="shared" si="65"/>
        <v>#N/A</v>
      </c>
      <c r="S596" s="83" t="e">
        <f>VLOOKUP($C596,'Daily_BU설비데이터 '!$C$20:$T$1000,17,0)</f>
        <v>#N/A</v>
      </c>
      <c r="T596" s="83" t="e">
        <f>VLOOKUP($C596,'Daily_BU설비데이터 '!$C$20:$T$1000,18,0)</f>
        <v>#N/A</v>
      </c>
      <c r="U596" s="101" t="e">
        <f t="shared" si="66"/>
        <v>#N/A</v>
      </c>
      <c r="V596" s="45"/>
      <c r="W596" s="45"/>
      <c r="X596" s="45"/>
      <c r="Y596" s="45"/>
      <c r="Z596" s="45"/>
      <c r="AA596" s="45"/>
    </row>
    <row r="597" spans="2:27" x14ac:dyDescent="0.45">
      <c r="B597" s="45" t="s">
        <v>403</v>
      </c>
      <c r="C597" s="90"/>
      <c r="D597" s="56"/>
      <c r="E597" s="57"/>
      <c r="F597" s="58" t="e">
        <f>VLOOKUP($C597,'Daily_BU설비데이터 '!$C$20:$T$1000,4,0)</f>
        <v>#N/A</v>
      </c>
      <c r="G597" s="58" t="e">
        <f>VLOOKUP($C597,'Daily_BU설비데이터 '!$C$20:$T$1000,5,0)</f>
        <v>#N/A</v>
      </c>
      <c r="H597" s="58" t="e">
        <f>VLOOKUP($C597,'Daily_BU설비데이터 '!$C$20:$T$1000,6,0)</f>
        <v>#N/A</v>
      </c>
      <c r="I597" s="58" t="e">
        <f>VLOOKUP($C597,'Daily_BU설비데이터 '!$C$20:$T$1000,7,0)</f>
        <v>#N/A</v>
      </c>
      <c r="J597" s="58" t="e">
        <f>VLOOKUP($C597,'Daily_BU설비데이터 '!$C$20:$T$1000,8,0)</f>
        <v>#N/A</v>
      </c>
      <c r="K597" s="58" t="e">
        <f>VLOOKUP($C597,'Daily_BU설비데이터 '!$C$20:$T$1000,9,0)</f>
        <v>#N/A</v>
      </c>
      <c r="L597" s="59" t="e">
        <f t="shared" si="63"/>
        <v>#N/A</v>
      </c>
      <c r="M597" s="68" t="e">
        <f>VLOOKUP($C597,'Daily_BU설비데이터 '!$C$20:$T$1000,11,0)</f>
        <v>#N/A</v>
      </c>
      <c r="N597" s="68" t="e">
        <f>VLOOKUP($C597,'Daily_BU설비데이터 '!$C$20:$T$1000,12,0)</f>
        <v>#N/A</v>
      </c>
      <c r="O597" s="68" t="e">
        <f>VLOOKUP($C597,'Daily_BU설비데이터 '!$C$20:$T$1000,13,0)</f>
        <v>#N/A</v>
      </c>
      <c r="P597" s="68" t="e">
        <f>VLOOKUP($C597,'Daily_BU설비데이터 '!$C$20:$T$1000,14,0)</f>
        <v>#N/A</v>
      </c>
      <c r="Q597" s="99" t="e">
        <f t="shared" si="64"/>
        <v>#N/A</v>
      </c>
      <c r="R597" s="100" t="e">
        <f t="shared" si="65"/>
        <v>#N/A</v>
      </c>
      <c r="S597" s="83" t="e">
        <f>VLOOKUP($C597,'Daily_BU설비데이터 '!$C$20:$T$1000,17,0)</f>
        <v>#N/A</v>
      </c>
      <c r="T597" s="83" t="e">
        <f>VLOOKUP($C597,'Daily_BU설비데이터 '!$C$20:$T$1000,18,0)</f>
        <v>#N/A</v>
      </c>
      <c r="U597" s="101" t="e">
        <f t="shared" si="66"/>
        <v>#N/A</v>
      </c>
      <c r="V597" s="45"/>
      <c r="W597" s="45"/>
      <c r="X597" s="45"/>
      <c r="Y597" s="45"/>
      <c r="Z597" s="45"/>
      <c r="AA597" s="45"/>
    </row>
    <row r="598" spans="2:27" x14ac:dyDescent="0.45">
      <c r="B598" s="45" t="s">
        <v>404</v>
      </c>
      <c r="C598" s="90"/>
      <c r="D598" s="56"/>
      <c r="E598" s="80"/>
      <c r="F598" s="58" t="e">
        <f>VLOOKUP($C598,'Daily_BU설비데이터 '!$C$20:$T$1000,4,0)</f>
        <v>#N/A</v>
      </c>
      <c r="G598" s="58" t="e">
        <f>VLOOKUP($C598,'Daily_BU설비데이터 '!$C$20:$T$1000,5,0)</f>
        <v>#N/A</v>
      </c>
      <c r="H598" s="58" t="e">
        <f>VLOOKUP($C598,'Daily_BU설비데이터 '!$C$20:$T$1000,6,0)</f>
        <v>#N/A</v>
      </c>
      <c r="I598" s="58" t="e">
        <f>VLOOKUP($C598,'Daily_BU설비데이터 '!$C$20:$T$1000,7,0)</f>
        <v>#N/A</v>
      </c>
      <c r="J598" s="58" t="e">
        <f>VLOOKUP($C598,'Daily_BU설비데이터 '!$C$20:$T$1000,8,0)</f>
        <v>#N/A</v>
      </c>
      <c r="K598" s="58" t="e">
        <f>VLOOKUP($C598,'Daily_BU설비데이터 '!$C$20:$T$1000,9,0)</f>
        <v>#N/A</v>
      </c>
      <c r="L598" s="59" t="e">
        <f t="shared" si="63"/>
        <v>#N/A</v>
      </c>
      <c r="M598" s="68" t="e">
        <f>VLOOKUP($C598,'Daily_BU설비데이터 '!$C$20:$T$1000,11,0)</f>
        <v>#N/A</v>
      </c>
      <c r="N598" s="68" t="e">
        <f>VLOOKUP($C598,'Daily_BU설비데이터 '!$C$20:$T$1000,12,0)</f>
        <v>#N/A</v>
      </c>
      <c r="O598" s="68" t="e">
        <f>VLOOKUP($C598,'Daily_BU설비데이터 '!$C$20:$T$1000,13,0)</f>
        <v>#N/A</v>
      </c>
      <c r="P598" s="68" t="e">
        <f>VLOOKUP($C598,'Daily_BU설비데이터 '!$C$20:$T$1000,14,0)</f>
        <v>#N/A</v>
      </c>
      <c r="Q598" s="99" t="e">
        <f t="shared" si="64"/>
        <v>#N/A</v>
      </c>
      <c r="R598" s="100" t="e">
        <f t="shared" si="65"/>
        <v>#N/A</v>
      </c>
      <c r="S598" s="83" t="e">
        <f>VLOOKUP($C598,'Daily_BU설비데이터 '!$C$20:$T$1000,17,0)</f>
        <v>#N/A</v>
      </c>
      <c r="T598" s="83" t="e">
        <f>VLOOKUP($C598,'Daily_BU설비데이터 '!$C$20:$T$1000,18,0)</f>
        <v>#N/A</v>
      </c>
      <c r="U598" s="101" t="e">
        <f t="shared" si="66"/>
        <v>#N/A</v>
      </c>
      <c r="V598" s="45"/>
      <c r="W598" s="45"/>
      <c r="X598" s="45"/>
      <c r="Y598" s="45"/>
      <c r="Z598" s="45"/>
      <c r="AA598" s="45"/>
    </row>
    <row r="599" spans="2:27" x14ac:dyDescent="0.45">
      <c r="B599" s="45" t="s">
        <v>405</v>
      </c>
      <c r="C599" s="90"/>
      <c r="D599" s="56"/>
      <c r="E599" s="84"/>
      <c r="F599" s="58" t="e">
        <f>VLOOKUP($C599,'Daily_BU설비데이터 '!$C$20:$T$1000,4,0)</f>
        <v>#N/A</v>
      </c>
      <c r="G599" s="58" t="e">
        <f>VLOOKUP($C599,'Daily_BU설비데이터 '!$C$20:$T$1000,5,0)</f>
        <v>#N/A</v>
      </c>
      <c r="H599" s="58" t="e">
        <f>VLOOKUP($C599,'Daily_BU설비데이터 '!$C$20:$T$1000,6,0)</f>
        <v>#N/A</v>
      </c>
      <c r="I599" s="58" t="e">
        <f>VLOOKUP($C599,'Daily_BU설비데이터 '!$C$20:$T$1000,7,0)</f>
        <v>#N/A</v>
      </c>
      <c r="J599" s="58" t="e">
        <f>VLOOKUP($C599,'Daily_BU설비데이터 '!$C$20:$T$1000,8,0)</f>
        <v>#N/A</v>
      </c>
      <c r="K599" s="58" t="e">
        <f>VLOOKUP($C599,'Daily_BU설비데이터 '!$C$20:$T$1000,9,0)</f>
        <v>#N/A</v>
      </c>
      <c r="L599" s="59" t="e">
        <f t="shared" si="63"/>
        <v>#N/A</v>
      </c>
      <c r="M599" s="68" t="e">
        <f>VLOOKUP($C599,'Daily_BU설비데이터 '!$C$20:$T$1000,11,0)</f>
        <v>#N/A</v>
      </c>
      <c r="N599" s="68" t="e">
        <f>VLOOKUP($C599,'Daily_BU설비데이터 '!$C$20:$T$1000,12,0)</f>
        <v>#N/A</v>
      </c>
      <c r="O599" s="68" t="e">
        <f>VLOOKUP($C599,'Daily_BU설비데이터 '!$C$20:$T$1000,13,0)</f>
        <v>#N/A</v>
      </c>
      <c r="P599" s="68" t="e">
        <f>VLOOKUP($C599,'Daily_BU설비데이터 '!$C$20:$T$1000,14,0)</f>
        <v>#N/A</v>
      </c>
      <c r="Q599" s="99" t="e">
        <f t="shared" si="64"/>
        <v>#N/A</v>
      </c>
      <c r="R599" s="100" t="e">
        <f t="shared" si="65"/>
        <v>#N/A</v>
      </c>
      <c r="S599" s="83" t="e">
        <f>VLOOKUP($C599,'Daily_BU설비데이터 '!$C$20:$T$1000,17,0)</f>
        <v>#N/A</v>
      </c>
      <c r="T599" s="83" t="e">
        <f>VLOOKUP($C599,'Daily_BU설비데이터 '!$C$20:$T$1000,18,0)</f>
        <v>#N/A</v>
      </c>
      <c r="U599" s="101" t="e">
        <f t="shared" si="66"/>
        <v>#N/A</v>
      </c>
      <c r="V599" s="45"/>
      <c r="W599" s="45"/>
      <c r="X599" s="45"/>
      <c r="Y599" s="45"/>
      <c r="Z599" s="45"/>
      <c r="AA599" s="45"/>
    </row>
    <row r="600" spans="2:27" x14ac:dyDescent="0.45">
      <c r="B600" s="45" t="s">
        <v>406</v>
      </c>
      <c r="C600" s="90"/>
      <c r="D600" s="56"/>
      <c r="E600" s="57"/>
      <c r="F600" s="58" t="e">
        <f>VLOOKUP($C600,'Daily_BU설비데이터 '!$C$20:$T$1000,4,0)</f>
        <v>#N/A</v>
      </c>
      <c r="G600" s="58" t="e">
        <f>VLOOKUP($C600,'Daily_BU설비데이터 '!$C$20:$T$1000,5,0)</f>
        <v>#N/A</v>
      </c>
      <c r="H600" s="58" t="e">
        <f>VLOOKUP($C600,'Daily_BU설비데이터 '!$C$20:$T$1000,6,0)</f>
        <v>#N/A</v>
      </c>
      <c r="I600" s="58" t="e">
        <f>VLOOKUP($C600,'Daily_BU설비데이터 '!$C$20:$T$1000,7,0)</f>
        <v>#N/A</v>
      </c>
      <c r="J600" s="58" t="e">
        <f>VLOOKUP($C600,'Daily_BU설비데이터 '!$C$20:$T$1000,8,0)</f>
        <v>#N/A</v>
      </c>
      <c r="K600" s="58" t="e">
        <f>VLOOKUP($C600,'Daily_BU설비데이터 '!$C$20:$T$1000,9,0)</f>
        <v>#N/A</v>
      </c>
      <c r="L600" s="59" t="e">
        <f t="shared" si="63"/>
        <v>#N/A</v>
      </c>
      <c r="M600" s="68" t="e">
        <f>VLOOKUP($C600,'Daily_BU설비데이터 '!$C$20:$T$1000,11,0)</f>
        <v>#N/A</v>
      </c>
      <c r="N600" s="68" t="e">
        <f>VLOOKUP($C600,'Daily_BU설비데이터 '!$C$20:$T$1000,12,0)</f>
        <v>#N/A</v>
      </c>
      <c r="O600" s="68" t="e">
        <f>VLOOKUP($C600,'Daily_BU설비데이터 '!$C$20:$T$1000,13,0)</f>
        <v>#N/A</v>
      </c>
      <c r="P600" s="68" t="e">
        <f>VLOOKUP($C600,'Daily_BU설비데이터 '!$C$20:$T$1000,14,0)</f>
        <v>#N/A</v>
      </c>
      <c r="Q600" s="99" t="e">
        <f t="shared" si="64"/>
        <v>#N/A</v>
      </c>
      <c r="R600" s="100" t="e">
        <f t="shared" si="65"/>
        <v>#N/A</v>
      </c>
      <c r="S600" s="83" t="e">
        <f>VLOOKUP($C600,'Daily_BU설비데이터 '!$C$20:$T$1000,17,0)</f>
        <v>#N/A</v>
      </c>
      <c r="T600" s="83" t="e">
        <f>VLOOKUP($C600,'Daily_BU설비데이터 '!$C$20:$T$1000,18,0)</f>
        <v>#N/A</v>
      </c>
      <c r="U600" s="101" t="e">
        <f t="shared" si="66"/>
        <v>#N/A</v>
      </c>
      <c r="V600" s="45"/>
      <c r="W600" s="45"/>
      <c r="X600" s="45"/>
      <c r="Y600" s="45"/>
      <c r="Z600" s="45"/>
      <c r="AA600" s="45"/>
    </row>
    <row r="601" spans="2:27" x14ac:dyDescent="0.45">
      <c r="B601" s="45" t="s">
        <v>407</v>
      </c>
      <c r="C601" s="90"/>
      <c r="D601" s="56"/>
      <c r="E601" s="84"/>
      <c r="F601" s="58" t="e">
        <f>VLOOKUP($C601,'Daily_BU설비데이터 '!$C$20:$T$1000,4,0)</f>
        <v>#N/A</v>
      </c>
      <c r="G601" s="58" t="e">
        <f>VLOOKUP($C601,'Daily_BU설비데이터 '!$C$20:$T$1000,5,0)</f>
        <v>#N/A</v>
      </c>
      <c r="H601" s="58" t="e">
        <f>VLOOKUP($C601,'Daily_BU설비데이터 '!$C$20:$T$1000,6,0)</f>
        <v>#N/A</v>
      </c>
      <c r="I601" s="58" t="e">
        <f>VLOOKUP($C601,'Daily_BU설비데이터 '!$C$20:$T$1000,7,0)</f>
        <v>#N/A</v>
      </c>
      <c r="J601" s="58" t="e">
        <f>VLOOKUP($C601,'Daily_BU설비데이터 '!$C$20:$T$1000,8,0)</f>
        <v>#N/A</v>
      </c>
      <c r="K601" s="58" t="e">
        <f>VLOOKUP($C601,'Daily_BU설비데이터 '!$C$20:$T$1000,9,0)</f>
        <v>#N/A</v>
      </c>
      <c r="L601" s="59" t="e">
        <f t="shared" si="63"/>
        <v>#N/A</v>
      </c>
      <c r="M601" s="68" t="e">
        <f>VLOOKUP($C601,'Daily_BU설비데이터 '!$C$20:$T$1000,11,0)</f>
        <v>#N/A</v>
      </c>
      <c r="N601" s="68" t="e">
        <f>VLOOKUP($C601,'Daily_BU설비데이터 '!$C$20:$T$1000,12,0)</f>
        <v>#N/A</v>
      </c>
      <c r="O601" s="68" t="e">
        <f>VLOOKUP($C601,'Daily_BU설비데이터 '!$C$20:$T$1000,13,0)</f>
        <v>#N/A</v>
      </c>
      <c r="P601" s="68" t="e">
        <f>VLOOKUP($C601,'Daily_BU설비데이터 '!$C$20:$T$1000,14,0)</f>
        <v>#N/A</v>
      </c>
      <c r="Q601" s="99" t="e">
        <f t="shared" si="64"/>
        <v>#N/A</v>
      </c>
      <c r="R601" s="100" t="e">
        <f t="shared" si="65"/>
        <v>#N/A</v>
      </c>
      <c r="S601" s="83" t="e">
        <f>VLOOKUP($C601,'Daily_BU설비데이터 '!$C$20:$T$1000,17,0)</f>
        <v>#N/A</v>
      </c>
      <c r="T601" s="83" t="e">
        <f>VLOOKUP($C601,'Daily_BU설비데이터 '!$C$20:$T$1000,18,0)</f>
        <v>#N/A</v>
      </c>
      <c r="U601" s="101" t="e">
        <f t="shared" si="66"/>
        <v>#N/A</v>
      </c>
      <c r="V601" s="45"/>
      <c r="W601" s="45"/>
      <c r="X601" s="45"/>
      <c r="Y601" s="45"/>
      <c r="Z601" s="45"/>
      <c r="AA601" s="45"/>
    </row>
    <row r="602" spans="2:27" x14ac:dyDescent="0.45">
      <c r="B602" s="45" t="s">
        <v>408</v>
      </c>
      <c r="C602" s="90"/>
      <c r="D602" s="56"/>
      <c r="E602" s="57"/>
      <c r="F602" s="58" t="e">
        <f>VLOOKUP($C602,'Daily_BU설비데이터 '!$C$20:$T$1000,4,0)</f>
        <v>#N/A</v>
      </c>
      <c r="G602" s="58" t="e">
        <f>VLOOKUP($C602,'Daily_BU설비데이터 '!$C$20:$T$1000,5,0)</f>
        <v>#N/A</v>
      </c>
      <c r="H602" s="58" t="e">
        <f>VLOOKUP($C602,'Daily_BU설비데이터 '!$C$20:$T$1000,6,0)</f>
        <v>#N/A</v>
      </c>
      <c r="I602" s="58" t="e">
        <f>VLOOKUP($C602,'Daily_BU설비데이터 '!$C$20:$T$1000,7,0)</f>
        <v>#N/A</v>
      </c>
      <c r="J602" s="58" t="e">
        <f>VLOOKUP($C602,'Daily_BU설비데이터 '!$C$20:$T$1000,8,0)</f>
        <v>#N/A</v>
      </c>
      <c r="K602" s="58" t="e">
        <f>VLOOKUP($C602,'Daily_BU설비데이터 '!$C$20:$T$1000,9,0)</f>
        <v>#N/A</v>
      </c>
      <c r="L602" s="59" t="e">
        <f t="shared" si="63"/>
        <v>#N/A</v>
      </c>
      <c r="M602" s="68" t="e">
        <f>VLOOKUP($C602,'Daily_BU설비데이터 '!$C$20:$T$1000,11,0)</f>
        <v>#N/A</v>
      </c>
      <c r="N602" s="68" t="e">
        <f>VLOOKUP($C602,'Daily_BU설비데이터 '!$C$20:$T$1000,12,0)</f>
        <v>#N/A</v>
      </c>
      <c r="O602" s="68" t="e">
        <f>VLOOKUP($C602,'Daily_BU설비데이터 '!$C$20:$T$1000,13,0)</f>
        <v>#N/A</v>
      </c>
      <c r="P602" s="68" t="e">
        <f>VLOOKUP($C602,'Daily_BU설비데이터 '!$C$20:$T$1000,14,0)</f>
        <v>#N/A</v>
      </c>
      <c r="Q602" s="99" t="e">
        <f t="shared" si="64"/>
        <v>#N/A</v>
      </c>
      <c r="R602" s="100" t="e">
        <f t="shared" si="65"/>
        <v>#N/A</v>
      </c>
      <c r="S602" s="83" t="e">
        <f>VLOOKUP($C602,'Daily_BU설비데이터 '!$C$20:$T$1000,17,0)</f>
        <v>#N/A</v>
      </c>
      <c r="T602" s="83" t="e">
        <f>VLOOKUP($C602,'Daily_BU설비데이터 '!$C$20:$T$1000,18,0)</f>
        <v>#N/A</v>
      </c>
      <c r="U602" s="101" t="e">
        <f t="shared" si="66"/>
        <v>#N/A</v>
      </c>
      <c r="V602" s="45"/>
      <c r="W602" s="45"/>
      <c r="X602" s="45"/>
      <c r="Y602" s="45"/>
      <c r="Z602" s="45"/>
      <c r="AA602" s="45"/>
    </row>
    <row r="603" spans="2:27" x14ac:dyDescent="0.45">
      <c r="B603" s="45" t="s">
        <v>409</v>
      </c>
      <c r="C603" s="90"/>
      <c r="D603" s="56"/>
      <c r="E603" s="80"/>
      <c r="F603" s="58" t="e">
        <f>VLOOKUP($C603,'Daily_BU설비데이터 '!$C$20:$T$1000,4,0)</f>
        <v>#N/A</v>
      </c>
      <c r="G603" s="58" t="e">
        <f>VLOOKUP($C603,'Daily_BU설비데이터 '!$C$20:$T$1000,5,0)</f>
        <v>#N/A</v>
      </c>
      <c r="H603" s="58" t="e">
        <f>VLOOKUP($C603,'Daily_BU설비데이터 '!$C$20:$T$1000,6,0)</f>
        <v>#N/A</v>
      </c>
      <c r="I603" s="58" t="e">
        <f>VLOOKUP($C603,'Daily_BU설비데이터 '!$C$20:$T$1000,7,0)</f>
        <v>#N/A</v>
      </c>
      <c r="J603" s="58" t="e">
        <f>VLOOKUP($C603,'Daily_BU설비데이터 '!$C$20:$T$1000,8,0)</f>
        <v>#N/A</v>
      </c>
      <c r="K603" s="58" t="e">
        <f>VLOOKUP($C603,'Daily_BU설비데이터 '!$C$20:$T$1000,9,0)</f>
        <v>#N/A</v>
      </c>
      <c r="L603" s="59" t="e">
        <f t="shared" si="63"/>
        <v>#N/A</v>
      </c>
      <c r="M603" s="68" t="e">
        <f>VLOOKUP($C603,'Daily_BU설비데이터 '!$C$20:$T$1000,11,0)</f>
        <v>#N/A</v>
      </c>
      <c r="N603" s="68" t="e">
        <f>VLOOKUP($C603,'Daily_BU설비데이터 '!$C$20:$T$1000,12,0)</f>
        <v>#N/A</v>
      </c>
      <c r="O603" s="68" t="e">
        <f>VLOOKUP($C603,'Daily_BU설비데이터 '!$C$20:$T$1000,13,0)</f>
        <v>#N/A</v>
      </c>
      <c r="P603" s="68" t="e">
        <f>VLOOKUP($C603,'Daily_BU설비데이터 '!$C$20:$T$1000,14,0)</f>
        <v>#N/A</v>
      </c>
      <c r="Q603" s="99" t="e">
        <f t="shared" si="64"/>
        <v>#N/A</v>
      </c>
      <c r="R603" s="100" t="e">
        <f t="shared" si="65"/>
        <v>#N/A</v>
      </c>
      <c r="S603" s="83" t="e">
        <f>VLOOKUP($C603,'Daily_BU설비데이터 '!$C$20:$T$1000,17,0)</f>
        <v>#N/A</v>
      </c>
      <c r="T603" s="83" t="e">
        <f>VLOOKUP($C603,'Daily_BU설비데이터 '!$C$20:$T$1000,18,0)</f>
        <v>#N/A</v>
      </c>
      <c r="U603" s="101" t="e">
        <f t="shared" si="66"/>
        <v>#N/A</v>
      </c>
      <c r="V603" s="45"/>
      <c r="W603" s="45"/>
      <c r="X603" s="45"/>
      <c r="Y603" s="45"/>
      <c r="Z603" s="45"/>
      <c r="AA603" s="45"/>
    </row>
    <row r="604" spans="2:27" x14ac:dyDescent="0.45">
      <c r="B604" s="45" t="s">
        <v>410</v>
      </c>
      <c r="C604" s="90"/>
      <c r="D604" s="56"/>
      <c r="E604" s="84"/>
      <c r="F604" s="58" t="e">
        <f>VLOOKUP($C604,'Daily_BU설비데이터 '!$C$20:$T$1000,4,0)</f>
        <v>#N/A</v>
      </c>
      <c r="G604" s="58" t="e">
        <f>VLOOKUP($C604,'Daily_BU설비데이터 '!$C$20:$T$1000,5,0)</f>
        <v>#N/A</v>
      </c>
      <c r="H604" s="58" t="e">
        <f>VLOOKUP($C604,'Daily_BU설비데이터 '!$C$20:$T$1000,6,0)</f>
        <v>#N/A</v>
      </c>
      <c r="I604" s="58" t="e">
        <f>VLOOKUP($C604,'Daily_BU설비데이터 '!$C$20:$T$1000,7,0)</f>
        <v>#N/A</v>
      </c>
      <c r="J604" s="58" t="e">
        <f>VLOOKUP($C604,'Daily_BU설비데이터 '!$C$20:$T$1000,8,0)</f>
        <v>#N/A</v>
      </c>
      <c r="K604" s="58" t="e">
        <f>VLOOKUP($C604,'Daily_BU설비데이터 '!$C$20:$T$1000,9,0)</f>
        <v>#N/A</v>
      </c>
      <c r="L604" s="59" t="e">
        <f t="shared" si="63"/>
        <v>#N/A</v>
      </c>
      <c r="M604" s="68" t="e">
        <f>VLOOKUP($C604,'Daily_BU설비데이터 '!$C$20:$T$1000,11,0)</f>
        <v>#N/A</v>
      </c>
      <c r="N604" s="68" t="e">
        <f>VLOOKUP($C604,'Daily_BU설비데이터 '!$C$20:$T$1000,12,0)</f>
        <v>#N/A</v>
      </c>
      <c r="O604" s="68" t="e">
        <f>VLOOKUP($C604,'Daily_BU설비데이터 '!$C$20:$T$1000,13,0)</f>
        <v>#N/A</v>
      </c>
      <c r="P604" s="68" t="e">
        <f>VLOOKUP($C604,'Daily_BU설비데이터 '!$C$20:$T$1000,14,0)</f>
        <v>#N/A</v>
      </c>
      <c r="Q604" s="99" t="e">
        <f t="shared" si="64"/>
        <v>#N/A</v>
      </c>
      <c r="R604" s="100" t="e">
        <f t="shared" si="65"/>
        <v>#N/A</v>
      </c>
      <c r="S604" s="83" t="e">
        <f>VLOOKUP($C604,'Daily_BU설비데이터 '!$C$20:$T$1000,17,0)</f>
        <v>#N/A</v>
      </c>
      <c r="T604" s="83" t="e">
        <f>VLOOKUP($C604,'Daily_BU설비데이터 '!$C$20:$T$1000,18,0)</f>
        <v>#N/A</v>
      </c>
      <c r="U604" s="101" t="e">
        <f t="shared" si="66"/>
        <v>#N/A</v>
      </c>
      <c r="V604" s="45"/>
      <c r="W604" s="45"/>
      <c r="X604" s="45"/>
      <c r="Y604" s="45"/>
      <c r="Z604" s="45"/>
      <c r="AA604" s="45"/>
    </row>
    <row r="605" spans="2:27" x14ac:dyDescent="0.45">
      <c r="B605" s="45" t="s">
        <v>411</v>
      </c>
      <c r="C605" s="90"/>
      <c r="D605" s="56"/>
      <c r="E605" s="57"/>
      <c r="F605" s="58" t="e">
        <f>VLOOKUP($C605,'Daily_BU설비데이터 '!$C$20:$T$1000,4,0)</f>
        <v>#N/A</v>
      </c>
      <c r="G605" s="58" t="e">
        <f>VLOOKUP($C605,'Daily_BU설비데이터 '!$C$20:$T$1000,5,0)</f>
        <v>#N/A</v>
      </c>
      <c r="H605" s="58" t="e">
        <f>VLOOKUP($C605,'Daily_BU설비데이터 '!$C$20:$T$1000,6,0)</f>
        <v>#N/A</v>
      </c>
      <c r="I605" s="58" t="e">
        <f>VLOOKUP($C605,'Daily_BU설비데이터 '!$C$20:$T$1000,7,0)</f>
        <v>#N/A</v>
      </c>
      <c r="J605" s="58" t="e">
        <f>VLOOKUP($C605,'Daily_BU설비데이터 '!$C$20:$T$1000,8,0)</f>
        <v>#N/A</v>
      </c>
      <c r="K605" s="58" t="e">
        <f>VLOOKUP($C605,'Daily_BU설비데이터 '!$C$20:$T$1000,9,0)</f>
        <v>#N/A</v>
      </c>
      <c r="L605" s="59" t="e">
        <f t="shared" si="63"/>
        <v>#N/A</v>
      </c>
      <c r="M605" s="68" t="e">
        <f>VLOOKUP($C605,'Daily_BU설비데이터 '!$C$20:$T$1000,11,0)</f>
        <v>#N/A</v>
      </c>
      <c r="N605" s="68" t="e">
        <f>VLOOKUP($C605,'Daily_BU설비데이터 '!$C$20:$T$1000,12,0)</f>
        <v>#N/A</v>
      </c>
      <c r="O605" s="68" t="e">
        <f>VLOOKUP($C605,'Daily_BU설비데이터 '!$C$20:$T$1000,13,0)</f>
        <v>#N/A</v>
      </c>
      <c r="P605" s="68" t="e">
        <f>VLOOKUP($C605,'Daily_BU설비데이터 '!$C$20:$T$1000,14,0)</f>
        <v>#N/A</v>
      </c>
      <c r="Q605" s="99" t="e">
        <f t="shared" si="64"/>
        <v>#N/A</v>
      </c>
      <c r="R605" s="100" t="e">
        <f t="shared" si="65"/>
        <v>#N/A</v>
      </c>
      <c r="S605" s="83" t="e">
        <f>VLOOKUP($C605,'Daily_BU설비데이터 '!$C$20:$T$1000,17,0)</f>
        <v>#N/A</v>
      </c>
      <c r="T605" s="83" t="e">
        <f>VLOOKUP($C605,'Daily_BU설비데이터 '!$C$20:$T$1000,18,0)</f>
        <v>#N/A</v>
      </c>
      <c r="U605" s="101" t="e">
        <f t="shared" si="66"/>
        <v>#N/A</v>
      </c>
      <c r="V605" s="45"/>
      <c r="W605" s="45"/>
      <c r="X605" s="45"/>
      <c r="Y605" s="45"/>
      <c r="Z605" s="45"/>
      <c r="AA605" s="45"/>
    </row>
    <row r="606" spans="2:27" x14ac:dyDescent="0.45">
      <c r="B606" s="45" t="s">
        <v>412</v>
      </c>
      <c r="C606" s="90"/>
      <c r="D606" s="56"/>
      <c r="E606" s="80"/>
      <c r="F606" s="58" t="e">
        <f>VLOOKUP($C606,'Daily_BU설비데이터 '!$C$20:$T$1000,4,0)</f>
        <v>#N/A</v>
      </c>
      <c r="G606" s="58" t="e">
        <f>VLOOKUP($C606,'Daily_BU설비데이터 '!$C$20:$T$1000,5,0)</f>
        <v>#N/A</v>
      </c>
      <c r="H606" s="58" t="e">
        <f>VLOOKUP($C606,'Daily_BU설비데이터 '!$C$20:$T$1000,6,0)</f>
        <v>#N/A</v>
      </c>
      <c r="I606" s="58" t="e">
        <f>VLOOKUP($C606,'Daily_BU설비데이터 '!$C$20:$T$1000,7,0)</f>
        <v>#N/A</v>
      </c>
      <c r="J606" s="58" t="e">
        <f>VLOOKUP($C606,'Daily_BU설비데이터 '!$C$20:$T$1000,8,0)</f>
        <v>#N/A</v>
      </c>
      <c r="K606" s="58" t="e">
        <f>VLOOKUP($C606,'Daily_BU설비데이터 '!$C$20:$T$1000,9,0)</f>
        <v>#N/A</v>
      </c>
      <c r="L606" s="59" t="e">
        <f t="shared" si="63"/>
        <v>#N/A</v>
      </c>
      <c r="M606" s="68" t="e">
        <f>VLOOKUP($C606,'Daily_BU설비데이터 '!$C$20:$T$1000,11,0)</f>
        <v>#N/A</v>
      </c>
      <c r="N606" s="68" t="e">
        <f>VLOOKUP($C606,'Daily_BU설비데이터 '!$C$20:$T$1000,12,0)</f>
        <v>#N/A</v>
      </c>
      <c r="O606" s="68" t="e">
        <f>VLOOKUP($C606,'Daily_BU설비데이터 '!$C$20:$T$1000,13,0)</f>
        <v>#N/A</v>
      </c>
      <c r="P606" s="68" t="e">
        <f>VLOOKUP($C606,'Daily_BU설비데이터 '!$C$20:$T$1000,14,0)</f>
        <v>#N/A</v>
      </c>
      <c r="Q606" s="99" t="e">
        <f t="shared" si="64"/>
        <v>#N/A</v>
      </c>
      <c r="R606" s="100" t="e">
        <f t="shared" si="65"/>
        <v>#N/A</v>
      </c>
      <c r="S606" s="83" t="e">
        <f>VLOOKUP($C606,'Daily_BU설비데이터 '!$C$20:$T$1000,17,0)</f>
        <v>#N/A</v>
      </c>
      <c r="T606" s="83" t="e">
        <f>VLOOKUP($C606,'Daily_BU설비데이터 '!$C$20:$T$1000,18,0)</f>
        <v>#N/A</v>
      </c>
      <c r="U606" s="101" t="e">
        <f t="shared" si="66"/>
        <v>#N/A</v>
      </c>
      <c r="V606" s="45"/>
      <c r="W606" s="45"/>
      <c r="X606" s="45"/>
      <c r="Y606" s="45"/>
      <c r="Z606" s="45"/>
      <c r="AA606" s="45"/>
    </row>
    <row r="607" spans="2:27" x14ac:dyDescent="0.45">
      <c r="B607" s="45" t="s">
        <v>413</v>
      </c>
      <c r="C607" s="90"/>
      <c r="D607" s="56"/>
      <c r="E607" s="84"/>
      <c r="F607" s="58" t="e">
        <f>VLOOKUP($C607,'Daily_BU설비데이터 '!$C$20:$T$1000,4,0)</f>
        <v>#N/A</v>
      </c>
      <c r="G607" s="58" t="e">
        <f>VLOOKUP($C607,'Daily_BU설비데이터 '!$C$20:$T$1000,5,0)</f>
        <v>#N/A</v>
      </c>
      <c r="H607" s="58" t="e">
        <f>VLOOKUP($C607,'Daily_BU설비데이터 '!$C$20:$T$1000,6,0)</f>
        <v>#N/A</v>
      </c>
      <c r="I607" s="58" t="e">
        <f>VLOOKUP($C607,'Daily_BU설비데이터 '!$C$20:$T$1000,7,0)</f>
        <v>#N/A</v>
      </c>
      <c r="J607" s="58" t="e">
        <f>VLOOKUP($C607,'Daily_BU설비데이터 '!$C$20:$T$1000,8,0)</f>
        <v>#N/A</v>
      </c>
      <c r="K607" s="58" t="e">
        <f>VLOOKUP($C607,'Daily_BU설비데이터 '!$C$20:$T$1000,9,0)</f>
        <v>#N/A</v>
      </c>
      <c r="L607" s="59" t="e">
        <f t="shared" si="63"/>
        <v>#N/A</v>
      </c>
      <c r="M607" s="68" t="e">
        <f>VLOOKUP($C607,'Daily_BU설비데이터 '!$C$20:$T$1000,11,0)</f>
        <v>#N/A</v>
      </c>
      <c r="N607" s="68" t="e">
        <f>VLOOKUP($C607,'Daily_BU설비데이터 '!$C$20:$T$1000,12,0)</f>
        <v>#N/A</v>
      </c>
      <c r="O607" s="68" t="e">
        <f>VLOOKUP($C607,'Daily_BU설비데이터 '!$C$20:$T$1000,13,0)</f>
        <v>#N/A</v>
      </c>
      <c r="P607" s="68" t="e">
        <f>VLOOKUP($C607,'Daily_BU설비데이터 '!$C$20:$T$1000,14,0)</f>
        <v>#N/A</v>
      </c>
      <c r="Q607" s="99" t="e">
        <f t="shared" si="64"/>
        <v>#N/A</v>
      </c>
      <c r="R607" s="100" t="e">
        <f t="shared" si="65"/>
        <v>#N/A</v>
      </c>
      <c r="S607" s="83" t="e">
        <f>VLOOKUP($C607,'Daily_BU설비데이터 '!$C$20:$T$1000,17,0)</f>
        <v>#N/A</v>
      </c>
      <c r="T607" s="83" t="e">
        <f>VLOOKUP($C607,'Daily_BU설비데이터 '!$C$20:$T$1000,18,0)</f>
        <v>#N/A</v>
      </c>
      <c r="U607" s="101" t="e">
        <f t="shared" si="66"/>
        <v>#N/A</v>
      </c>
      <c r="V607" s="45"/>
      <c r="W607" s="45"/>
      <c r="X607" s="45"/>
      <c r="Y607" s="45"/>
      <c r="Z607" s="45"/>
      <c r="AA607" s="45"/>
    </row>
    <row r="608" spans="2:27" x14ac:dyDescent="0.45">
      <c r="B608" s="45" t="s">
        <v>414</v>
      </c>
      <c r="C608" s="90"/>
      <c r="D608" s="56"/>
      <c r="E608" s="57"/>
      <c r="F608" s="58" t="e">
        <f>VLOOKUP($C608,'Daily_BU설비데이터 '!$C$20:$T$1000,4,0)</f>
        <v>#N/A</v>
      </c>
      <c r="G608" s="58" t="e">
        <f>VLOOKUP($C608,'Daily_BU설비데이터 '!$C$20:$T$1000,5,0)</f>
        <v>#N/A</v>
      </c>
      <c r="H608" s="58" t="e">
        <f>VLOOKUP($C608,'Daily_BU설비데이터 '!$C$20:$T$1000,6,0)</f>
        <v>#N/A</v>
      </c>
      <c r="I608" s="58" t="e">
        <f>VLOOKUP($C608,'Daily_BU설비데이터 '!$C$20:$T$1000,7,0)</f>
        <v>#N/A</v>
      </c>
      <c r="J608" s="58" t="e">
        <f>VLOOKUP($C608,'Daily_BU설비데이터 '!$C$20:$T$1000,8,0)</f>
        <v>#N/A</v>
      </c>
      <c r="K608" s="58" t="e">
        <f>VLOOKUP($C608,'Daily_BU설비데이터 '!$C$20:$T$1000,9,0)</f>
        <v>#N/A</v>
      </c>
      <c r="L608" s="59" t="e">
        <f t="shared" si="63"/>
        <v>#N/A</v>
      </c>
      <c r="M608" s="68" t="e">
        <f>VLOOKUP($C608,'Daily_BU설비데이터 '!$C$20:$T$1000,11,0)</f>
        <v>#N/A</v>
      </c>
      <c r="N608" s="68" t="e">
        <f>VLOOKUP($C608,'Daily_BU설비데이터 '!$C$20:$T$1000,12,0)</f>
        <v>#N/A</v>
      </c>
      <c r="O608" s="68" t="e">
        <f>VLOOKUP($C608,'Daily_BU설비데이터 '!$C$20:$T$1000,13,0)</f>
        <v>#N/A</v>
      </c>
      <c r="P608" s="68" t="e">
        <f>VLOOKUP($C608,'Daily_BU설비데이터 '!$C$20:$T$1000,14,0)</f>
        <v>#N/A</v>
      </c>
      <c r="Q608" s="99" t="e">
        <f t="shared" si="64"/>
        <v>#N/A</v>
      </c>
      <c r="R608" s="100" t="e">
        <f t="shared" si="65"/>
        <v>#N/A</v>
      </c>
      <c r="S608" s="83" t="e">
        <f>VLOOKUP($C608,'Daily_BU설비데이터 '!$C$20:$T$1000,17,0)</f>
        <v>#N/A</v>
      </c>
      <c r="T608" s="83" t="e">
        <f>VLOOKUP($C608,'Daily_BU설비데이터 '!$C$20:$T$1000,18,0)</f>
        <v>#N/A</v>
      </c>
      <c r="U608" s="101" t="e">
        <f t="shared" si="66"/>
        <v>#N/A</v>
      </c>
      <c r="V608" s="45"/>
      <c r="W608" s="45"/>
      <c r="X608" s="45"/>
      <c r="Y608" s="45"/>
      <c r="Z608" s="45"/>
      <c r="AA608" s="45"/>
    </row>
    <row r="609" spans="2:27" x14ac:dyDescent="0.45">
      <c r="B609" s="45" t="s">
        <v>415</v>
      </c>
      <c r="C609" s="90"/>
      <c r="D609" s="56"/>
      <c r="E609" s="80"/>
      <c r="F609" s="58" t="e">
        <f>VLOOKUP($C609,'Daily_BU설비데이터 '!$C$20:$T$1000,4,0)</f>
        <v>#N/A</v>
      </c>
      <c r="G609" s="58" t="e">
        <f>VLOOKUP($C609,'Daily_BU설비데이터 '!$C$20:$T$1000,5,0)</f>
        <v>#N/A</v>
      </c>
      <c r="H609" s="58" t="e">
        <f>VLOOKUP($C609,'Daily_BU설비데이터 '!$C$20:$T$1000,6,0)</f>
        <v>#N/A</v>
      </c>
      <c r="I609" s="58" t="e">
        <f>VLOOKUP($C609,'Daily_BU설비데이터 '!$C$20:$T$1000,7,0)</f>
        <v>#N/A</v>
      </c>
      <c r="J609" s="58" t="e">
        <f>VLOOKUP($C609,'Daily_BU설비데이터 '!$C$20:$T$1000,8,0)</f>
        <v>#N/A</v>
      </c>
      <c r="K609" s="58" t="e">
        <f>VLOOKUP($C609,'Daily_BU설비데이터 '!$C$20:$T$1000,9,0)</f>
        <v>#N/A</v>
      </c>
      <c r="L609" s="59" t="e">
        <f t="shared" si="63"/>
        <v>#N/A</v>
      </c>
      <c r="M609" s="68" t="e">
        <f>VLOOKUP($C609,'Daily_BU설비데이터 '!$C$20:$T$1000,11,0)</f>
        <v>#N/A</v>
      </c>
      <c r="N609" s="68" t="e">
        <f>VLOOKUP($C609,'Daily_BU설비데이터 '!$C$20:$T$1000,12,0)</f>
        <v>#N/A</v>
      </c>
      <c r="O609" s="68" t="e">
        <f>VLOOKUP($C609,'Daily_BU설비데이터 '!$C$20:$T$1000,13,0)</f>
        <v>#N/A</v>
      </c>
      <c r="P609" s="68" t="e">
        <f>VLOOKUP($C609,'Daily_BU설비데이터 '!$C$20:$T$1000,14,0)</f>
        <v>#N/A</v>
      </c>
      <c r="Q609" s="99" t="e">
        <f t="shared" si="64"/>
        <v>#N/A</v>
      </c>
      <c r="R609" s="100" t="e">
        <f t="shared" si="65"/>
        <v>#N/A</v>
      </c>
      <c r="S609" s="83" t="e">
        <f>VLOOKUP($C609,'Daily_BU설비데이터 '!$C$20:$T$1000,17,0)</f>
        <v>#N/A</v>
      </c>
      <c r="T609" s="83" t="e">
        <f>VLOOKUP($C609,'Daily_BU설비데이터 '!$C$20:$T$1000,18,0)</f>
        <v>#N/A</v>
      </c>
      <c r="U609" s="101" t="e">
        <f t="shared" si="66"/>
        <v>#N/A</v>
      </c>
      <c r="V609" s="45"/>
      <c r="W609" s="45"/>
      <c r="X609" s="45"/>
      <c r="Y609" s="45"/>
      <c r="Z609" s="45"/>
      <c r="AA609" s="45"/>
    </row>
    <row r="610" spans="2:27" x14ac:dyDescent="0.45">
      <c r="B610" s="45" t="s">
        <v>416</v>
      </c>
      <c r="C610" s="90"/>
      <c r="D610" s="56"/>
      <c r="E610" s="84"/>
      <c r="F610" s="58" t="e">
        <f>VLOOKUP($C610,'Daily_BU설비데이터 '!$C$20:$T$1000,4,0)</f>
        <v>#N/A</v>
      </c>
      <c r="G610" s="58" t="e">
        <f>VLOOKUP($C610,'Daily_BU설비데이터 '!$C$20:$T$1000,5,0)</f>
        <v>#N/A</v>
      </c>
      <c r="H610" s="58" t="e">
        <f>VLOOKUP($C610,'Daily_BU설비데이터 '!$C$20:$T$1000,6,0)</f>
        <v>#N/A</v>
      </c>
      <c r="I610" s="58" t="e">
        <f>VLOOKUP($C610,'Daily_BU설비데이터 '!$C$20:$T$1000,7,0)</f>
        <v>#N/A</v>
      </c>
      <c r="J610" s="58" t="e">
        <f>VLOOKUP($C610,'Daily_BU설비데이터 '!$C$20:$T$1000,8,0)</f>
        <v>#N/A</v>
      </c>
      <c r="K610" s="58" t="e">
        <f>VLOOKUP($C610,'Daily_BU설비데이터 '!$C$20:$T$1000,9,0)</f>
        <v>#N/A</v>
      </c>
      <c r="L610" s="59" t="e">
        <f t="shared" si="63"/>
        <v>#N/A</v>
      </c>
      <c r="M610" s="68" t="e">
        <f>VLOOKUP($C610,'Daily_BU설비데이터 '!$C$20:$T$1000,11,0)</f>
        <v>#N/A</v>
      </c>
      <c r="N610" s="68" t="e">
        <f>VLOOKUP($C610,'Daily_BU설비데이터 '!$C$20:$T$1000,12,0)</f>
        <v>#N/A</v>
      </c>
      <c r="O610" s="68" t="e">
        <f>VLOOKUP($C610,'Daily_BU설비데이터 '!$C$20:$T$1000,13,0)</f>
        <v>#N/A</v>
      </c>
      <c r="P610" s="68" t="e">
        <f>VLOOKUP($C610,'Daily_BU설비데이터 '!$C$20:$T$1000,14,0)</f>
        <v>#N/A</v>
      </c>
      <c r="Q610" s="99" t="e">
        <f t="shared" si="64"/>
        <v>#N/A</v>
      </c>
      <c r="R610" s="100" t="e">
        <f t="shared" si="65"/>
        <v>#N/A</v>
      </c>
      <c r="S610" s="83" t="e">
        <f>VLOOKUP($C610,'Daily_BU설비데이터 '!$C$20:$T$1000,17,0)</f>
        <v>#N/A</v>
      </c>
      <c r="T610" s="83" t="e">
        <f>VLOOKUP($C610,'Daily_BU설비데이터 '!$C$20:$T$1000,18,0)</f>
        <v>#N/A</v>
      </c>
      <c r="U610" s="101" t="e">
        <f t="shared" si="66"/>
        <v>#N/A</v>
      </c>
      <c r="V610" s="45"/>
      <c r="W610" s="45"/>
      <c r="X610" s="45"/>
      <c r="Y610" s="45"/>
      <c r="Z610" s="45"/>
      <c r="AA610" s="45"/>
    </row>
    <row r="611" spans="2:27" x14ac:dyDescent="0.45">
      <c r="B611" s="45" t="s">
        <v>417</v>
      </c>
      <c r="C611" s="90"/>
      <c r="D611" s="56"/>
      <c r="E611" s="57"/>
      <c r="F611" s="58" t="e">
        <f>VLOOKUP($C611,'Daily_BU설비데이터 '!$C$20:$T$1000,4,0)</f>
        <v>#N/A</v>
      </c>
      <c r="G611" s="58" t="e">
        <f>VLOOKUP($C611,'Daily_BU설비데이터 '!$C$20:$T$1000,5,0)</f>
        <v>#N/A</v>
      </c>
      <c r="H611" s="58" t="e">
        <f>VLOOKUP($C611,'Daily_BU설비데이터 '!$C$20:$T$1000,6,0)</f>
        <v>#N/A</v>
      </c>
      <c r="I611" s="58" t="e">
        <f>VLOOKUP($C611,'Daily_BU설비데이터 '!$C$20:$T$1000,7,0)</f>
        <v>#N/A</v>
      </c>
      <c r="J611" s="58" t="e">
        <f>VLOOKUP($C611,'Daily_BU설비데이터 '!$C$20:$T$1000,8,0)</f>
        <v>#N/A</v>
      </c>
      <c r="K611" s="58" t="e">
        <f>VLOOKUP($C611,'Daily_BU설비데이터 '!$C$20:$T$1000,9,0)</f>
        <v>#N/A</v>
      </c>
      <c r="L611" s="59" t="e">
        <f t="shared" si="63"/>
        <v>#N/A</v>
      </c>
      <c r="M611" s="68" t="e">
        <f>VLOOKUP($C611,'Daily_BU설비데이터 '!$C$20:$T$1000,11,0)</f>
        <v>#N/A</v>
      </c>
      <c r="N611" s="68" t="e">
        <f>VLOOKUP($C611,'Daily_BU설비데이터 '!$C$20:$T$1000,12,0)</f>
        <v>#N/A</v>
      </c>
      <c r="O611" s="68" t="e">
        <f>VLOOKUP($C611,'Daily_BU설비데이터 '!$C$20:$T$1000,13,0)</f>
        <v>#N/A</v>
      </c>
      <c r="P611" s="68" t="e">
        <f>VLOOKUP($C611,'Daily_BU설비데이터 '!$C$20:$T$1000,14,0)</f>
        <v>#N/A</v>
      </c>
      <c r="Q611" s="99" t="e">
        <f t="shared" si="64"/>
        <v>#N/A</v>
      </c>
      <c r="R611" s="100" t="e">
        <f t="shared" si="65"/>
        <v>#N/A</v>
      </c>
      <c r="S611" s="83" t="e">
        <f>VLOOKUP($C611,'Daily_BU설비데이터 '!$C$20:$T$1000,17,0)</f>
        <v>#N/A</v>
      </c>
      <c r="T611" s="83" t="e">
        <f>VLOOKUP($C611,'Daily_BU설비데이터 '!$C$20:$T$1000,18,0)</f>
        <v>#N/A</v>
      </c>
      <c r="U611" s="101" t="e">
        <f t="shared" si="66"/>
        <v>#N/A</v>
      </c>
      <c r="V611" s="45"/>
      <c r="W611" s="45"/>
      <c r="X611" s="45"/>
      <c r="Y611" s="45"/>
      <c r="Z611" s="45"/>
      <c r="AA611" s="45"/>
    </row>
    <row r="612" spans="2:27" x14ac:dyDescent="0.45">
      <c r="B612" s="45" t="s">
        <v>418</v>
      </c>
      <c r="C612" s="90"/>
      <c r="D612" s="56"/>
      <c r="E612" s="80"/>
      <c r="F612" s="58" t="e">
        <f>VLOOKUP($C612,'Daily_BU설비데이터 '!$C$20:$T$1000,4,0)</f>
        <v>#N/A</v>
      </c>
      <c r="G612" s="58" t="e">
        <f>VLOOKUP($C612,'Daily_BU설비데이터 '!$C$20:$T$1000,5,0)</f>
        <v>#N/A</v>
      </c>
      <c r="H612" s="58" t="e">
        <f>VLOOKUP($C612,'Daily_BU설비데이터 '!$C$20:$T$1000,6,0)</f>
        <v>#N/A</v>
      </c>
      <c r="I612" s="58" t="e">
        <f>VLOOKUP($C612,'Daily_BU설비데이터 '!$C$20:$T$1000,7,0)</f>
        <v>#N/A</v>
      </c>
      <c r="J612" s="58" t="e">
        <f>VLOOKUP($C612,'Daily_BU설비데이터 '!$C$20:$T$1000,8,0)</f>
        <v>#N/A</v>
      </c>
      <c r="K612" s="58" t="e">
        <f>VLOOKUP($C612,'Daily_BU설비데이터 '!$C$20:$T$1000,9,0)</f>
        <v>#N/A</v>
      </c>
      <c r="L612" s="59" t="e">
        <f t="shared" si="63"/>
        <v>#N/A</v>
      </c>
      <c r="M612" s="68" t="e">
        <f>VLOOKUP($C612,'Daily_BU설비데이터 '!$C$20:$T$1000,11,0)</f>
        <v>#N/A</v>
      </c>
      <c r="N612" s="68" t="e">
        <f>VLOOKUP($C612,'Daily_BU설비데이터 '!$C$20:$T$1000,12,0)</f>
        <v>#N/A</v>
      </c>
      <c r="O612" s="68" t="e">
        <f>VLOOKUP($C612,'Daily_BU설비데이터 '!$C$20:$T$1000,13,0)</f>
        <v>#N/A</v>
      </c>
      <c r="P612" s="68" t="e">
        <f>VLOOKUP($C612,'Daily_BU설비데이터 '!$C$20:$T$1000,14,0)</f>
        <v>#N/A</v>
      </c>
      <c r="Q612" s="99" t="e">
        <f t="shared" si="64"/>
        <v>#N/A</v>
      </c>
      <c r="R612" s="100" t="e">
        <f t="shared" si="65"/>
        <v>#N/A</v>
      </c>
      <c r="S612" s="83" t="e">
        <f>VLOOKUP($C612,'Daily_BU설비데이터 '!$C$20:$T$1000,17,0)</f>
        <v>#N/A</v>
      </c>
      <c r="T612" s="83" t="e">
        <f>VLOOKUP($C612,'Daily_BU설비데이터 '!$C$20:$T$1000,18,0)</f>
        <v>#N/A</v>
      </c>
      <c r="U612" s="101" t="e">
        <f t="shared" si="66"/>
        <v>#N/A</v>
      </c>
      <c r="V612" s="45"/>
      <c r="W612" s="45"/>
      <c r="X612" s="45"/>
      <c r="Y612" s="45"/>
      <c r="Z612" s="45"/>
      <c r="AA612" s="45"/>
    </row>
    <row r="613" spans="2:27" x14ac:dyDescent="0.45">
      <c r="B613" s="45" t="s">
        <v>419</v>
      </c>
      <c r="C613" s="90"/>
      <c r="D613" s="56"/>
      <c r="E613" s="84"/>
      <c r="F613" s="58" t="e">
        <f>VLOOKUP($C613,'Daily_BU설비데이터 '!$C$20:$T$1000,4,0)</f>
        <v>#N/A</v>
      </c>
      <c r="G613" s="58" t="e">
        <f>VLOOKUP($C613,'Daily_BU설비데이터 '!$C$20:$T$1000,5,0)</f>
        <v>#N/A</v>
      </c>
      <c r="H613" s="58" t="e">
        <f>VLOOKUP($C613,'Daily_BU설비데이터 '!$C$20:$T$1000,6,0)</f>
        <v>#N/A</v>
      </c>
      <c r="I613" s="58" t="e">
        <f>VLOOKUP($C613,'Daily_BU설비데이터 '!$C$20:$T$1000,7,0)</f>
        <v>#N/A</v>
      </c>
      <c r="J613" s="58" t="e">
        <f>VLOOKUP($C613,'Daily_BU설비데이터 '!$C$20:$T$1000,8,0)</f>
        <v>#N/A</v>
      </c>
      <c r="K613" s="58" t="e">
        <f>VLOOKUP($C613,'Daily_BU설비데이터 '!$C$20:$T$1000,9,0)</f>
        <v>#N/A</v>
      </c>
      <c r="L613" s="59" t="e">
        <f t="shared" si="63"/>
        <v>#N/A</v>
      </c>
      <c r="M613" s="68" t="e">
        <f>VLOOKUP($C613,'Daily_BU설비데이터 '!$C$20:$T$1000,11,0)</f>
        <v>#N/A</v>
      </c>
      <c r="N613" s="68" t="e">
        <f>VLOOKUP($C613,'Daily_BU설비데이터 '!$C$20:$T$1000,12,0)</f>
        <v>#N/A</v>
      </c>
      <c r="O613" s="68" t="e">
        <f>VLOOKUP($C613,'Daily_BU설비데이터 '!$C$20:$T$1000,13,0)</f>
        <v>#N/A</v>
      </c>
      <c r="P613" s="68" t="e">
        <f>VLOOKUP($C613,'Daily_BU설비데이터 '!$C$20:$T$1000,14,0)</f>
        <v>#N/A</v>
      </c>
      <c r="Q613" s="99" t="e">
        <f t="shared" si="64"/>
        <v>#N/A</v>
      </c>
      <c r="R613" s="100" t="e">
        <f t="shared" si="65"/>
        <v>#N/A</v>
      </c>
      <c r="S613" s="83" t="e">
        <f>VLOOKUP($C613,'Daily_BU설비데이터 '!$C$20:$T$1000,17,0)</f>
        <v>#N/A</v>
      </c>
      <c r="T613" s="83" t="e">
        <f>VLOOKUP($C613,'Daily_BU설비데이터 '!$C$20:$T$1000,18,0)</f>
        <v>#N/A</v>
      </c>
      <c r="U613" s="101" t="e">
        <f t="shared" si="66"/>
        <v>#N/A</v>
      </c>
      <c r="V613" s="45"/>
      <c r="W613" s="45"/>
      <c r="X613" s="45"/>
      <c r="Y613" s="45"/>
      <c r="Z613" s="45"/>
      <c r="AA613" s="45"/>
    </row>
    <row r="614" spans="2:27" x14ac:dyDescent="0.45">
      <c r="B614" s="45" t="s">
        <v>420</v>
      </c>
      <c r="C614" s="90"/>
      <c r="D614" s="56"/>
      <c r="E614" s="57"/>
      <c r="F614" s="58" t="e">
        <f>VLOOKUP($C614,'Daily_BU설비데이터 '!$C$20:$T$1000,4,0)</f>
        <v>#N/A</v>
      </c>
      <c r="G614" s="58" t="e">
        <f>VLOOKUP($C614,'Daily_BU설비데이터 '!$C$20:$T$1000,5,0)</f>
        <v>#N/A</v>
      </c>
      <c r="H614" s="58" t="e">
        <f>VLOOKUP($C614,'Daily_BU설비데이터 '!$C$20:$T$1000,6,0)</f>
        <v>#N/A</v>
      </c>
      <c r="I614" s="58" t="e">
        <f>VLOOKUP($C614,'Daily_BU설비데이터 '!$C$20:$T$1000,7,0)</f>
        <v>#N/A</v>
      </c>
      <c r="J614" s="58" t="e">
        <f>VLOOKUP($C614,'Daily_BU설비데이터 '!$C$20:$T$1000,8,0)</f>
        <v>#N/A</v>
      </c>
      <c r="K614" s="58" t="e">
        <f>VLOOKUP($C614,'Daily_BU설비데이터 '!$C$20:$T$1000,9,0)</f>
        <v>#N/A</v>
      </c>
      <c r="L614" s="59" t="e">
        <f t="shared" si="63"/>
        <v>#N/A</v>
      </c>
      <c r="M614" s="68" t="e">
        <f>VLOOKUP($C614,'Daily_BU설비데이터 '!$C$20:$T$1000,11,0)</f>
        <v>#N/A</v>
      </c>
      <c r="N614" s="68" t="e">
        <f>VLOOKUP($C614,'Daily_BU설비데이터 '!$C$20:$T$1000,12,0)</f>
        <v>#N/A</v>
      </c>
      <c r="O614" s="68" t="e">
        <f>VLOOKUP($C614,'Daily_BU설비데이터 '!$C$20:$T$1000,13,0)</f>
        <v>#N/A</v>
      </c>
      <c r="P614" s="68" t="e">
        <f>VLOOKUP($C614,'Daily_BU설비데이터 '!$C$20:$T$1000,14,0)</f>
        <v>#N/A</v>
      </c>
      <c r="Q614" s="99" t="e">
        <f t="shared" si="64"/>
        <v>#N/A</v>
      </c>
      <c r="R614" s="100" t="e">
        <f t="shared" si="65"/>
        <v>#N/A</v>
      </c>
      <c r="S614" s="83" t="e">
        <f>VLOOKUP($C614,'Daily_BU설비데이터 '!$C$20:$T$1000,17,0)</f>
        <v>#N/A</v>
      </c>
      <c r="T614" s="83" t="e">
        <f>VLOOKUP($C614,'Daily_BU설비데이터 '!$C$20:$T$1000,18,0)</f>
        <v>#N/A</v>
      </c>
      <c r="U614" s="101" t="e">
        <f t="shared" si="66"/>
        <v>#N/A</v>
      </c>
      <c r="V614" s="45"/>
      <c r="W614" s="45"/>
      <c r="X614" s="45"/>
      <c r="Y614" s="45"/>
      <c r="Z614" s="45"/>
      <c r="AA614" s="45"/>
    </row>
    <row r="615" spans="2:27" x14ac:dyDescent="0.45">
      <c r="B615" s="45" t="s">
        <v>421</v>
      </c>
      <c r="C615" s="90"/>
      <c r="D615" s="56"/>
      <c r="E615" s="80"/>
      <c r="F615" s="58" t="e">
        <f>VLOOKUP($C615,'Daily_BU설비데이터 '!$C$20:$T$1000,4,0)</f>
        <v>#N/A</v>
      </c>
      <c r="G615" s="58" t="e">
        <f>VLOOKUP($C615,'Daily_BU설비데이터 '!$C$20:$T$1000,5,0)</f>
        <v>#N/A</v>
      </c>
      <c r="H615" s="58" t="e">
        <f>VLOOKUP($C615,'Daily_BU설비데이터 '!$C$20:$T$1000,6,0)</f>
        <v>#N/A</v>
      </c>
      <c r="I615" s="58" t="e">
        <f>VLOOKUP($C615,'Daily_BU설비데이터 '!$C$20:$T$1000,7,0)</f>
        <v>#N/A</v>
      </c>
      <c r="J615" s="58" t="e">
        <f>VLOOKUP($C615,'Daily_BU설비데이터 '!$C$20:$T$1000,8,0)</f>
        <v>#N/A</v>
      </c>
      <c r="K615" s="58" t="e">
        <f>VLOOKUP($C615,'Daily_BU설비데이터 '!$C$20:$T$1000,9,0)</f>
        <v>#N/A</v>
      </c>
      <c r="L615" s="59" t="e">
        <f t="shared" si="63"/>
        <v>#N/A</v>
      </c>
      <c r="M615" s="68" t="e">
        <f>VLOOKUP($C615,'Daily_BU설비데이터 '!$C$20:$T$1000,11,0)</f>
        <v>#N/A</v>
      </c>
      <c r="N615" s="68" t="e">
        <f>VLOOKUP($C615,'Daily_BU설비데이터 '!$C$20:$T$1000,12,0)</f>
        <v>#N/A</v>
      </c>
      <c r="O615" s="68" t="e">
        <f>VLOOKUP($C615,'Daily_BU설비데이터 '!$C$20:$T$1000,13,0)</f>
        <v>#N/A</v>
      </c>
      <c r="P615" s="68" t="e">
        <f>VLOOKUP($C615,'Daily_BU설비데이터 '!$C$20:$T$1000,14,0)</f>
        <v>#N/A</v>
      </c>
      <c r="Q615" s="99" t="e">
        <f t="shared" si="64"/>
        <v>#N/A</v>
      </c>
      <c r="R615" s="100" t="e">
        <f t="shared" si="65"/>
        <v>#N/A</v>
      </c>
      <c r="S615" s="83" t="e">
        <f>VLOOKUP($C615,'Daily_BU설비데이터 '!$C$20:$T$1000,17,0)</f>
        <v>#N/A</v>
      </c>
      <c r="T615" s="83" t="e">
        <f>VLOOKUP($C615,'Daily_BU설비데이터 '!$C$20:$T$1000,18,0)</f>
        <v>#N/A</v>
      </c>
      <c r="U615" s="101" t="e">
        <f t="shared" si="66"/>
        <v>#N/A</v>
      </c>
      <c r="V615" s="45"/>
      <c r="W615" s="45"/>
      <c r="X615" s="45"/>
      <c r="Y615" s="45"/>
      <c r="Z615" s="45"/>
      <c r="AA615" s="45"/>
    </row>
    <row r="616" spans="2:27" x14ac:dyDescent="0.45">
      <c r="B616" s="45" t="s">
        <v>422</v>
      </c>
      <c r="C616" s="90"/>
      <c r="D616" s="56"/>
      <c r="E616" s="84"/>
      <c r="F616" s="58" t="e">
        <f>VLOOKUP($C616,'Daily_BU설비데이터 '!$C$20:$T$1000,4,0)</f>
        <v>#N/A</v>
      </c>
      <c r="G616" s="58" t="e">
        <f>VLOOKUP($C616,'Daily_BU설비데이터 '!$C$20:$T$1000,5,0)</f>
        <v>#N/A</v>
      </c>
      <c r="H616" s="58" t="e">
        <f>VLOOKUP($C616,'Daily_BU설비데이터 '!$C$20:$T$1000,6,0)</f>
        <v>#N/A</v>
      </c>
      <c r="I616" s="58" t="e">
        <f>VLOOKUP($C616,'Daily_BU설비데이터 '!$C$20:$T$1000,7,0)</f>
        <v>#N/A</v>
      </c>
      <c r="J616" s="58" t="e">
        <f>VLOOKUP($C616,'Daily_BU설비데이터 '!$C$20:$T$1000,8,0)</f>
        <v>#N/A</v>
      </c>
      <c r="K616" s="58" t="e">
        <f>VLOOKUP($C616,'Daily_BU설비데이터 '!$C$20:$T$1000,9,0)</f>
        <v>#N/A</v>
      </c>
      <c r="L616" s="59" t="e">
        <f t="shared" si="63"/>
        <v>#N/A</v>
      </c>
      <c r="M616" s="68" t="e">
        <f>VLOOKUP($C616,'Daily_BU설비데이터 '!$C$20:$T$1000,11,0)</f>
        <v>#N/A</v>
      </c>
      <c r="N616" s="68" t="e">
        <f>VLOOKUP($C616,'Daily_BU설비데이터 '!$C$20:$T$1000,12,0)</f>
        <v>#N/A</v>
      </c>
      <c r="O616" s="68" t="e">
        <f>VLOOKUP($C616,'Daily_BU설비데이터 '!$C$20:$T$1000,13,0)</f>
        <v>#N/A</v>
      </c>
      <c r="P616" s="68" t="e">
        <f>VLOOKUP($C616,'Daily_BU설비데이터 '!$C$20:$T$1000,14,0)</f>
        <v>#N/A</v>
      </c>
      <c r="Q616" s="99" t="e">
        <f t="shared" si="64"/>
        <v>#N/A</v>
      </c>
      <c r="R616" s="100" t="e">
        <f t="shared" si="65"/>
        <v>#N/A</v>
      </c>
      <c r="S616" s="83" t="e">
        <f>VLOOKUP($C616,'Daily_BU설비데이터 '!$C$20:$T$1000,17,0)</f>
        <v>#N/A</v>
      </c>
      <c r="T616" s="83" t="e">
        <f>VLOOKUP($C616,'Daily_BU설비데이터 '!$C$20:$T$1000,18,0)</f>
        <v>#N/A</v>
      </c>
      <c r="U616" s="101" t="e">
        <f t="shared" si="66"/>
        <v>#N/A</v>
      </c>
      <c r="V616" s="45"/>
      <c r="W616" s="45"/>
      <c r="X616" s="45"/>
      <c r="Y616" s="45"/>
      <c r="Z616" s="45"/>
      <c r="AA616" s="45"/>
    </row>
    <row r="617" spans="2:27" x14ac:dyDescent="0.45">
      <c r="B617" s="45" t="s">
        <v>423</v>
      </c>
      <c r="C617" s="90"/>
      <c r="D617" s="56"/>
      <c r="E617" s="57"/>
      <c r="F617" s="58" t="e">
        <f>VLOOKUP($C617,'Daily_BU설비데이터 '!$C$20:$T$1000,4,0)</f>
        <v>#N/A</v>
      </c>
      <c r="G617" s="58" t="e">
        <f>VLOOKUP($C617,'Daily_BU설비데이터 '!$C$20:$T$1000,5,0)</f>
        <v>#N/A</v>
      </c>
      <c r="H617" s="58" t="e">
        <f>VLOOKUP($C617,'Daily_BU설비데이터 '!$C$20:$T$1000,6,0)</f>
        <v>#N/A</v>
      </c>
      <c r="I617" s="58" t="e">
        <f>VLOOKUP($C617,'Daily_BU설비데이터 '!$C$20:$T$1000,7,0)</f>
        <v>#N/A</v>
      </c>
      <c r="J617" s="58" t="e">
        <f>VLOOKUP($C617,'Daily_BU설비데이터 '!$C$20:$T$1000,8,0)</f>
        <v>#N/A</v>
      </c>
      <c r="K617" s="58" t="e">
        <f>VLOOKUP($C617,'Daily_BU설비데이터 '!$C$20:$T$1000,9,0)</f>
        <v>#N/A</v>
      </c>
      <c r="L617" s="59" t="e">
        <f t="shared" si="63"/>
        <v>#N/A</v>
      </c>
      <c r="M617" s="68" t="e">
        <f>VLOOKUP($C617,'Daily_BU설비데이터 '!$C$20:$T$1000,11,0)</f>
        <v>#N/A</v>
      </c>
      <c r="N617" s="68" t="e">
        <f>VLOOKUP($C617,'Daily_BU설비데이터 '!$C$20:$T$1000,12,0)</f>
        <v>#N/A</v>
      </c>
      <c r="O617" s="68" t="e">
        <f>VLOOKUP($C617,'Daily_BU설비데이터 '!$C$20:$T$1000,13,0)</f>
        <v>#N/A</v>
      </c>
      <c r="P617" s="68" t="e">
        <f>VLOOKUP($C617,'Daily_BU설비데이터 '!$C$20:$T$1000,14,0)</f>
        <v>#N/A</v>
      </c>
      <c r="Q617" s="99" t="e">
        <f t="shared" si="64"/>
        <v>#N/A</v>
      </c>
      <c r="R617" s="100" t="e">
        <f t="shared" si="65"/>
        <v>#N/A</v>
      </c>
      <c r="S617" s="83" t="e">
        <f>VLOOKUP($C617,'Daily_BU설비데이터 '!$C$20:$T$1000,17,0)</f>
        <v>#N/A</v>
      </c>
      <c r="T617" s="83" t="e">
        <f>VLOOKUP($C617,'Daily_BU설비데이터 '!$C$20:$T$1000,18,0)</f>
        <v>#N/A</v>
      </c>
      <c r="U617" s="101" t="e">
        <f t="shared" si="66"/>
        <v>#N/A</v>
      </c>
      <c r="V617" s="45"/>
      <c r="W617" s="45"/>
      <c r="X617" s="45"/>
      <c r="Y617" s="45"/>
      <c r="Z617" s="45"/>
      <c r="AA617" s="45"/>
    </row>
    <row r="618" spans="2:27" x14ac:dyDescent="0.45">
      <c r="B618" s="45" t="s">
        <v>424</v>
      </c>
      <c r="C618" s="90"/>
      <c r="D618" s="56"/>
      <c r="E618" s="80"/>
      <c r="F618" s="58" t="e">
        <f>VLOOKUP($C618,'Daily_BU설비데이터 '!$C$20:$T$1000,4,0)</f>
        <v>#N/A</v>
      </c>
      <c r="G618" s="58" t="e">
        <f>VLOOKUP($C618,'Daily_BU설비데이터 '!$C$20:$T$1000,5,0)</f>
        <v>#N/A</v>
      </c>
      <c r="H618" s="58" t="e">
        <f>VLOOKUP($C618,'Daily_BU설비데이터 '!$C$20:$T$1000,6,0)</f>
        <v>#N/A</v>
      </c>
      <c r="I618" s="58" t="e">
        <f>VLOOKUP($C618,'Daily_BU설비데이터 '!$C$20:$T$1000,7,0)</f>
        <v>#N/A</v>
      </c>
      <c r="J618" s="58" t="e">
        <f>VLOOKUP($C618,'Daily_BU설비데이터 '!$C$20:$T$1000,8,0)</f>
        <v>#N/A</v>
      </c>
      <c r="K618" s="58" t="e">
        <f>VLOOKUP($C618,'Daily_BU설비데이터 '!$C$20:$T$1000,9,0)</f>
        <v>#N/A</v>
      </c>
      <c r="L618" s="59" t="e">
        <f t="shared" si="63"/>
        <v>#N/A</v>
      </c>
      <c r="M618" s="68" t="e">
        <f>VLOOKUP($C618,'Daily_BU설비데이터 '!$C$20:$T$1000,11,0)</f>
        <v>#N/A</v>
      </c>
      <c r="N618" s="68" t="e">
        <f>VLOOKUP($C618,'Daily_BU설비데이터 '!$C$20:$T$1000,12,0)</f>
        <v>#N/A</v>
      </c>
      <c r="O618" s="68" t="e">
        <f>VLOOKUP($C618,'Daily_BU설비데이터 '!$C$20:$T$1000,13,0)</f>
        <v>#N/A</v>
      </c>
      <c r="P618" s="68" t="e">
        <f>VLOOKUP($C618,'Daily_BU설비데이터 '!$C$20:$T$1000,14,0)</f>
        <v>#N/A</v>
      </c>
      <c r="Q618" s="99" t="e">
        <f t="shared" si="64"/>
        <v>#N/A</v>
      </c>
      <c r="R618" s="100" t="e">
        <f t="shared" si="65"/>
        <v>#N/A</v>
      </c>
      <c r="S618" s="83" t="e">
        <f>VLOOKUP($C618,'Daily_BU설비데이터 '!$C$20:$T$1000,17,0)</f>
        <v>#N/A</v>
      </c>
      <c r="T618" s="83" t="e">
        <f>VLOOKUP($C618,'Daily_BU설비데이터 '!$C$20:$T$1000,18,0)</f>
        <v>#N/A</v>
      </c>
      <c r="U618" s="101" t="e">
        <f t="shared" si="66"/>
        <v>#N/A</v>
      </c>
      <c r="V618" s="45"/>
      <c r="W618" s="45"/>
      <c r="X618" s="45"/>
      <c r="Y618" s="45"/>
      <c r="Z618" s="45"/>
      <c r="AA618" s="45"/>
    </row>
    <row r="619" spans="2:27" x14ac:dyDescent="0.45">
      <c r="B619" s="45" t="s">
        <v>425</v>
      </c>
      <c r="C619" s="90"/>
      <c r="D619" s="56"/>
      <c r="E619" s="84"/>
      <c r="F619" s="58" t="e">
        <f>VLOOKUP($C619,'Daily_BU설비데이터 '!$C$20:$T$1000,4,0)</f>
        <v>#N/A</v>
      </c>
      <c r="G619" s="58" t="e">
        <f>VLOOKUP($C619,'Daily_BU설비데이터 '!$C$20:$T$1000,5,0)</f>
        <v>#N/A</v>
      </c>
      <c r="H619" s="58" t="e">
        <f>VLOOKUP($C619,'Daily_BU설비데이터 '!$C$20:$T$1000,6,0)</f>
        <v>#N/A</v>
      </c>
      <c r="I619" s="58" t="e">
        <f>VLOOKUP($C619,'Daily_BU설비데이터 '!$C$20:$T$1000,7,0)</f>
        <v>#N/A</v>
      </c>
      <c r="J619" s="58" t="e">
        <f>VLOOKUP($C619,'Daily_BU설비데이터 '!$C$20:$T$1000,8,0)</f>
        <v>#N/A</v>
      </c>
      <c r="K619" s="58" t="e">
        <f>VLOOKUP($C619,'Daily_BU설비데이터 '!$C$20:$T$1000,9,0)</f>
        <v>#N/A</v>
      </c>
      <c r="L619" s="59" t="e">
        <f t="shared" si="63"/>
        <v>#N/A</v>
      </c>
      <c r="M619" s="68" t="e">
        <f>VLOOKUP($C619,'Daily_BU설비데이터 '!$C$20:$T$1000,11,0)</f>
        <v>#N/A</v>
      </c>
      <c r="N619" s="68" t="e">
        <f>VLOOKUP($C619,'Daily_BU설비데이터 '!$C$20:$T$1000,12,0)</f>
        <v>#N/A</v>
      </c>
      <c r="O619" s="68" t="e">
        <f>VLOOKUP($C619,'Daily_BU설비데이터 '!$C$20:$T$1000,13,0)</f>
        <v>#N/A</v>
      </c>
      <c r="P619" s="68" t="e">
        <f>VLOOKUP($C619,'Daily_BU설비데이터 '!$C$20:$T$1000,14,0)</f>
        <v>#N/A</v>
      </c>
      <c r="Q619" s="99" t="e">
        <f t="shared" si="64"/>
        <v>#N/A</v>
      </c>
      <c r="R619" s="100" t="e">
        <f t="shared" si="65"/>
        <v>#N/A</v>
      </c>
      <c r="S619" s="83" t="e">
        <f>VLOOKUP($C619,'Daily_BU설비데이터 '!$C$20:$T$1000,17,0)</f>
        <v>#N/A</v>
      </c>
      <c r="T619" s="83" t="e">
        <f>VLOOKUP($C619,'Daily_BU설비데이터 '!$C$20:$T$1000,18,0)</f>
        <v>#N/A</v>
      </c>
      <c r="U619" s="101" t="e">
        <f t="shared" si="66"/>
        <v>#N/A</v>
      </c>
      <c r="V619" s="45"/>
      <c r="W619" s="45"/>
      <c r="X619" s="45"/>
      <c r="Y619" s="45"/>
      <c r="Z619" s="45"/>
      <c r="AA619" s="45"/>
    </row>
    <row r="620" spans="2:27" x14ac:dyDescent="0.45">
      <c r="B620" s="45" t="s">
        <v>426</v>
      </c>
      <c r="C620" s="90"/>
      <c r="D620" s="56"/>
      <c r="E620" s="57"/>
      <c r="F620" s="58" t="e">
        <f>VLOOKUP($C620,'Daily_BU설비데이터 '!$C$20:$T$1000,4,0)</f>
        <v>#N/A</v>
      </c>
      <c r="G620" s="58" t="e">
        <f>VLOOKUP($C620,'Daily_BU설비데이터 '!$C$20:$T$1000,5,0)</f>
        <v>#N/A</v>
      </c>
      <c r="H620" s="58" t="e">
        <f>VLOOKUP($C620,'Daily_BU설비데이터 '!$C$20:$T$1000,6,0)</f>
        <v>#N/A</v>
      </c>
      <c r="I620" s="58" t="e">
        <f>VLOOKUP($C620,'Daily_BU설비데이터 '!$C$20:$T$1000,7,0)</f>
        <v>#N/A</v>
      </c>
      <c r="J620" s="58" t="e">
        <f>VLOOKUP($C620,'Daily_BU설비데이터 '!$C$20:$T$1000,8,0)</f>
        <v>#N/A</v>
      </c>
      <c r="K620" s="58" t="e">
        <f>VLOOKUP($C620,'Daily_BU설비데이터 '!$C$20:$T$1000,9,0)</f>
        <v>#N/A</v>
      </c>
      <c r="L620" s="59" t="e">
        <f t="shared" si="63"/>
        <v>#N/A</v>
      </c>
      <c r="M620" s="68" t="e">
        <f>VLOOKUP($C620,'Daily_BU설비데이터 '!$C$20:$T$1000,11,0)</f>
        <v>#N/A</v>
      </c>
      <c r="N620" s="68" t="e">
        <f>VLOOKUP($C620,'Daily_BU설비데이터 '!$C$20:$T$1000,12,0)</f>
        <v>#N/A</v>
      </c>
      <c r="O620" s="68" t="e">
        <f>VLOOKUP($C620,'Daily_BU설비데이터 '!$C$20:$T$1000,13,0)</f>
        <v>#N/A</v>
      </c>
      <c r="P620" s="68" t="e">
        <f>VLOOKUP($C620,'Daily_BU설비데이터 '!$C$20:$T$1000,14,0)</f>
        <v>#N/A</v>
      </c>
      <c r="Q620" s="99" t="e">
        <f t="shared" si="64"/>
        <v>#N/A</v>
      </c>
      <c r="R620" s="100" t="e">
        <f t="shared" si="65"/>
        <v>#N/A</v>
      </c>
      <c r="S620" s="83" t="e">
        <f>VLOOKUP($C620,'Daily_BU설비데이터 '!$C$20:$T$1000,17,0)</f>
        <v>#N/A</v>
      </c>
      <c r="T620" s="83" t="e">
        <f>VLOOKUP($C620,'Daily_BU설비데이터 '!$C$20:$T$1000,18,0)</f>
        <v>#N/A</v>
      </c>
      <c r="U620" s="101" t="e">
        <f t="shared" si="66"/>
        <v>#N/A</v>
      </c>
      <c r="V620" s="45"/>
      <c r="W620" s="45"/>
      <c r="X620" s="45"/>
      <c r="Y620" s="45"/>
      <c r="Z620" s="45"/>
      <c r="AA620" s="45"/>
    </row>
    <row r="621" spans="2:27" x14ac:dyDescent="0.45">
      <c r="B621" s="45" t="s">
        <v>427</v>
      </c>
      <c r="C621" s="90"/>
      <c r="D621" s="56"/>
      <c r="E621" s="80"/>
      <c r="F621" s="58" t="e">
        <f>VLOOKUP($C621,'Daily_BU설비데이터 '!$C$20:$T$1000,4,0)</f>
        <v>#N/A</v>
      </c>
      <c r="G621" s="58" t="e">
        <f>VLOOKUP($C621,'Daily_BU설비데이터 '!$C$20:$T$1000,5,0)</f>
        <v>#N/A</v>
      </c>
      <c r="H621" s="58" t="e">
        <f>VLOOKUP($C621,'Daily_BU설비데이터 '!$C$20:$T$1000,6,0)</f>
        <v>#N/A</v>
      </c>
      <c r="I621" s="58" t="e">
        <f>VLOOKUP($C621,'Daily_BU설비데이터 '!$C$20:$T$1000,7,0)</f>
        <v>#N/A</v>
      </c>
      <c r="J621" s="58" t="e">
        <f>VLOOKUP($C621,'Daily_BU설비데이터 '!$C$20:$T$1000,8,0)</f>
        <v>#N/A</v>
      </c>
      <c r="K621" s="58" t="e">
        <f>VLOOKUP($C621,'Daily_BU설비데이터 '!$C$20:$T$1000,9,0)</f>
        <v>#N/A</v>
      </c>
      <c r="L621" s="59" t="e">
        <f t="shared" si="63"/>
        <v>#N/A</v>
      </c>
      <c r="M621" s="68" t="e">
        <f>VLOOKUP($C621,'Daily_BU설비데이터 '!$C$20:$T$1000,11,0)</f>
        <v>#N/A</v>
      </c>
      <c r="N621" s="68" t="e">
        <f>VLOOKUP($C621,'Daily_BU설비데이터 '!$C$20:$T$1000,12,0)</f>
        <v>#N/A</v>
      </c>
      <c r="O621" s="68" t="e">
        <f>VLOOKUP($C621,'Daily_BU설비데이터 '!$C$20:$T$1000,13,0)</f>
        <v>#N/A</v>
      </c>
      <c r="P621" s="68" t="e">
        <f>VLOOKUP($C621,'Daily_BU설비데이터 '!$C$20:$T$1000,14,0)</f>
        <v>#N/A</v>
      </c>
      <c r="Q621" s="99" t="e">
        <f t="shared" si="64"/>
        <v>#N/A</v>
      </c>
      <c r="R621" s="100" t="e">
        <f t="shared" si="65"/>
        <v>#N/A</v>
      </c>
      <c r="S621" s="83" t="e">
        <f>VLOOKUP($C621,'Daily_BU설비데이터 '!$C$20:$T$1000,17,0)</f>
        <v>#N/A</v>
      </c>
      <c r="T621" s="83" t="e">
        <f>VLOOKUP($C621,'Daily_BU설비데이터 '!$C$20:$T$1000,18,0)</f>
        <v>#N/A</v>
      </c>
      <c r="U621" s="101" t="e">
        <f t="shared" si="66"/>
        <v>#N/A</v>
      </c>
      <c r="V621" s="45"/>
      <c r="W621" s="45"/>
      <c r="X621" s="45"/>
      <c r="Y621" s="45"/>
      <c r="Z621" s="45"/>
      <c r="AA621" s="45"/>
    </row>
    <row r="622" spans="2:27" x14ac:dyDescent="0.45">
      <c r="B622" s="45" t="s">
        <v>428</v>
      </c>
      <c r="C622" s="90"/>
      <c r="D622" s="56"/>
      <c r="E622" s="84"/>
      <c r="F622" s="58" t="e">
        <f>VLOOKUP($C622,'Daily_BU설비데이터 '!$C$20:$T$1000,4,0)</f>
        <v>#N/A</v>
      </c>
      <c r="G622" s="58" t="e">
        <f>VLOOKUP($C622,'Daily_BU설비데이터 '!$C$20:$T$1000,5,0)</f>
        <v>#N/A</v>
      </c>
      <c r="H622" s="58" t="e">
        <f>VLOOKUP($C622,'Daily_BU설비데이터 '!$C$20:$T$1000,6,0)</f>
        <v>#N/A</v>
      </c>
      <c r="I622" s="58" t="e">
        <f>VLOOKUP($C622,'Daily_BU설비데이터 '!$C$20:$T$1000,7,0)</f>
        <v>#N/A</v>
      </c>
      <c r="J622" s="58" t="e">
        <f>VLOOKUP($C622,'Daily_BU설비데이터 '!$C$20:$T$1000,8,0)</f>
        <v>#N/A</v>
      </c>
      <c r="K622" s="58" t="e">
        <f>VLOOKUP($C622,'Daily_BU설비데이터 '!$C$20:$T$1000,9,0)</f>
        <v>#N/A</v>
      </c>
      <c r="L622" s="59" t="e">
        <f t="shared" si="63"/>
        <v>#N/A</v>
      </c>
      <c r="M622" s="68" t="e">
        <f>VLOOKUP($C622,'Daily_BU설비데이터 '!$C$20:$T$1000,11,0)</f>
        <v>#N/A</v>
      </c>
      <c r="N622" s="68" t="e">
        <f>VLOOKUP($C622,'Daily_BU설비데이터 '!$C$20:$T$1000,12,0)</f>
        <v>#N/A</v>
      </c>
      <c r="O622" s="68" t="e">
        <f>VLOOKUP($C622,'Daily_BU설비데이터 '!$C$20:$T$1000,13,0)</f>
        <v>#N/A</v>
      </c>
      <c r="P622" s="68" t="e">
        <f>VLOOKUP($C622,'Daily_BU설비데이터 '!$C$20:$T$1000,14,0)</f>
        <v>#N/A</v>
      </c>
      <c r="Q622" s="99" t="e">
        <f t="shared" si="64"/>
        <v>#N/A</v>
      </c>
      <c r="R622" s="100" t="e">
        <f t="shared" si="65"/>
        <v>#N/A</v>
      </c>
      <c r="S622" s="83" t="e">
        <f>VLOOKUP($C622,'Daily_BU설비데이터 '!$C$20:$T$1000,17,0)</f>
        <v>#N/A</v>
      </c>
      <c r="T622" s="83" t="e">
        <f>VLOOKUP($C622,'Daily_BU설비데이터 '!$C$20:$T$1000,18,0)</f>
        <v>#N/A</v>
      </c>
      <c r="U622" s="101" t="e">
        <f t="shared" si="66"/>
        <v>#N/A</v>
      </c>
      <c r="V622" s="45"/>
      <c r="W622" s="45"/>
      <c r="X622" s="45"/>
      <c r="Y622" s="45"/>
      <c r="Z622" s="45"/>
      <c r="AA622" s="45"/>
    </row>
    <row r="623" spans="2:27" x14ac:dyDescent="0.45">
      <c r="B623" s="45" t="s">
        <v>429</v>
      </c>
      <c r="C623" s="90"/>
      <c r="D623" s="56"/>
      <c r="E623" s="57"/>
      <c r="F623" s="58" t="e">
        <f>VLOOKUP($C623,'Daily_BU설비데이터 '!$C$20:$T$1000,4,0)</f>
        <v>#N/A</v>
      </c>
      <c r="G623" s="58" t="e">
        <f>VLOOKUP($C623,'Daily_BU설비데이터 '!$C$20:$T$1000,5,0)</f>
        <v>#N/A</v>
      </c>
      <c r="H623" s="58" t="e">
        <f>VLOOKUP($C623,'Daily_BU설비데이터 '!$C$20:$T$1000,6,0)</f>
        <v>#N/A</v>
      </c>
      <c r="I623" s="58" t="e">
        <f>VLOOKUP($C623,'Daily_BU설비데이터 '!$C$20:$T$1000,7,0)</f>
        <v>#N/A</v>
      </c>
      <c r="J623" s="58" t="e">
        <f>VLOOKUP($C623,'Daily_BU설비데이터 '!$C$20:$T$1000,8,0)</f>
        <v>#N/A</v>
      </c>
      <c r="K623" s="58" t="e">
        <f>VLOOKUP($C623,'Daily_BU설비데이터 '!$C$20:$T$1000,9,0)</f>
        <v>#N/A</v>
      </c>
      <c r="L623" s="59" t="e">
        <f t="shared" si="63"/>
        <v>#N/A</v>
      </c>
      <c r="M623" s="68" t="e">
        <f>VLOOKUP($C623,'Daily_BU설비데이터 '!$C$20:$T$1000,11,0)</f>
        <v>#N/A</v>
      </c>
      <c r="N623" s="68" t="e">
        <f>VLOOKUP($C623,'Daily_BU설비데이터 '!$C$20:$T$1000,12,0)</f>
        <v>#N/A</v>
      </c>
      <c r="O623" s="68" t="e">
        <f>VLOOKUP($C623,'Daily_BU설비데이터 '!$C$20:$T$1000,13,0)</f>
        <v>#N/A</v>
      </c>
      <c r="P623" s="68" t="e">
        <f>VLOOKUP($C623,'Daily_BU설비데이터 '!$C$20:$T$1000,14,0)</f>
        <v>#N/A</v>
      </c>
      <c r="Q623" s="99" t="e">
        <f t="shared" si="64"/>
        <v>#N/A</v>
      </c>
      <c r="R623" s="100" t="e">
        <f t="shared" si="65"/>
        <v>#N/A</v>
      </c>
      <c r="S623" s="83" t="e">
        <f>VLOOKUP($C623,'Daily_BU설비데이터 '!$C$20:$T$1000,17,0)</f>
        <v>#N/A</v>
      </c>
      <c r="T623" s="83" t="e">
        <f>VLOOKUP($C623,'Daily_BU설비데이터 '!$C$20:$T$1000,18,0)</f>
        <v>#N/A</v>
      </c>
      <c r="U623" s="101" t="e">
        <f t="shared" si="66"/>
        <v>#N/A</v>
      </c>
      <c r="V623" s="45"/>
      <c r="W623" s="45"/>
      <c r="X623" s="45"/>
      <c r="Y623" s="45"/>
      <c r="Z623" s="45"/>
      <c r="AA623" s="45"/>
    </row>
    <row r="624" spans="2:27" x14ac:dyDescent="0.45">
      <c r="B624" s="45" t="s">
        <v>430</v>
      </c>
      <c r="C624" s="90"/>
      <c r="D624" s="56"/>
      <c r="E624" s="80"/>
      <c r="F624" s="58" t="e">
        <f>VLOOKUP($C624,'Daily_BU설비데이터 '!$C$20:$T$1000,4,0)</f>
        <v>#N/A</v>
      </c>
      <c r="G624" s="58" t="e">
        <f>VLOOKUP($C624,'Daily_BU설비데이터 '!$C$20:$T$1000,5,0)</f>
        <v>#N/A</v>
      </c>
      <c r="H624" s="58" t="e">
        <f>VLOOKUP($C624,'Daily_BU설비데이터 '!$C$20:$T$1000,6,0)</f>
        <v>#N/A</v>
      </c>
      <c r="I624" s="58" t="e">
        <f>VLOOKUP($C624,'Daily_BU설비데이터 '!$C$20:$T$1000,7,0)</f>
        <v>#N/A</v>
      </c>
      <c r="J624" s="58" t="e">
        <f>VLOOKUP($C624,'Daily_BU설비데이터 '!$C$20:$T$1000,8,0)</f>
        <v>#N/A</v>
      </c>
      <c r="K624" s="58" t="e">
        <f>VLOOKUP($C624,'Daily_BU설비데이터 '!$C$20:$T$1000,9,0)</f>
        <v>#N/A</v>
      </c>
      <c r="L624" s="59" t="e">
        <f t="shared" si="63"/>
        <v>#N/A</v>
      </c>
      <c r="M624" s="68" t="e">
        <f>VLOOKUP($C624,'Daily_BU설비데이터 '!$C$20:$T$1000,11,0)</f>
        <v>#N/A</v>
      </c>
      <c r="N624" s="68" t="e">
        <f>VLOOKUP($C624,'Daily_BU설비데이터 '!$C$20:$T$1000,12,0)</f>
        <v>#N/A</v>
      </c>
      <c r="O624" s="68" t="e">
        <f>VLOOKUP($C624,'Daily_BU설비데이터 '!$C$20:$T$1000,13,0)</f>
        <v>#N/A</v>
      </c>
      <c r="P624" s="68" t="e">
        <f>VLOOKUP($C624,'Daily_BU설비데이터 '!$C$20:$T$1000,14,0)</f>
        <v>#N/A</v>
      </c>
      <c r="Q624" s="99" t="e">
        <f t="shared" si="64"/>
        <v>#N/A</v>
      </c>
      <c r="R624" s="100" t="e">
        <f t="shared" si="65"/>
        <v>#N/A</v>
      </c>
      <c r="S624" s="83" t="e">
        <f>VLOOKUP($C624,'Daily_BU설비데이터 '!$C$20:$T$1000,17,0)</f>
        <v>#N/A</v>
      </c>
      <c r="T624" s="83" t="e">
        <f>VLOOKUP($C624,'Daily_BU설비데이터 '!$C$20:$T$1000,18,0)</f>
        <v>#N/A</v>
      </c>
      <c r="U624" s="101" t="e">
        <f t="shared" si="66"/>
        <v>#N/A</v>
      </c>
      <c r="V624" s="45"/>
      <c r="W624" s="45"/>
      <c r="X624" s="45"/>
      <c r="Y624" s="45"/>
      <c r="Z624" s="45"/>
      <c r="AA624" s="45"/>
    </row>
    <row r="625" spans="2:27" x14ac:dyDescent="0.45">
      <c r="B625" s="45" t="s">
        <v>431</v>
      </c>
      <c r="C625" s="90"/>
      <c r="D625" s="56"/>
      <c r="E625" s="84"/>
      <c r="F625" s="58" t="e">
        <f>VLOOKUP($C625,'Daily_BU설비데이터 '!$C$20:$T$1000,4,0)</f>
        <v>#N/A</v>
      </c>
      <c r="G625" s="58" t="e">
        <f>VLOOKUP($C625,'Daily_BU설비데이터 '!$C$20:$T$1000,5,0)</f>
        <v>#N/A</v>
      </c>
      <c r="H625" s="58" t="e">
        <f>VLOOKUP($C625,'Daily_BU설비데이터 '!$C$20:$T$1000,6,0)</f>
        <v>#N/A</v>
      </c>
      <c r="I625" s="58" t="e">
        <f>VLOOKUP($C625,'Daily_BU설비데이터 '!$C$20:$T$1000,7,0)</f>
        <v>#N/A</v>
      </c>
      <c r="J625" s="58" t="e">
        <f>VLOOKUP($C625,'Daily_BU설비데이터 '!$C$20:$T$1000,8,0)</f>
        <v>#N/A</v>
      </c>
      <c r="K625" s="58" t="e">
        <f>VLOOKUP($C625,'Daily_BU설비데이터 '!$C$20:$T$1000,9,0)</f>
        <v>#N/A</v>
      </c>
      <c r="L625" s="59" t="e">
        <f t="shared" si="63"/>
        <v>#N/A</v>
      </c>
      <c r="M625" s="68" t="e">
        <f>VLOOKUP($C625,'Daily_BU설비데이터 '!$C$20:$T$1000,11,0)</f>
        <v>#N/A</v>
      </c>
      <c r="N625" s="68" t="e">
        <f>VLOOKUP($C625,'Daily_BU설비데이터 '!$C$20:$T$1000,12,0)</f>
        <v>#N/A</v>
      </c>
      <c r="O625" s="68" t="e">
        <f>VLOOKUP($C625,'Daily_BU설비데이터 '!$C$20:$T$1000,13,0)</f>
        <v>#N/A</v>
      </c>
      <c r="P625" s="68" t="e">
        <f>VLOOKUP($C625,'Daily_BU설비데이터 '!$C$20:$T$1000,14,0)</f>
        <v>#N/A</v>
      </c>
      <c r="Q625" s="99" t="e">
        <f t="shared" si="64"/>
        <v>#N/A</v>
      </c>
      <c r="R625" s="100" t="e">
        <f t="shared" si="65"/>
        <v>#N/A</v>
      </c>
      <c r="S625" s="83" t="e">
        <f>VLOOKUP($C625,'Daily_BU설비데이터 '!$C$20:$T$1000,17,0)</f>
        <v>#N/A</v>
      </c>
      <c r="T625" s="83" t="e">
        <f>VLOOKUP($C625,'Daily_BU설비데이터 '!$C$20:$T$1000,18,0)</f>
        <v>#N/A</v>
      </c>
      <c r="U625" s="101" t="e">
        <f t="shared" si="66"/>
        <v>#N/A</v>
      </c>
      <c r="V625" s="45"/>
      <c r="W625" s="45"/>
      <c r="X625" s="45"/>
      <c r="Y625" s="45"/>
      <c r="Z625" s="45"/>
      <c r="AA625" s="45"/>
    </row>
    <row r="626" spans="2:27" x14ac:dyDescent="0.45">
      <c r="B626" s="45" t="s">
        <v>432</v>
      </c>
      <c r="C626" s="90"/>
      <c r="D626" s="56"/>
      <c r="E626" s="57"/>
      <c r="F626" s="58" t="e">
        <f>VLOOKUP($C626,'Daily_BU설비데이터 '!$C$20:$T$1000,4,0)</f>
        <v>#N/A</v>
      </c>
      <c r="G626" s="58" t="e">
        <f>VLOOKUP($C626,'Daily_BU설비데이터 '!$C$20:$T$1000,5,0)</f>
        <v>#N/A</v>
      </c>
      <c r="H626" s="58" t="e">
        <f>VLOOKUP($C626,'Daily_BU설비데이터 '!$C$20:$T$1000,6,0)</f>
        <v>#N/A</v>
      </c>
      <c r="I626" s="58" t="e">
        <f>VLOOKUP($C626,'Daily_BU설비데이터 '!$C$20:$T$1000,7,0)</f>
        <v>#N/A</v>
      </c>
      <c r="J626" s="58" t="e">
        <f>VLOOKUP($C626,'Daily_BU설비데이터 '!$C$20:$T$1000,8,0)</f>
        <v>#N/A</v>
      </c>
      <c r="K626" s="58" t="e">
        <f>VLOOKUP($C626,'Daily_BU설비데이터 '!$C$20:$T$1000,9,0)</f>
        <v>#N/A</v>
      </c>
      <c r="L626" s="59" t="e">
        <f t="shared" si="63"/>
        <v>#N/A</v>
      </c>
      <c r="M626" s="68" t="e">
        <f>VLOOKUP($C626,'Daily_BU설비데이터 '!$C$20:$T$1000,11,0)</f>
        <v>#N/A</v>
      </c>
      <c r="N626" s="68" t="e">
        <f>VLOOKUP($C626,'Daily_BU설비데이터 '!$C$20:$T$1000,12,0)</f>
        <v>#N/A</v>
      </c>
      <c r="O626" s="68" t="e">
        <f>VLOOKUP($C626,'Daily_BU설비데이터 '!$C$20:$T$1000,13,0)</f>
        <v>#N/A</v>
      </c>
      <c r="P626" s="68" t="e">
        <f>VLOOKUP($C626,'Daily_BU설비데이터 '!$C$20:$T$1000,14,0)</f>
        <v>#N/A</v>
      </c>
      <c r="Q626" s="99" t="e">
        <f t="shared" si="64"/>
        <v>#N/A</v>
      </c>
      <c r="R626" s="100" t="e">
        <f t="shared" si="65"/>
        <v>#N/A</v>
      </c>
      <c r="S626" s="83" t="e">
        <f>VLOOKUP($C626,'Daily_BU설비데이터 '!$C$20:$T$1000,17,0)</f>
        <v>#N/A</v>
      </c>
      <c r="T626" s="83" t="e">
        <f>VLOOKUP($C626,'Daily_BU설비데이터 '!$C$20:$T$1000,18,0)</f>
        <v>#N/A</v>
      </c>
      <c r="U626" s="101" t="e">
        <f t="shared" si="66"/>
        <v>#N/A</v>
      </c>
      <c r="V626" s="45"/>
      <c r="W626" s="45"/>
      <c r="X626" s="45"/>
      <c r="Y626" s="45"/>
      <c r="Z626" s="45"/>
      <c r="AA626" s="45"/>
    </row>
    <row r="627" spans="2:27" x14ac:dyDescent="0.45">
      <c r="B627" s="45" t="s">
        <v>433</v>
      </c>
      <c r="C627" s="90"/>
      <c r="D627" s="56"/>
      <c r="E627" s="80"/>
      <c r="F627" s="58" t="e">
        <f>VLOOKUP($C627,'Daily_BU설비데이터 '!$C$20:$T$1000,4,0)</f>
        <v>#N/A</v>
      </c>
      <c r="G627" s="58" t="e">
        <f>VLOOKUP($C627,'Daily_BU설비데이터 '!$C$20:$T$1000,5,0)</f>
        <v>#N/A</v>
      </c>
      <c r="H627" s="58" t="e">
        <f>VLOOKUP($C627,'Daily_BU설비데이터 '!$C$20:$T$1000,6,0)</f>
        <v>#N/A</v>
      </c>
      <c r="I627" s="58" t="e">
        <f>VLOOKUP($C627,'Daily_BU설비데이터 '!$C$20:$T$1000,7,0)</f>
        <v>#N/A</v>
      </c>
      <c r="J627" s="58" t="e">
        <f>VLOOKUP($C627,'Daily_BU설비데이터 '!$C$20:$T$1000,8,0)</f>
        <v>#N/A</v>
      </c>
      <c r="K627" s="58" t="e">
        <f>VLOOKUP($C627,'Daily_BU설비데이터 '!$C$20:$T$1000,9,0)</f>
        <v>#N/A</v>
      </c>
      <c r="L627" s="59" t="e">
        <f t="shared" si="63"/>
        <v>#N/A</v>
      </c>
      <c r="M627" s="68" t="e">
        <f>VLOOKUP($C627,'Daily_BU설비데이터 '!$C$20:$T$1000,11,0)</f>
        <v>#N/A</v>
      </c>
      <c r="N627" s="68" t="e">
        <f>VLOOKUP($C627,'Daily_BU설비데이터 '!$C$20:$T$1000,12,0)</f>
        <v>#N/A</v>
      </c>
      <c r="O627" s="68" t="e">
        <f>VLOOKUP($C627,'Daily_BU설비데이터 '!$C$20:$T$1000,13,0)</f>
        <v>#N/A</v>
      </c>
      <c r="P627" s="68" t="e">
        <f>VLOOKUP($C627,'Daily_BU설비데이터 '!$C$20:$T$1000,14,0)</f>
        <v>#N/A</v>
      </c>
      <c r="Q627" s="99" t="e">
        <f t="shared" si="64"/>
        <v>#N/A</v>
      </c>
      <c r="R627" s="100" t="e">
        <f t="shared" si="65"/>
        <v>#N/A</v>
      </c>
      <c r="S627" s="83" t="e">
        <f>VLOOKUP($C627,'Daily_BU설비데이터 '!$C$20:$T$1000,17,0)</f>
        <v>#N/A</v>
      </c>
      <c r="T627" s="83" t="e">
        <f>VLOOKUP($C627,'Daily_BU설비데이터 '!$C$20:$T$1000,18,0)</f>
        <v>#N/A</v>
      </c>
      <c r="U627" s="101" t="e">
        <f t="shared" si="66"/>
        <v>#N/A</v>
      </c>
      <c r="V627" s="45"/>
      <c r="W627" s="45"/>
      <c r="X627" s="45"/>
      <c r="Y627" s="45"/>
      <c r="Z627" s="45"/>
      <c r="AA627" s="45"/>
    </row>
    <row r="628" spans="2:27" x14ac:dyDescent="0.45">
      <c r="B628" s="45" t="s">
        <v>434</v>
      </c>
      <c r="C628" s="90"/>
      <c r="D628" s="56"/>
      <c r="E628" s="84"/>
      <c r="F628" s="58" t="e">
        <f>VLOOKUP($C628,'Daily_BU설비데이터 '!$C$20:$T$1000,4,0)</f>
        <v>#N/A</v>
      </c>
      <c r="G628" s="58" t="e">
        <f>VLOOKUP($C628,'Daily_BU설비데이터 '!$C$20:$T$1000,5,0)</f>
        <v>#N/A</v>
      </c>
      <c r="H628" s="58" t="e">
        <f>VLOOKUP($C628,'Daily_BU설비데이터 '!$C$20:$T$1000,6,0)</f>
        <v>#N/A</v>
      </c>
      <c r="I628" s="58" t="e">
        <f>VLOOKUP($C628,'Daily_BU설비데이터 '!$C$20:$T$1000,7,0)</f>
        <v>#N/A</v>
      </c>
      <c r="J628" s="58" t="e">
        <f>VLOOKUP($C628,'Daily_BU설비데이터 '!$C$20:$T$1000,8,0)</f>
        <v>#N/A</v>
      </c>
      <c r="K628" s="58" t="e">
        <f>VLOOKUP($C628,'Daily_BU설비데이터 '!$C$20:$T$1000,9,0)</f>
        <v>#N/A</v>
      </c>
      <c r="L628" s="59" t="e">
        <f t="shared" si="63"/>
        <v>#N/A</v>
      </c>
      <c r="M628" s="68" t="e">
        <f>VLOOKUP($C628,'Daily_BU설비데이터 '!$C$20:$T$1000,11,0)</f>
        <v>#N/A</v>
      </c>
      <c r="N628" s="68" t="e">
        <f>VLOOKUP($C628,'Daily_BU설비데이터 '!$C$20:$T$1000,12,0)</f>
        <v>#N/A</v>
      </c>
      <c r="O628" s="68" t="e">
        <f>VLOOKUP($C628,'Daily_BU설비데이터 '!$C$20:$T$1000,13,0)</f>
        <v>#N/A</v>
      </c>
      <c r="P628" s="68" t="e">
        <f>VLOOKUP($C628,'Daily_BU설비데이터 '!$C$20:$T$1000,14,0)</f>
        <v>#N/A</v>
      </c>
      <c r="Q628" s="99" t="e">
        <f t="shared" si="64"/>
        <v>#N/A</v>
      </c>
      <c r="R628" s="100" t="e">
        <f t="shared" si="65"/>
        <v>#N/A</v>
      </c>
      <c r="S628" s="83" t="e">
        <f>VLOOKUP($C628,'Daily_BU설비데이터 '!$C$20:$T$1000,17,0)</f>
        <v>#N/A</v>
      </c>
      <c r="T628" s="83" t="e">
        <f>VLOOKUP($C628,'Daily_BU설비데이터 '!$C$20:$T$1000,18,0)</f>
        <v>#N/A</v>
      </c>
      <c r="U628" s="101" t="e">
        <f t="shared" si="66"/>
        <v>#N/A</v>
      </c>
      <c r="V628" s="45"/>
      <c r="W628" s="45"/>
      <c r="X628" s="45"/>
      <c r="Y628" s="45"/>
      <c r="Z628" s="45"/>
      <c r="AA628" s="45"/>
    </row>
    <row r="629" spans="2:27" x14ac:dyDescent="0.45">
      <c r="B629" s="45" t="s">
        <v>435</v>
      </c>
      <c r="C629" s="90"/>
      <c r="D629" s="56"/>
      <c r="E629" s="57"/>
      <c r="F629" s="58" t="e">
        <f>VLOOKUP($C629,'Daily_BU설비데이터 '!$C$20:$T$1000,4,0)</f>
        <v>#N/A</v>
      </c>
      <c r="G629" s="58" t="e">
        <f>VLOOKUP($C629,'Daily_BU설비데이터 '!$C$20:$T$1000,5,0)</f>
        <v>#N/A</v>
      </c>
      <c r="H629" s="58" t="e">
        <f>VLOOKUP($C629,'Daily_BU설비데이터 '!$C$20:$T$1000,6,0)</f>
        <v>#N/A</v>
      </c>
      <c r="I629" s="58" t="e">
        <f>VLOOKUP($C629,'Daily_BU설비데이터 '!$C$20:$T$1000,7,0)</f>
        <v>#N/A</v>
      </c>
      <c r="J629" s="58" t="e">
        <f>VLOOKUP($C629,'Daily_BU설비데이터 '!$C$20:$T$1000,8,0)</f>
        <v>#N/A</v>
      </c>
      <c r="K629" s="58" t="e">
        <f>VLOOKUP($C629,'Daily_BU설비데이터 '!$C$20:$T$1000,9,0)</f>
        <v>#N/A</v>
      </c>
      <c r="L629" s="59" t="e">
        <f t="shared" si="63"/>
        <v>#N/A</v>
      </c>
      <c r="M629" s="68" t="e">
        <f>VLOOKUP($C629,'Daily_BU설비데이터 '!$C$20:$T$1000,11,0)</f>
        <v>#N/A</v>
      </c>
      <c r="N629" s="68" t="e">
        <f>VLOOKUP($C629,'Daily_BU설비데이터 '!$C$20:$T$1000,12,0)</f>
        <v>#N/A</v>
      </c>
      <c r="O629" s="68" t="e">
        <f>VLOOKUP($C629,'Daily_BU설비데이터 '!$C$20:$T$1000,13,0)</f>
        <v>#N/A</v>
      </c>
      <c r="P629" s="68" t="e">
        <f>VLOOKUP($C629,'Daily_BU설비데이터 '!$C$20:$T$1000,14,0)</f>
        <v>#N/A</v>
      </c>
      <c r="Q629" s="99" t="e">
        <f t="shared" si="64"/>
        <v>#N/A</v>
      </c>
      <c r="R629" s="100" t="e">
        <f t="shared" si="65"/>
        <v>#N/A</v>
      </c>
      <c r="S629" s="83" t="e">
        <f>VLOOKUP($C629,'Daily_BU설비데이터 '!$C$20:$T$1000,17,0)</f>
        <v>#N/A</v>
      </c>
      <c r="T629" s="83" t="e">
        <f>VLOOKUP($C629,'Daily_BU설비데이터 '!$C$20:$T$1000,18,0)</f>
        <v>#N/A</v>
      </c>
      <c r="U629" s="101" t="e">
        <f t="shared" si="66"/>
        <v>#N/A</v>
      </c>
      <c r="V629" s="45"/>
      <c r="W629" s="45"/>
      <c r="X629" s="45"/>
      <c r="Y629" s="45"/>
      <c r="Z629" s="45"/>
      <c r="AA629" s="45"/>
    </row>
    <row r="630" spans="2:27" x14ac:dyDescent="0.45">
      <c r="B630" s="45" t="s">
        <v>436</v>
      </c>
      <c r="C630" s="90"/>
      <c r="D630" s="56"/>
      <c r="E630" s="80"/>
      <c r="F630" s="58" t="e">
        <f>VLOOKUP($C630,'Daily_BU설비데이터 '!$C$20:$T$1000,4,0)</f>
        <v>#N/A</v>
      </c>
      <c r="G630" s="58" t="e">
        <f>VLOOKUP($C630,'Daily_BU설비데이터 '!$C$20:$T$1000,5,0)</f>
        <v>#N/A</v>
      </c>
      <c r="H630" s="58" t="e">
        <f>VLOOKUP($C630,'Daily_BU설비데이터 '!$C$20:$T$1000,6,0)</f>
        <v>#N/A</v>
      </c>
      <c r="I630" s="58" t="e">
        <f>VLOOKUP($C630,'Daily_BU설비데이터 '!$C$20:$T$1000,7,0)</f>
        <v>#N/A</v>
      </c>
      <c r="J630" s="58" t="e">
        <f>VLOOKUP($C630,'Daily_BU설비데이터 '!$C$20:$T$1000,8,0)</f>
        <v>#N/A</v>
      </c>
      <c r="K630" s="58" t="e">
        <f>VLOOKUP($C630,'Daily_BU설비데이터 '!$C$20:$T$1000,9,0)</f>
        <v>#N/A</v>
      </c>
      <c r="L630" s="59" t="e">
        <f t="shared" si="63"/>
        <v>#N/A</v>
      </c>
      <c r="M630" s="68" t="e">
        <f>VLOOKUP($C630,'Daily_BU설비데이터 '!$C$20:$T$1000,11,0)</f>
        <v>#N/A</v>
      </c>
      <c r="N630" s="68" t="e">
        <f>VLOOKUP($C630,'Daily_BU설비데이터 '!$C$20:$T$1000,12,0)</f>
        <v>#N/A</v>
      </c>
      <c r="O630" s="68" t="e">
        <f>VLOOKUP($C630,'Daily_BU설비데이터 '!$C$20:$T$1000,13,0)</f>
        <v>#N/A</v>
      </c>
      <c r="P630" s="68" t="e">
        <f>VLOOKUP($C630,'Daily_BU설비데이터 '!$C$20:$T$1000,14,0)</f>
        <v>#N/A</v>
      </c>
      <c r="Q630" s="99" t="e">
        <f t="shared" si="64"/>
        <v>#N/A</v>
      </c>
      <c r="R630" s="100" t="e">
        <f t="shared" si="65"/>
        <v>#N/A</v>
      </c>
      <c r="S630" s="83" t="e">
        <f>VLOOKUP($C630,'Daily_BU설비데이터 '!$C$20:$T$1000,17,0)</f>
        <v>#N/A</v>
      </c>
      <c r="T630" s="83" t="e">
        <f>VLOOKUP($C630,'Daily_BU설비데이터 '!$C$20:$T$1000,18,0)</f>
        <v>#N/A</v>
      </c>
      <c r="U630" s="101" t="e">
        <f t="shared" si="66"/>
        <v>#N/A</v>
      </c>
      <c r="V630" s="45"/>
      <c r="W630" s="45"/>
      <c r="X630" s="45"/>
      <c r="Y630" s="45"/>
      <c r="Z630" s="45"/>
      <c r="AA630" s="45"/>
    </row>
    <row r="631" spans="2:27" x14ac:dyDescent="0.45">
      <c r="B631" s="45" t="s">
        <v>437</v>
      </c>
      <c r="C631" s="90"/>
      <c r="D631" s="56"/>
      <c r="E631" s="84"/>
      <c r="F631" s="58" t="e">
        <f>VLOOKUP($C631,'Daily_BU설비데이터 '!$C$20:$T$1000,4,0)</f>
        <v>#N/A</v>
      </c>
      <c r="G631" s="58" t="e">
        <f>VLOOKUP($C631,'Daily_BU설비데이터 '!$C$20:$T$1000,5,0)</f>
        <v>#N/A</v>
      </c>
      <c r="H631" s="58" t="e">
        <f>VLOOKUP($C631,'Daily_BU설비데이터 '!$C$20:$T$1000,6,0)</f>
        <v>#N/A</v>
      </c>
      <c r="I631" s="58" t="e">
        <f>VLOOKUP($C631,'Daily_BU설비데이터 '!$C$20:$T$1000,7,0)</f>
        <v>#N/A</v>
      </c>
      <c r="J631" s="58" t="e">
        <f>VLOOKUP($C631,'Daily_BU설비데이터 '!$C$20:$T$1000,8,0)</f>
        <v>#N/A</v>
      </c>
      <c r="K631" s="58" t="e">
        <f>VLOOKUP($C631,'Daily_BU설비데이터 '!$C$20:$T$1000,9,0)</f>
        <v>#N/A</v>
      </c>
      <c r="L631" s="59" t="e">
        <f t="shared" si="63"/>
        <v>#N/A</v>
      </c>
      <c r="M631" s="68" t="e">
        <f>VLOOKUP($C631,'Daily_BU설비데이터 '!$C$20:$T$1000,11,0)</f>
        <v>#N/A</v>
      </c>
      <c r="N631" s="68" t="e">
        <f>VLOOKUP($C631,'Daily_BU설비데이터 '!$C$20:$T$1000,12,0)</f>
        <v>#N/A</v>
      </c>
      <c r="O631" s="68" t="e">
        <f>VLOOKUP($C631,'Daily_BU설비데이터 '!$C$20:$T$1000,13,0)</f>
        <v>#N/A</v>
      </c>
      <c r="P631" s="68" t="e">
        <f>VLOOKUP($C631,'Daily_BU설비데이터 '!$C$20:$T$1000,14,0)</f>
        <v>#N/A</v>
      </c>
      <c r="Q631" s="99" t="e">
        <f t="shared" si="64"/>
        <v>#N/A</v>
      </c>
      <c r="R631" s="100" t="e">
        <f t="shared" si="65"/>
        <v>#N/A</v>
      </c>
      <c r="S631" s="83" t="e">
        <f>VLOOKUP($C631,'Daily_BU설비데이터 '!$C$20:$T$1000,17,0)</f>
        <v>#N/A</v>
      </c>
      <c r="T631" s="83" t="e">
        <f>VLOOKUP($C631,'Daily_BU설비데이터 '!$C$20:$T$1000,18,0)</f>
        <v>#N/A</v>
      </c>
      <c r="U631" s="101" t="e">
        <f t="shared" si="66"/>
        <v>#N/A</v>
      </c>
      <c r="V631" s="45"/>
      <c r="W631" s="45"/>
      <c r="X631" s="45"/>
      <c r="Y631" s="45"/>
      <c r="Z631" s="45"/>
      <c r="AA631" s="45"/>
    </row>
    <row r="632" spans="2:27" x14ac:dyDescent="0.45">
      <c r="B632" s="45" t="s">
        <v>438</v>
      </c>
      <c r="C632" s="90"/>
      <c r="D632" s="56"/>
      <c r="E632" s="57"/>
      <c r="F632" s="58" t="e">
        <f>VLOOKUP($C632,'Daily_BU설비데이터 '!$C$20:$T$1000,4,0)</f>
        <v>#N/A</v>
      </c>
      <c r="G632" s="58" t="e">
        <f>VLOOKUP($C632,'Daily_BU설비데이터 '!$C$20:$T$1000,5,0)</f>
        <v>#N/A</v>
      </c>
      <c r="H632" s="58" t="e">
        <f>VLOOKUP($C632,'Daily_BU설비데이터 '!$C$20:$T$1000,6,0)</f>
        <v>#N/A</v>
      </c>
      <c r="I632" s="58" t="e">
        <f>VLOOKUP($C632,'Daily_BU설비데이터 '!$C$20:$T$1000,7,0)</f>
        <v>#N/A</v>
      </c>
      <c r="J632" s="58" t="e">
        <f>VLOOKUP($C632,'Daily_BU설비데이터 '!$C$20:$T$1000,8,0)</f>
        <v>#N/A</v>
      </c>
      <c r="K632" s="58" t="e">
        <f>VLOOKUP($C632,'Daily_BU설비데이터 '!$C$20:$T$1000,9,0)</f>
        <v>#N/A</v>
      </c>
      <c r="L632" s="59" t="e">
        <f t="shared" si="63"/>
        <v>#N/A</v>
      </c>
      <c r="M632" s="68" t="e">
        <f>VLOOKUP($C632,'Daily_BU설비데이터 '!$C$20:$T$1000,11,0)</f>
        <v>#N/A</v>
      </c>
      <c r="N632" s="68" t="e">
        <f>VLOOKUP($C632,'Daily_BU설비데이터 '!$C$20:$T$1000,12,0)</f>
        <v>#N/A</v>
      </c>
      <c r="O632" s="68" t="e">
        <f>VLOOKUP($C632,'Daily_BU설비데이터 '!$C$20:$T$1000,13,0)</f>
        <v>#N/A</v>
      </c>
      <c r="P632" s="68" t="e">
        <f>VLOOKUP($C632,'Daily_BU설비데이터 '!$C$20:$T$1000,14,0)</f>
        <v>#N/A</v>
      </c>
      <c r="Q632" s="99" t="e">
        <f t="shared" si="64"/>
        <v>#N/A</v>
      </c>
      <c r="R632" s="100" t="e">
        <f t="shared" si="65"/>
        <v>#N/A</v>
      </c>
      <c r="S632" s="83" t="e">
        <f>VLOOKUP($C632,'Daily_BU설비데이터 '!$C$20:$T$1000,17,0)</f>
        <v>#N/A</v>
      </c>
      <c r="T632" s="83" t="e">
        <f>VLOOKUP($C632,'Daily_BU설비데이터 '!$C$20:$T$1000,18,0)</f>
        <v>#N/A</v>
      </c>
      <c r="U632" s="101" t="e">
        <f t="shared" si="66"/>
        <v>#N/A</v>
      </c>
      <c r="V632" s="45"/>
      <c r="W632" s="45"/>
      <c r="X632" s="45"/>
      <c r="Y632" s="45"/>
      <c r="Z632" s="45"/>
      <c r="AA632" s="45"/>
    </row>
    <row r="633" spans="2:27" x14ac:dyDescent="0.45">
      <c r="B633" s="45" t="s">
        <v>439</v>
      </c>
      <c r="C633" s="90"/>
      <c r="D633" s="56"/>
      <c r="E633" s="80"/>
      <c r="F633" s="58" t="e">
        <f>VLOOKUP($C633,'Daily_BU설비데이터 '!$C$20:$T$1000,4,0)</f>
        <v>#N/A</v>
      </c>
      <c r="G633" s="58" t="e">
        <f>VLOOKUP($C633,'Daily_BU설비데이터 '!$C$20:$T$1000,5,0)</f>
        <v>#N/A</v>
      </c>
      <c r="H633" s="58" t="e">
        <f>VLOOKUP($C633,'Daily_BU설비데이터 '!$C$20:$T$1000,6,0)</f>
        <v>#N/A</v>
      </c>
      <c r="I633" s="58" t="e">
        <f>VLOOKUP($C633,'Daily_BU설비데이터 '!$C$20:$T$1000,7,0)</f>
        <v>#N/A</v>
      </c>
      <c r="J633" s="58" t="e">
        <f>VLOOKUP($C633,'Daily_BU설비데이터 '!$C$20:$T$1000,8,0)</f>
        <v>#N/A</v>
      </c>
      <c r="K633" s="58" t="e">
        <f>VLOOKUP($C633,'Daily_BU설비데이터 '!$C$20:$T$1000,9,0)</f>
        <v>#N/A</v>
      </c>
      <c r="L633" s="59" t="e">
        <f t="shared" si="63"/>
        <v>#N/A</v>
      </c>
      <c r="M633" s="68" t="e">
        <f>VLOOKUP($C633,'Daily_BU설비데이터 '!$C$20:$T$1000,11,0)</f>
        <v>#N/A</v>
      </c>
      <c r="N633" s="68" t="e">
        <f>VLOOKUP($C633,'Daily_BU설비데이터 '!$C$20:$T$1000,12,0)</f>
        <v>#N/A</v>
      </c>
      <c r="O633" s="68" t="e">
        <f>VLOOKUP($C633,'Daily_BU설비데이터 '!$C$20:$T$1000,13,0)</f>
        <v>#N/A</v>
      </c>
      <c r="P633" s="68" t="e">
        <f>VLOOKUP($C633,'Daily_BU설비데이터 '!$C$20:$T$1000,14,0)</f>
        <v>#N/A</v>
      </c>
      <c r="Q633" s="99" t="e">
        <f t="shared" si="64"/>
        <v>#N/A</v>
      </c>
      <c r="R633" s="100" t="e">
        <f t="shared" si="65"/>
        <v>#N/A</v>
      </c>
      <c r="S633" s="83" t="e">
        <f>VLOOKUP($C633,'Daily_BU설비데이터 '!$C$20:$T$1000,17,0)</f>
        <v>#N/A</v>
      </c>
      <c r="T633" s="83" t="e">
        <f>VLOOKUP($C633,'Daily_BU설비데이터 '!$C$20:$T$1000,18,0)</f>
        <v>#N/A</v>
      </c>
      <c r="U633" s="101" t="e">
        <f t="shared" si="66"/>
        <v>#N/A</v>
      </c>
      <c r="V633" s="45"/>
      <c r="W633" s="45"/>
      <c r="X633" s="45"/>
      <c r="Y633" s="45"/>
      <c r="Z633" s="45"/>
      <c r="AA633" s="45"/>
    </row>
    <row r="634" spans="2:27" x14ac:dyDescent="0.45">
      <c r="B634" s="45" t="s">
        <v>440</v>
      </c>
      <c r="C634" s="90"/>
      <c r="D634" s="56"/>
      <c r="E634" s="84"/>
      <c r="F634" s="58" t="e">
        <f>VLOOKUP($C634,'Daily_BU설비데이터 '!$C$20:$T$1000,4,0)</f>
        <v>#N/A</v>
      </c>
      <c r="G634" s="58" t="e">
        <f>VLOOKUP($C634,'Daily_BU설비데이터 '!$C$20:$T$1000,5,0)</f>
        <v>#N/A</v>
      </c>
      <c r="H634" s="58" t="e">
        <f>VLOOKUP($C634,'Daily_BU설비데이터 '!$C$20:$T$1000,6,0)</f>
        <v>#N/A</v>
      </c>
      <c r="I634" s="58" t="e">
        <f>VLOOKUP($C634,'Daily_BU설비데이터 '!$C$20:$T$1000,7,0)</f>
        <v>#N/A</v>
      </c>
      <c r="J634" s="58" t="e">
        <f>VLOOKUP($C634,'Daily_BU설비데이터 '!$C$20:$T$1000,8,0)</f>
        <v>#N/A</v>
      </c>
      <c r="K634" s="58" t="e">
        <f>VLOOKUP($C634,'Daily_BU설비데이터 '!$C$20:$T$1000,9,0)</f>
        <v>#N/A</v>
      </c>
      <c r="L634" s="59" t="e">
        <f t="shared" si="63"/>
        <v>#N/A</v>
      </c>
      <c r="M634" s="68" t="e">
        <f>VLOOKUP($C634,'Daily_BU설비데이터 '!$C$20:$T$1000,11,0)</f>
        <v>#N/A</v>
      </c>
      <c r="N634" s="68" t="e">
        <f>VLOOKUP($C634,'Daily_BU설비데이터 '!$C$20:$T$1000,12,0)</f>
        <v>#N/A</v>
      </c>
      <c r="O634" s="68" t="e">
        <f>VLOOKUP($C634,'Daily_BU설비데이터 '!$C$20:$T$1000,13,0)</f>
        <v>#N/A</v>
      </c>
      <c r="P634" s="68" t="e">
        <f>VLOOKUP($C634,'Daily_BU설비데이터 '!$C$20:$T$1000,14,0)</f>
        <v>#N/A</v>
      </c>
      <c r="Q634" s="99" t="e">
        <f t="shared" si="64"/>
        <v>#N/A</v>
      </c>
      <c r="R634" s="100" t="e">
        <f t="shared" si="65"/>
        <v>#N/A</v>
      </c>
      <c r="S634" s="83" t="e">
        <f>VLOOKUP($C634,'Daily_BU설비데이터 '!$C$20:$T$1000,17,0)</f>
        <v>#N/A</v>
      </c>
      <c r="T634" s="83" t="e">
        <f>VLOOKUP($C634,'Daily_BU설비데이터 '!$C$20:$T$1000,18,0)</f>
        <v>#N/A</v>
      </c>
      <c r="U634" s="101" t="e">
        <f t="shared" si="66"/>
        <v>#N/A</v>
      </c>
      <c r="V634" s="45"/>
      <c r="W634" s="45"/>
      <c r="X634" s="45"/>
      <c r="Y634" s="45"/>
      <c r="Z634" s="45"/>
      <c r="AA634" s="45"/>
    </row>
    <row r="635" spans="2:27" x14ac:dyDescent="0.45">
      <c r="B635" s="45" t="s">
        <v>441</v>
      </c>
      <c r="C635" s="90"/>
      <c r="D635" s="56"/>
      <c r="E635" s="57"/>
      <c r="F635" s="58" t="e">
        <f>VLOOKUP($C635,'Daily_BU설비데이터 '!$C$20:$T$1000,4,0)</f>
        <v>#N/A</v>
      </c>
      <c r="G635" s="58" t="e">
        <f>VLOOKUP($C635,'Daily_BU설비데이터 '!$C$20:$T$1000,5,0)</f>
        <v>#N/A</v>
      </c>
      <c r="H635" s="58" t="e">
        <f>VLOOKUP($C635,'Daily_BU설비데이터 '!$C$20:$T$1000,6,0)</f>
        <v>#N/A</v>
      </c>
      <c r="I635" s="58" t="e">
        <f>VLOOKUP($C635,'Daily_BU설비데이터 '!$C$20:$T$1000,7,0)</f>
        <v>#N/A</v>
      </c>
      <c r="J635" s="58" t="e">
        <f>VLOOKUP($C635,'Daily_BU설비데이터 '!$C$20:$T$1000,8,0)</f>
        <v>#N/A</v>
      </c>
      <c r="K635" s="58" t="e">
        <f>VLOOKUP($C635,'Daily_BU설비데이터 '!$C$20:$T$1000,9,0)</f>
        <v>#N/A</v>
      </c>
      <c r="L635" s="59" t="e">
        <f t="shared" si="63"/>
        <v>#N/A</v>
      </c>
      <c r="M635" s="68" t="e">
        <f>VLOOKUP($C635,'Daily_BU설비데이터 '!$C$20:$T$1000,11,0)</f>
        <v>#N/A</v>
      </c>
      <c r="N635" s="68" t="e">
        <f>VLOOKUP($C635,'Daily_BU설비데이터 '!$C$20:$T$1000,12,0)</f>
        <v>#N/A</v>
      </c>
      <c r="O635" s="68" t="e">
        <f>VLOOKUP($C635,'Daily_BU설비데이터 '!$C$20:$T$1000,13,0)</f>
        <v>#N/A</v>
      </c>
      <c r="P635" s="68" t="e">
        <f>VLOOKUP($C635,'Daily_BU설비데이터 '!$C$20:$T$1000,14,0)</f>
        <v>#N/A</v>
      </c>
      <c r="Q635" s="99" t="e">
        <f t="shared" si="64"/>
        <v>#N/A</v>
      </c>
      <c r="R635" s="100" t="e">
        <f t="shared" si="65"/>
        <v>#N/A</v>
      </c>
      <c r="S635" s="83" t="e">
        <f>VLOOKUP($C635,'Daily_BU설비데이터 '!$C$20:$T$1000,17,0)</f>
        <v>#N/A</v>
      </c>
      <c r="T635" s="83" t="e">
        <f>VLOOKUP($C635,'Daily_BU설비데이터 '!$C$20:$T$1000,18,0)</f>
        <v>#N/A</v>
      </c>
      <c r="U635" s="101" t="e">
        <f t="shared" si="66"/>
        <v>#N/A</v>
      </c>
      <c r="V635" s="45"/>
      <c r="W635" s="45"/>
      <c r="X635" s="45"/>
      <c r="Y635" s="45"/>
      <c r="Z635" s="45"/>
      <c r="AA635" s="45"/>
    </row>
    <row r="636" spans="2:27" x14ac:dyDescent="0.45">
      <c r="B636" s="45" t="s">
        <v>442</v>
      </c>
      <c r="C636" s="90"/>
      <c r="D636" s="56"/>
      <c r="E636" s="80"/>
      <c r="F636" s="58" t="e">
        <f>VLOOKUP($C636,'Daily_BU설비데이터 '!$C$20:$T$1000,4,0)</f>
        <v>#N/A</v>
      </c>
      <c r="G636" s="58" t="e">
        <f>VLOOKUP($C636,'Daily_BU설비데이터 '!$C$20:$T$1000,5,0)</f>
        <v>#N/A</v>
      </c>
      <c r="H636" s="58" t="e">
        <f>VLOOKUP($C636,'Daily_BU설비데이터 '!$C$20:$T$1000,6,0)</f>
        <v>#N/A</v>
      </c>
      <c r="I636" s="58" t="e">
        <f>VLOOKUP($C636,'Daily_BU설비데이터 '!$C$20:$T$1000,7,0)</f>
        <v>#N/A</v>
      </c>
      <c r="J636" s="58" t="e">
        <f>VLOOKUP($C636,'Daily_BU설비데이터 '!$C$20:$T$1000,8,0)</f>
        <v>#N/A</v>
      </c>
      <c r="K636" s="58" t="e">
        <f>VLOOKUP($C636,'Daily_BU설비데이터 '!$C$20:$T$1000,9,0)</f>
        <v>#N/A</v>
      </c>
      <c r="L636" s="59" t="e">
        <f t="shared" si="63"/>
        <v>#N/A</v>
      </c>
      <c r="M636" s="68" t="e">
        <f>VLOOKUP($C636,'Daily_BU설비데이터 '!$C$20:$T$1000,11,0)</f>
        <v>#N/A</v>
      </c>
      <c r="N636" s="68" t="e">
        <f>VLOOKUP($C636,'Daily_BU설비데이터 '!$C$20:$T$1000,12,0)</f>
        <v>#N/A</v>
      </c>
      <c r="O636" s="68" t="e">
        <f>VLOOKUP($C636,'Daily_BU설비데이터 '!$C$20:$T$1000,13,0)</f>
        <v>#N/A</v>
      </c>
      <c r="P636" s="68" t="e">
        <f>VLOOKUP($C636,'Daily_BU설비데이터 '!$C$20:$T$1000,14,0)</f>
        <v>#N/A</v>
      </c>
      <c r="Q636" s="99" t="e">
        <f t="shared" si="64"/>
        <v>#N/A</v>
      </c>
      <c r="R636" s="100" t="e">
        <f t="shared" si="65"/>
        <v>#N/A</v>
      </c>
      <c r="S636" s="83" t="e">
        <f>VLOOKUP($C636,'Daily_BU설비데이터 '!$C$20:$T$1000,17,0)</f>
        <v>#N/A</v>
      </c>
      <c r="T636" s="83" t="e">
        <f>VLOOKUP($C636,'Daily_BU설비데이터 '!$C$20:$T$1000,18,0)</f>
        <v>#N/A</v>
      </c>
      <c r="U636" s="101" t="e">
        <f t="shared" si="66"/>
        <v>#N/A</v>
      </c>
      <c r="V636" s="45"/>
      <c r="W636" s="45"/>
      <c r="X636" s="45"/>
      <c r="Y636" s="45"/>
      <c r="Z636" s="45"/>
      <c r="AA636" s="45"/>
    </row>
    <row r="637" spans="2:27" x14ac:dyDescent="0.45">
      <c r="B637" s="45" t="s">
        <v>443</v>
      </c>
      <c r="C637" s="90"/>
      <c r="D637" s="56"/>
      <c r="E637" s="84"/>
      <c r="F637" s="58" t="e">
        <f>VLOOKUP($C637,'Daily_BU설비데이터 '!$C$20:$T$1000,4,0)</f>
        <v>#N/A</v>
      </c>
      <c r="G637" s="58" t="e">
        <f>VLOOKUP($C637,'Daily_BU설비데이터 '!$C$20:$T$1000,5,0)</f>
        <v>#N/A</v>
      </c>
      <c r="H637" s="58" t="e">
        <f>VLOOKUP($C637,'Daily_BU설비데이터 '!$C$20:$T$1000,6,0)</f>
        <v>#N/A</v>
      </c>
      <c r="I637" s="58" t="e">
        <f>VLOOKUP($C637,'Daily_BU설비데이터 '!$C$20:$T$1000,7,0)</f>
        <v>#N/A</v>
      </c>
      <c r="J637" s="58" t="e">
        <f>VLOOKUP($C637,'Daily_BU설비데이터 '!$C$20:$T$1000,8,0)</f>
        <v>#N/A</v>
      </c>
      <c r="K637" s="58" t="e">
        <f>VLOOKUP($C637,'Daily_BU설비데이터 '!$C$20:$T$1000,9,0)</f>
        <v>#N/A</v>
      </c>
      <c r="L637" s="59" t="e">
        <f t="shared" si="63"/>
        <v>#N/A</v>
      </c>
      <c r="M637" s="68" t="e">
        <f>VLOOKUP($C637,'Daily_BU설비데이터 '!$C$20:$T$1000,11,0)</f>
        <v>#N/A</v>
      </c>
      <c r="N637" s="68" t="e">
        <f>VLOOKUP($C637,'Daily_BU설비데이터 '!$C$20:$T$1000,12,0)</f>
        <v>#N/A</v>
      </c>
      <c r="O637" s="68" t="e">
        <f>VLOOKUP($C637,'Daily_BU설비데이터 '!$C$20:$T$1000,13,0)</f>
        <v>#N/A</v>
      </c>
      <c r="P637" s="68" t="e">
        <f>VLOOKUP($C637,'Daily_BU설비데이터 '!$C$20:$T$1000,14,0)</f>
        <v>#N/A</v>
      </c>
      <c r="Q637" s="99" t="e">
        <f t="shared" si="64"/>
        <v>#N/A</v>
      </c>
      <c r="R637" s="100" t="e">
        <f t="shared" si="65"/>
        <v>#N/A</v>
      </c>
      <c r="S637" s="83" t="e">
        <f>VLOOKUP($C637,'Daily_BU설비데이터 '!$C$20:$T$1000,17,0)</f>
        <v>#N/A</v>
      </c>
      <c r="T637" s="83" t="e">
        <f>VLOOKUP($C637,'Daily_BU설비데이터 '!$C$20:$T$1000,18,0)</f>
        <v>#N/A</v>
      </c>
      <c r="U637" s="101" t="e">
        <f t="shared" si="66"/>
        <v>#N/A</v>
      </c>
      <c r="V637" s="45"/>
      <c r="W637" s="45"/>
      <c r="X637" s="45"/>
      <c r="Y637" s="45"/>
      <c r="Z637" s="45"/>
      <c r="AA637" s="45"/>
    </row>
    <row r="638" spans="2:27" x14ac:dyDescent="0.45">
      <c r="B638" s="45" t="s">
        <v>444</v>
      </c>
      <c r="C638" s="90"/>
      <c r="D638" s="56"/>
      <c r="E638" s="57"/>
      <c r="F638" s="58" t="e">
        <f>VLOOKUP($C638,'Daily_BU설비데이터 '!$C$20:$T$1000,4,0)</f>
        <v>#N/A</v>
      </c>
      <c r="G638" s="58" t="e">
        <f>VLOOKUP($C638,'Daily_BU설비데이터 '!$C$20:$T$1000,5,0)</f>
        <v>#N/A</v>
      </c>
      <c r="H638" s="58" t="e">
        <f>VLOOKUP($C638,'Daily_BU설비데이터 '!$C$20:$T$1000,6,0)</f>
        <v>#N/A</v>
      </c>
      <c r="I638" s="58" t="e">
        <f>VLOOKUP($C638,'Daily_BU설비데이터 '!$C$20:$T$1000,7,0)</f>
        <v>#N/A</v>
      </c>
      <c r="J638" s="58" t="e">
        <f>VLOOKUP($C638,'Daily_BU설비데이터 '!$C$20:$T$1000,8,0)</f>
        <v>#N/A</v>
      </c>
      <c r="K638" s="58" t="e">
        <f>VLOOKUP($C638,'Daily_BU설비데이터 '!$C$20:$T$1000,9,0)</f>
        <v>#N/A</v>
      </c>
      <c r="L638" s="59" t="e">
        <f t="shared" si="63"/>
        <v>#N/A</v>
      </c>
      <c r="M638" s="68" t="e">
        <f>VLOOKUP($C638,'Daily_BU설비데이터 '!$C$20:$T$1000,11,0)</f>
        <v>#N/A</v>
      </c>
      <c r="N638" s="68" t="e">
        <f>VLOOKUP($C638,'Daily_BU설비데이터 '!$C$20:$T$1000,12,0)</f>
        <v>#N/A</v>
      </c>
      <c r="O638" s="68" t="e">
        <f>VLOOKUP($C638,'Daily_BU설비데이터 '!$C$20:$T$1000,13,0)</f>
        <v>#N/A</v>
      </c>
      <c r="P638" s="68" t="e">
        <f>VLOOKUP($C638,'Daily_BU설비데이터 '!$C$20:$T$1000,14,0)</f>
        <v>#N/A</v>
      </c>
      <c r="Q638" s="99" t="e">
        <f t="shared" si="64"/>
        <v>#N/A</v>
      </c>
      <c r="R638" s="100" t="e">
        <f t="shared" si="65"/>
        <v>#N/A</v>
      </c>
      <c r="S638" s="83" t="e">
        <f>VLOOKUP($C638,'Daily_BU설비데이터 '!$C$20:$T$1000,17,0)</f>
        <v>#N/A</v>
      </c>
      <c r="T638" s="83" t="e">
        <f>VLOOKUP($C638,'Daily_BU설비데이터 '!$C$20:$T$1000,18,0)</f>
        <v>#N/A</v>
      </c>
      <c r="U638" s="101" t="e">
        <f t="shared" si="66"/>
        <v>#N/A</v>
      </c>
      <c r="V638" s="45"/>
      <c r="W638" s="45"/>
      <c r="X638" s="45"/>
      <c r="Y638" s="45"/>
      <c r="Z638" s="45"/>
      <c r="AA638" s="45"/>
    </row>
    <row r="639" spans="2:27" x14ac:dyDescent="0.45">
      <c r="B639" s="45" t="s">
        <v>445</v>
      </c>
      <c r="C639" s="90"/>
      <c r="D639" s="56"/>
      <c r="E639" s="80"/>
      <c r="F639" s="58" t="e">
        <f>VLOOKUP($C639,'Daily_BU설비데이터 '!$C$20:$T$1000,4,0)</f>
        <v>#N/A</v>
      </c>
      <c r="G639" s="58" t="e">
        <f>VLOOKUP($C639,'Daily_BU설비데이터 '!$C$20:$T$1000,5,0)</f>
        <v>#N/A</v>
      </c>
      <c r="H639" s="58" t="e">
        <f>VLOOKUP($C639,'Daily_BU설비데이터 '!$C$20:$T$1000,6,0)</f>
        <v>#N/A</v>
      </c>
      <c r="I639" s="58" t="e">
        <f>VLOOKUP($C639,'Daily_BU설비데이터 '!$C$20:$T$1000,7,0)</f>
        <v>#N/A</v>
      </c>
      <c r="J639" s="58" t="e">
        <f>VLOOKUP($C639,'Daily_BU설비데이터 '!$C$20:$T$1000,8,0)</f>
        <v>#N/A</v>
      </c>
      <c r="K639" s="58" t="e">
        <f>VLOOKUP($C639,'Daily_BU설비데이터 '!$C$20:$T$1000,9,0)</f>
        <v>#N/A</v>
      </c>
      <c r="L639" s="59" t="e">
        <f t="shared" si="63"/>
        <v>#N/A</v>
      </c>
      <c r="M639" s="68" t="e">
        <f>VLOOKUP($C639,'Daily_BU설비데이터 '!$C$20:$T$1000,11,0)</f>
        <v>#N/A</v>
      </c>
      <c r="N639" s="68" t="e">
        <f>VLOOKUP($C639,'Daily_BU설비데이터 '!$C$20:$T$1000,12,0)</f>
        <v>#N/A</v>
      </c>
      <c r="O639" s="68" t="e">
        <f>VLOOKUP($C639,'Daily_BU설비데이터 '!$C$20:$T$1000,13,0)</f>
        <v>#N/A</v>
      </c>
      <c r="P639" s="68" t="e">
        <f>VLOOKUP($C639,'Daily_BU설비데이터 '!$C$20:$T$1000,14,0)</f>
        <v>#N/A</v>
      </c>
      <c r="Q639" s="99" t="e">
        <f t="shared" si="64"/>
        <v>#N/A</v>
      </c>
      <c r="R639" s="100" t="e">
        <f t="shared" si="65"/>
        <v>#N/A</v>
      </c>
      <c r="S639" s="83" t="e">
        <f>VLOOKUP($C639,'Daily_BU설비데이터 '!$C$20:$T$1000,17,0)</f>
        <v>#N/A</v>
      </c>
      <c r="T639" s="83" t="e">
        <f>VLOOKUP($C639,'Daily_BU설비데이터 '!$C$20:$T$1000,18,0)</f>
        <v>#N/A</v>
      </c>
      <c r="U639" s="101" t="e">
        <f t="shared" si="66"/>
        <v>#N/A</v>
      </c>
      <c r="V639" s="45"/>
      <c r="W639" s="45"/>
      <c r="X639" s="45"/>
      <c r="Y639" s="45"/>
      <c r="Z639" s="45"/>
      <c r="AA639" s="45"/>
    </row>
    <row r="640" spans="2:27" x14ac:dyDescent="0.45">
      <c r="B640" s="45" t="s">
        <v>446</v>
      </c>
      <c r="C640" s="90"/>
      <c r="D640" s="56"/>
      <c r="E640" s="84"/>
      <c r="F640" s="58" t="e">
        <f>VLOOKUP($C640,'Daily_BU설비데이터 '!$C$20:$T$1000,4,0)</f>
        <v>#N/A</v>
      </c>
      <c r="G640" s="58" t="e">
        <f>VLOOKUP($C640,'Daily_BU설비데이터 '!$C$20:$T$1000,5,0)</f>
        <v>#N/A</v>
      </c>
      <c r="H640" s="58" t="e">
        <f>VLOOKUP($C640,'Daily_BU설비데이터 '!$C$20:$T$1000,6,0)</f>
        <v>#N/A</v>
      </c>
      <c r="I640" s="58" t="e">
        <f>VLOOKUP($C640,'Daily_BU설비데이터 '!$C$20:$T$1000,7,0)</f>
        <v>#N/A</v>
      </c>
      <c r="J640" s="58" t="e">
        <f>VLOOKUP($C640,'Daily_BU설비데이터 '!$C$20:$T$1000,8,0)</f>
        <v>#N/A</v>
      </c>
      <c r="K640" s="58" t="e">
        <f>VLOOKUP($C640,'Daily_BU설비데이터 '!$C$20:$T$1000,9,0)</f>
        <v>#N/A</v>
      </c>
      <c r="L640" s="59" t="e">
        <f t="shared" si="63"/>
        <v>#N/A</v>
      </c>
      <c r="M640" s="68" t="e">
        <f>VLOOKUP($C640,'Daily_BU설비데이터 '!$C$20:$T$1000,11,0)</f>
        <v>#N/A</v>
      </c>
      <c r="N640" s="68" t="e">
        <f>VLOOKUP($C640,'Daily_BU설비데이터 '!$C$20:$T$1000,12,0)</f>
        <v>#N/A</v>
      </c>
      <c r="O640" s="68" t="e">
        <f>VLOOKUP($C640,'Daily_BU설비데이터 '!$C$20:$T$1000,13,0)</f>
        <v>#N/A</v>
      </c>
      <c r="P640" s="68" t="e">
        <f>VLOOKUP($C640,'Daily_BU설비데이터 '!$C$20:$T$1000,14,0)</f>
        <v>#N/A</v>
      </c>
      <c r="Q640" s="99" t="e">
        <f t="shared" si="64"/>
        <v>#N/A</v>
      </c>
      <c r="R640" s="100" t="e">
        <f t="shared" si="65"/>
        <v>#N/A</v>
      </c>
      <c r="S640" s="83" t="e">
        <f>VLOOKUP($C640,'Daily_BU설비데이터 '!$C$20:$T$1000,17,0)</f>
        <v>#N/A</v>
      </c>
      <c r="T640" s="83" t="e">
        <f>VLOOKUP($C640,'Daily_BU설비데이터 '!$C$20:$T$1000,18,0)</f>
        <v>#N/A</v>
      </c>
      <c r="U640" s="101" t="e">
        <f t="shared" si="66"/>
        <v>#N/A</v>
      </c>
      <c r="V640" s="45"/>
      <c r="W640" s="45"/>
      <c r="X640" s="45"/>
      <c r="Y640" s="45"/>
      <c r="Z640" s="45"/>
      <c r="AA640" s="45"/>
    </row>
    <row r="641" spans="2:27" x14ac:dyDescent="0.45">
      <c r="B641" s="45" t="s">
        <v>447</v>
      </c>
      <c r="C641" s="90"/>
      <c r="D641" s="56"/>
      <c r="E641" s="57"/>
      <c r="F641" s="58" t="e">
        <f>VLOOKUP($C641,'Daily_BU설비데이터 '!$C$20:$T$1000,4,0)</f>
        <v>#N/A</v>
      </c>
      <c r="G641" s="58" t="e">
        <f>VLOOKUP($C641,'Daily_BU설비데이터 '!$C$20:$T$1000,5,0)</f>
        <v>#N/A</v>
      </c>
      <c r="H641" s="58" t="e">
        <f>VLOOKUP($C641,'Daily_BU설비데이터 '!$C$20:$T$1000,6,0)</f>
        <v>#N/A</v>
      </c>
      <c r="I641" s="58" t="e">
        <f>VLOOKUP($C641,'Daily_BU설비데이터 '!$C$20:$T$1000,7,0)</f>
        <v>#N/A</v>
      </c>
      <c r="J641" s="58" t="e">
        <f>VLOOKUP($C641,'Daily_BU설비데이터 '!$C$20:$T$1000,8,0)</f>
        <v>#N/A</v>
      </c>
      <c r="K641" s="58" t="e">
        <f>VLOOKUP($C641,'Daily_BU설비데이터 '!$C$20:$T$1000,9,0)</f>
        <v>#N/A</v>
      </c>
      <c r="L641" s="59" t="e">
        <f t="shared" si="63"/>
        <v>#N/A</v>
      </c>
      <c r="M641" s="68" t="e">
        <f>VLOOKUP($C641,'Daily_BU설비데이터 '!$C$20:$T$1000,11,0)</f>
        <v>#N/A</v>
      </c>
      <c r="N641" s="68" t="e">
        <f>VLOOKUP($C641,'Daily_BU설비데이터 '!$C$20:$T$1000,12,0)</f>
        <v>#N/A</v>
      </c>
      <c r="O641" s="68" t="e">
        <f>VLOOKUP($C641,'Daily_BU설비데이터 '!$C$20:$T$1000,13,0)</f>
        <v>#N/A</v>
      </c>
      <c r="P641" s="68" t="e">
        <f>VLOOKUP($C641,'Daily_BU설비데이터 '!$C$20:$T$1000,14,0)</f>
        <v>#N/A</v>
      </c>
      <c r="Q641" s="99" t="e">
        <f t="shared" si="64"/>
        <v>#N/A</v>
      </c>
      <c r="R641" s="100" t="e">
        <f t="shared" si="65"/>
        <v>#N/A</v>
      </c>
      <c r="S641" s="83" t="e">
        <f>VLOOKUP($C641,'Daily_BU설비데이터 '!$C$20:$T$1000,17,0)</f>
        <v>#N/A</v>
      </c>
      <c r="T641" s="83" t="e">
        <f>VLOOKUP($C641,'Daily_BU설비데이터 '!$C$20:$T$1000,18,0)</f>
        <v>#N/A</v>
      </c>
      <c r="U641" s="101" t="e">
        <f t="shared" si="66"/>
        <v>#N/A</v>
      </c>
      <c r="V641" s="45"/>
      <c r="W641" s="45"/>
      <c r="X641" s="45"/>
      <c r="Y641" s="45"/>
      <c r="Z641" s="45"/>
      <c r="AA641" s="45"/>
    </row>
    <row r="642" spans="2:27" x14ac:dyDescent="0.45">
      <c r="B642" s="45" t="s">
        <v>448</v>
      </c>
      <c r="C642" s="90"/>
      <c r="D642" s="56"/>
      <c r="E642" s="80"/>
      <c r="F642" s="58" t="e">
        <f>VLOOKUP($C642,'Daily_BU설비데이터 '!$C$20:$T$1000,4,0)</f>
        <v>#N/A</v>
      </c>
      <c r="G642" s="58" t="e">
        <f>VLOOKUP($C642,'Daily_BU설비데이터 '!$C$20:$T$1000,5,0)</f>
        <v>#N/A</v>
      </c>
      <c r="H642" s="58" t="e">
        <f>VLOOKUP($C642,'Daily_BU설비데이터 '!$C$20:$T$1000,6,0)</f>
        <v>#N/A</v>
      </c>
      <c r="I642" s="58" t="e">
        <f>VLOOKUP($C642,'Daily_BU설비데이터 '!$C$20:$T$1000,7,0)</f>
        <v>#N/A</v>
      </c>
      <c r="J642" s="58" t="e">
        <f>VLOOKUP($C642,'Daily_BU설비데이터 '!$C$20:$T$1000,8,0)</f>
        <v>#N/A</v>
      </c>
      <c r="K642" s="58" t="e">
        <f>VLOOKUP($C642,'Daily_BU설비데이터 '!$C$20:$T$1000,9,0)</f>
        <v>#N/A</v>
      </c>
      <c r="L642" s="59" t="e">
        <f t="shared" si="63"/>
        <v>#N/A</v>
      </c>
      <c r="M642" s="68" t="e">
        <f>VLOOKUP($C642,'Daily_BU설비데이터 '!$C$20:$T$1000,11,0)</f>
        <v>#N/A</v>
      </c>
      <c r="N642" s="68" t="e">
        <f>VLOOKUP($C642,'Daily_BU설비데이터 '!$C$20:$T$1000,12,0)</f>
        <v>#N/A</v>
      </c>
      <c r="O642" s="68" t="e">
        <f>VLOOKUP($C642,'Daily_BU설비데이터 '!$C$20:$T$1000,13,0)</f>
        <v>#N/A</v>
      </c>
      <c r="P642" s="68" t="e">
        <f>VLOOKUP($C642,'Daily_BU설비데이터 '!$C$20:$T$1000,14,0)</f>
        <v>#N/A</v>
      </c>
      <c r="Q642" s="99" t="e">
        <f t="shared" si="64"/>
        <v>#N/A</v>
      </c>
      <c r="R642" s="100" t="e">
        <f t="shared" si="65"/>
        <v>#N/A</v>
      </c>
      <c r="S642" s="83" t="e">
        <f>VLOOKUP($C642,'Daily_BU설비데이터 '!$C$20:$T$1000,17,0)</f>
        <v>#N/A</v>
      </c>
      <c r="T642" s="83" t="e">
        <f>VLOOKUP($C642,'Daily_BU설비데이터 '!$C$20:$T$1000,18,0)</f>
        <v>#N/A</v>
      </c>
      <c r="U642" s="101" t="e">
        <f t="shared" si="66"/>
        <v>#N/A</v>
      </c>
      <c r="V642" s="45"/>
      <c r="W642" s="45"/>
      <c r="X642" s="45"/>
      <c r="Y642" s="45"/>
      <c r="Z642" s="45"/>
      <c r="AA642" s="45"/>
    </row>
    <row r="643" spans="2:27" x14ac:dyDescent="0.45">
      <c r="B643" s="45" t="s">
        <v>449</v>
      </c>
      <c r="C643" s="90"/>
      <c r="D643" s="56"/>
      <c r="E643" s="84"/>
      <c r="F643" s="58" t="e">
        <f>VLOOKUP($C643,'Daily_BU설비데이터 '!$C$20:$T$1000,4,0)</f>
        <v>#N/A</v>
      </c>
      <c r="G643" s="58" t="e">
        <f>VLOOKUP($C643,'Daily_BU설비데이터 '!$C$20:$T$1000,5,0)</f>
        <v>#N/A</v>
      </c>
      <c r="H643" s="58" t="e">
        <f>VLOOKUP($C643,'Daily_BU설비데이터 '!$C$20:$T$1000,6,0)</f>
        <v>#N/A</v>
      </c>
      <c r="I643" s="58" t="e">
        <f>VLOOKUP($C643,'Daily_BU설비데이터 '!$C$20:$T$1000,7,0)</f>
        <v>#N/A</v>
      </c>
      <c r="J643" s="58" t="e">
        <f>VLOOKUP($C643,'Daily_BU설비데이터 '!$C$20:$T$1000,8,0)</f>
        <v>#N/A</v>
      </c>
      <c r="K643" s="58" t="e">
        <f>VLOOKUP($C643,'Daily_BU설비데이터 '!$C$20:$T$1000,9,0)</f>
        <v>#N/A</v>
      </c>
      <c r="L643" s="59" t="e">
        <f t="shared" si="63"/>
        <v>#N/A</v>
      </c>
      <c r="M643" s="68" t="e">
        <f>VLOOKUP($C643,'Daily_BU설비데이터 '!$C$20:$T$1000,11,0)</f>
        <v>#N/A</v>
      </c>
      <c r="N643" s="68" t="e">
        <f>VLOOKUP($C643,'Daily_BU설비데이터 '!$C$20:$T$1000,12,0)</f>
        <v>#N/A</v>
      </c>
      <c r="O643" s="68" t="e">
        <f>VLOOKUP($C643,'Daily_BU설비데이터 '!$C$20:$T$1000,13,0)</f>
        <v>#N/A</v>
      </c>
      <c r="P643" s="68" t="e">
        <f>VLOOKUP($C643,'Daily_BU설비데이터 '!$C$20:$T$1000,14,0)</f>
        <v>#N/A</v>
      </c>
      <c r="Q643" s="99" t="e">
        <f t="shared" si="64"/>
        <v>#N/A</v>
      </c>
      <c r="R643" s="100" t="e">
        <f t="shared" si="65"/>
        <v>#N/A</v>
      </c>
      <c r="S643" s="83" t="e">
        <f>VLOOKUP($C643,'Daily_BU설비데이터 '!$C$20:$T$1000,17,0)</f>
        <v>#N/A</v>
      </c>
      <c r="T643" s="83" t="e">
        <f>VLOOKUP($C643,'Daily_BU설비데이터 '!$C$20:$T$1000,18,0)</f>
        <v>#N/A</v>
      </c>
      <c r="U643" s="101" t="e">
        <f t="shared" si="66"/>
        <v>#N/A</v>
      </c>
      <c r="V643" s="45"/>
      <c r="W643" s="45"/>
      <c r="X643" s="45"/>
      <c r="Y643" s="45"/>
      <c r="Z643" s="45"/>
      <c r="AA643" s="45"/>
    </row>
    <row r="644" spans="2:27" x14ac:dyDescent="0.45">
      <c r="B644" s="45" t="s">
        <v>450</v>
      </c>
      <c r="C644" s="90"/>
      <c r="D644" s="56"/>
      <c r="E644" s="57"/>
      <c r="F644" s="58" t="e">
        <f>VLOOKUP($C644,'Daily_BU설비데이터 '!$C$20:$T$1000,4,0)</f>
        <v>#N/A</v>
      </c>
      <c r="G644" s="58" t="e">
        <f>VLOOKUP($C644,'Daily_BU설비데이터 '!$C$20:$T$1000,5,0)</f>
        <v>#N/A</v>
      </c>
      <c r="H644" s="58" t="e">
        <f>VLOOKUP($C644,'Daily_BU설비데이터 '!$C$20:$T$1000,6,0)</f>
        <v>#N/A</v>
      </c>
      <c r="I644" s="58" t="e">
        <f>VLOOKUP($C644,'Daily_BU설비데이터 '!$C$20:$T$1000,7,0)</f>
        <v>#N/A</v>
      </c>
      <c r="J644" s="58" t="e">
        <f>VLOOKUP($C644,'Daily_BU설비데이터 '!$C$20:$T$1000,8,0)</f>
        <v>#N/A</v>
      </c>
      <c r="K644" s="58" t="e">
        <f>VLOOKUP($C644,'Daily_BU설비데이터 '!$C$20:$T$1000,9,0)</f>
        <v>#N/A</v>
      </c>
      <c r="L644" s="59" t="e">
        <f t="shared" si="63"/>
        <v>#N/A</v>
      </c>
      <c r="M644" s="68" t="e">
        <f>VLOOKUP($C644,'Daily_BU설비데이터 '!$C$20:$T$1000,11,0)</f>
        <v>#N/A</v>
      </c>
      <c r="N644" s="68" t="e">
        <f>VLOOKUP($C644,'Daily_BU설비데이터 '!$C$20:$T$1000,12,0)</f>
        <v>#N/A</v>
      </c>
      <c r="O644" s="68" t="e">
        <f>VLOOKUP($C644,'Daily_BU설비데이터 '!$C$20:$T$1000,13,0)</f>
        <v>#N/A</v>
      </c>
      <c r="P644" s="68" t="e">
        <f>VLOOKUP($C644,'Daily_BU설비데이터 '!$C$20:$T$1000,14,0)</f>
        <v>#N/A</v>
      </c>
      <c r="Q644" s="99" t="e">
        <f t="shared" si="64"/>
        <v>#N/A</v>
      </c>
      <c r="R644" s="100" t="e">
        <f t="shared" si="65"/>
        <v>#N/A</v>
      </c>
      <c r="S644" s="83" t="e">
        <f>VLOOKUP($C644,'Daily_BU설비데이터 '!$C$20:$T$1000,17,0)</f>
        <v>#N/A</v>
      </c>
      <c r="T644" s="83" t="e">
        <f>VLOOKUP($C644,'Daily_BU설비데이터 '!$C$20:$T$1000,18,0)</f>
        <v>#N/A</v>
      </c>
      <c r="U644" s="101" t="e">
        <f t="shared" si="66"/>
        <v>#N/A</v>
      </c>
      <c r="V644" s="45"/>
      <c r="W644" s="45"/>
      <c r="X644" s="45"/>
      <c r="Y644" s="45"/>
      <c r="Z644" s="45"/>
      <c r="AA644" s="45"/>
    </row>
    <row r="645" spans="2:27" x14ac:dyDescent="0.45">
      <c r="B645" s="45" t="s">
        <v>451</v>
      </c>
      <c r="C645" s="90"/>
      <c r="D645" s="56"/>
      <c r="E645" s="80"/>
      <c r="F645" s="58" t="e">
        <f>VLOOKUP($C645,'Daily_BU설비데이터 '!$C$20:$T$1000,4,0)</f>
        <v>#N/A</v>
      </c>
      <c r="G645" s="58" t="e">
        <f>VLOOKUP($C645,'Daily_BU설비데이터 '!$C$20:$T$1000,5,0)</f>
        <v>#N/A</v>
      </c>
      <c r="H645" s="58" t="e">
        <f>VLOOKUP($C645,'Daily_BU설비데이터 '!$C$20:$T$1000,6,0)</f>
        <v>#N/A</v>
      </c>
      <c r="I645" s="58" t="e">
        <f>VLOOKUP($C645,'Daily_BU설비데이터 '!$C$20:$T$1000,7,0)</f>
        <v>#N/A</v>
      </c>
      <c r="J645" s="58" t="e">
        <f>VLOOKUP($C645,'Daily_BU설비데이터 '!$C$20:$T$1000,8,0)</f>
        <v>#N/A</v>
      </c>
      <c r="K645" s="58" t="e">
        <f>VLOOKUP($C645,'Daily_BU설비데이터 '!$C$20:$T$1000,9,0)</f>
        <v>#N/A</v>
      </c>
      <c r="L645" s="59" t="e">
        <f t="shared" si="63"/>
        <v>#N/A</v>
      </c>
      <c r="M645" s="68" t="e">
        <f>VLOOKUP($C645,'Daily_BU설비데이터 '!$C$20:$T$1000,11,0)</f>
        <v>#N/A</v>
      </c>
      <c r="N645" s="68" t="e">
        <f>VLOOKUP($C645,'Daily_BU설비데이터 '!$C$20:$T$1000,12,0)</f>
        <v>#N/A</v>
      </c>
      <c r="O645" s="68" t="e">
        <f>VLOOKUP($C645,'Daily_BU설비데이터 '!$C$20:$T$1000,13,0)</f>
        <v>#N/A</v>
      </c>
      <c r="P645" s="68" t="e">
        <f>VLOOKUP($C645,'Daily_BU설비데이터 '!$C$20:$T$1000,14,0)</f>
        <v>#N/A</v>
      </c>
      <c r="Q645" s="99" t="e">
        <f t="shared" si="64"/>
        <v>#N/A</v>
      </c>
      <c r="R645" s="100" t="e">
        <f t="shared" si="65"/>
        <v>#N/A</v>
      </c>
      <c r="S645" s="83" t="e">
        <f>VLOOKUP($C645,'Daily_BU설비데이터 '!$C$20:$T$1000,17,0)</f>
        <v>#N/A</v>
      </c>
      <c r="T645" s="83" t="e">
        <f>VLOOKUP($C645,'Daily_BU설비데이터 '!$C$20:$T$1000,18,0)</f>
        <v>#N/A</v>
      </c>
      <c r="U645" s="101" t="e">
        <f t="shared" si="66"/>
        <v>#N/A</v>
      </c>
      <c r="V645" s="45"/>
      <c r="W645" s="45"/>
      <c r="X645" s="45"/>
      <c r="Y645" s="45"/>
      <c r="Z645" s="45"/>
      <c r="AA645" s="45"/>
    </row>
    <row r="646" spans="2:27" x14ac:dyDescent="0.45">
      <c r="B646" s="45" t="s">
        <v>452</v>
      </c>
      <c r="C646" s="90"/>
      <c r="D646" s="56"/>
      <c r="E646" s="84"/>
      <c r="F646" s="58" t="e">
        <f>VLOOKUP($C646,'Daily_BU설비데이터 '!$C$20:$T$1000,4,0)</f>
        <v>#N/A</v>
      </c>
      <c r="G646" s="58" t="e">
        <f>VLOOKUP($C646,'Daily_BU설비데이터 '!$C$20:$T$1000,5,0)</f>
        <v>#N/A</v>
      </c>
      <c r="H646" s="58" t="e">
        <f>VLOOKUP($C646,'Daily_BU설비데이터 '!$C$20:$T$1000,6,0)</f>
        <v>#N/A</v>
      </c>
      <c r="I646" s="58" t="e">
        <f>VLOOKUP($C646,'Daily_BU설비데이터 '!$C$20:$T$1000,7,0)</f>
        <v>#N/A</v>
      </c>
      <c r="J646" s="58" t="e">
        <f>VLOOKUP($C646,'Daily_BU설비데이터 '!$C$20:$T$1000,8,0)</f>
        <v>#N/A</v>
      </c>
      <c r="K646" s="58" t="e">
        <f>VLOOKUP($C646,'Daily_BU설비데이터 '!$C$20:$T$1000,9,0)</f>
        <v>#N/A</v>
      </c>
      <c r="L646" s="59" t="e">
        <f t="shared" si="63"/>
        <v>#N/A</v>
      </c>
      <c r="M646" s="68" t="e">
        <f>VLOOKUP($C646,'Daily_BU설비데이터 '!$C$20:$T$1000,11,0)</f>
        <v>#N/A</v>
      </c>
      <c r="N646" s="68" t="e">
        <f>VLOOKUP($C646,'Daily_BU설비데이터 '!$C$20:$T$1000,12,0)</f>
        <v>#N/A</v>
      </c>
      <c r="O646" s="68" t="e">
        <f>VLOOKUP($C646,'Daily_BU설비데이터 '!$C$20:$T$1000,13,0)</f>
        <v>#N/A</v>
      </c>
      <c r="P646" s="68" t="e">
        <f>VLOOKUP($C646,'Daily_BU설비데이터 '!$C$20:$T$1000,14,0)</f>
        <v>#N/A</v>
      </c>
      <c r="Q646" s="99" t="e">
        <f t="shared" si="64"/>
        <v>#N/A</v>
      </c>
      <c r="R646" s="100" t="e">
        <f t="shared" si="65"/>
        <v>#N/A</v>
      </c>
      <c r="S646" s="83" t="e">
        <f>VLOOKUP($C646,'Daily_BU설비데이터 '!$C$20:$T$1000,17,0)</f>
        <v>#N/A</v>
      </c>
      <c r="T646" s="83" t="e">
        <f>VLOOKUP($C646,'Daily_BU설비데이터 '!$C$20:$T$1000,18,0)</f>
        <v>#N/A</v>
      </c>
      <c r="U646" s="101" t="e">
        <f t="shared" si="66"/>
        <v>#N/A</v>
      </c>
      <c r="V646" s="45"/>
      <c r="W646" s="45"/>
      <c r="X646" s="45"/>
      <c r="Y646" s="45"/>
      <c r="Z646" s="45"/>
      <c r="AA646" s="45"/>
    </row>
    <row r="647" spans="2:27" x14ac:dyDescent="0.45">
      <c r="B647" s="45" t="s">
        <v>453</v>
      </c>
      <c r="C647" s="90"/>
      <c r="D647" s="56"/>
      <c r="E647" s="57"/>
      <c r="F647" s="58" t="e">
        <f>VLOOKUP($C647,'Daily_BU설비데이터 '!$C$20:$T$1000,4,0)</f>
        <v>#N/A</v>
      </c>
      <c r="G647" s="58" t="e">
        <f>VLOOKUP($C647,'Daily_BU설비데이터 '!$C$20:$T$1000,5,0)</f>
        <v>#N/A</v>
      </c>
      <c r="H647" s="58" t="e">
        <f>VLOOKUP($C647,'Daily_BU설비데이터 '!$C$20:$T$1000,6,0)</f>
        <v>#N/A</v>
      </c>
      <c r="I647" s="58" t="e">
        <f>VLOOKUP($C647,'Daily_BU설비데이터 '!$C$20:$T$1000,7,0)</f>
        <v>#N/A</v>
      </c>
      <c r="J647" s="58" t="e">
        <f>VLOOKUP($C647,'Daily_BU설비데이터 '!$C$20:$T$1000,8,0)</f>
        <v>#N/A</v>
      </c>
      <c r="K647" s="58" t="e">
        <f>VLOOKUP($C647,'Daily_BU설비데이터 '!$C$20:$T$1000,9,0)</f>
        <v>#N/A</v>
      </c>
      <c r="L647" s="59" t="e">
        <f t="shared" si="63"/>
        <v>#N/A</v>
      </c>
      <c r="M647" s="68" t="e">
        <f>VLOOKUP($C647,'Daily_BU설비데이터 '!$C$20:$T$1000,11,0)</f>
        <v>#N/A</v>
      </c>
      <c r="N647" s="68" t="e">
        <f>VLOOKUP($C647,'Daily_BU설비데이터 '!$C$20:$T$1000,12,0)</f>
        <v>#N/A</v>
      </c>
      <c r="O647" s="68" t="e">
        <f>VLOOKUP($C647,'Daily_BU설비데이터 '!$C$20:$T$1000,13,0)</f>
        <v>#N/A</v>
      </c>
      <c r="P647" s="68" t="e">
        <f>VLOOKUP($C647,'Daily_BU설비데이터 '!$C$20:$T$1000,14,0)</f>
        <v>#N/A</v>
      </c>
      <c r="Q647" s="99" t="e">
        <f t="shared" si="64"/>
        <v>#N/A</v>
      </c>
      <c r="R647" s="100" t="e">
        <f t="shared" si="65"/>
        <v>#N/A</v>
      </c>
      <c r="S647" s="83" t="e">
        <f>VLOOKUP($C647,'Daily_BU설비데이터 '!$C$20:$T$1000,17,0)</f>
        <v>#N/A</v>
      </c>
      <c r="T647" s="83" t="e">
        <f>VLOOKUP($C647,'Daily_BU설비데이터 '!$C$20:$T$1000,18,0)</f>
        <v>#N/A</v>
      </c>
      <c r="U647" s="101" t="e">
        <f t="shared" si="66"/>
        <v>#N/A</v>
      </c>
      <c r="V647" s="45"/>
      <c r="W647" s="45"/>
      <c r="X647" s="45"/>
      <c r="Y647" s="45"/>
      <c r="Z647" s="45"/>
      <c r="AA647" s="45"/>
    </row>
    <row r="648" spans="2:27" x14ac:dyDescent="0.45">
      <c r="B648" s="45" t="s">
        <v>454</v>
      </c>
      <c r="C648" s="90"/>
      <c r="D648" s="56"/>
      <c r="E648" s="80"/>
      <c r="F648" s="58" t="e">
        <f>VLOOKUP($C648,'Daily_BU설비데이터 '!$C$20:$T$1000,4,0)</f>
        <v>#N/A</v>
      </c>
      <c r="G648" s="58" t="e">
        <f>VLOOKUP($C648,'Daily_BU설비데이터 '!$C$20:$T$1000,5,0)</f>
        <v>#N/A</v>
      </c>
      <c r="H648" s="58" t="e">
        <f>VLOOKUP($C648,'Daily_BU설비데이터 '!$C$20:$T$1000,6,0)</f>
        <v>#N/A</v>
      </c>
      <c r="I648" s="58" t="e">
        <f>VLOOKUP($C648,'Daily_BU설비데이터 '!$C$20:$T$1000,7,0)</f>
        <v>#N/A</v>
      </c>
      <c r="J648" s="58" t="e">
        <f>VLOOKUP($C648,'Daily_BU설비데이터 '!$C$20:$T$1000,8,0)</f>
        <v>#N/A</v>
      </c>
      <c r="K648" s="58" t="e">
        <f>VLOOKUP($C648,'Daily_BU설비데이터 '!$C$20:$T$1000,9,0)</f>
        <v>#N/A</v>
      </c>
      <c r="L648" s="59" t="e">
        <f t="shared" si="63"/>
        <v>#N/A</v>
      </c>
      <c r="M648" s="68" t="e">
        <f>VLOOKUP($C648,'Daily_BU설비데이터 '!$C$20:$T$1000,11,0)</f>
        <v>#N/A</v>
      </c>
      <c r="N648" s="68" t="e">
        <f>VLOOKUP($C648,'Daily_BU설비데이터 '!$C$20:$T$1000,12,0)</f>
        <v>#N/A</v>
      </c>
      <c r="O648" s="68" t="e">
        <f>VLOOKUP($C648,'Daily_BU설비데이터 '!$C$20:$T$1000,13,0)</f>
        <v>#N/A</v>
      </c>
      <c r="P648" s="68" t="e">
        <f>VLOOKUP($C648,'Daily_BU설비데이터 '!$C$20:$T$1000,14,0)</f>
        <v>#N/A</v>
      </c>
      <c r="Q648" s="99" t="e">
        <f t="shared" si="64"/>
        <v>#N/A</v>
      </c>
      <c r="R648" s="100" t="e">
        <f t="shared" si="65"/>
        <v>#N/A</v>
      </c>
      <c r="S648" s="83" t="e">
        <f>VLOOKUP($C648,'Daily_BU설비데이터 '!$C$20:$T$1000,17,0)</f>
        <v>#N/A</v>
      </c>
      <c r="T648" s="83" t="e">
        <f>VLOOKUP($C648,'Daily_BU설비데이터 '!$C$20:$T$1000,18,0)</f>
        <v>#N/A</v>
      </c>
      <c r="U648" s="101" t="e">
        <f t="shared" si="66"/>
        <v>#N/A</v>
      </c>
      <c r="V648" s="45"/>
      <c r="W648" s="45"/>
      <c r="X648" s="45"/>
      <c r="Y648" s="45"/>
      <c r="Z648" s="45"/>
      <c r="AA648" s="45"/>
    </row>
    <row r="649" spans="2:27" x14ac:dyDescent="0.45">
      <c r="B649" s="45" t="s">
        <v>455</v>
      </c>
      <c r="C649" s="90"/>
      <c r="D649" s="56"/>
      <c r="E649" s="84"/>
      <c r="F649" s="58" t="e">
        <f>VLOOKUP($C649,'Daily_BU설비데이터 '!$C$20:$T$1000,4,0)</f>
        <v>#N/A</v>
      </c>
      <c r="G649" s="58" t="e">
        <f>VLOOKUP($C649,'Daily_BU설비데이터 '!$C$20:$T$1000,5,0)</f>
        <v>#N/A</v>
      </c>
      <c r="H649" s="58" t="e">
        <f>VLOOKUP($C649,'Daily_BU설비데이터 '!$C$20:$T$1000,6,0)</f>
        <v>#N/A</v>
      </c>
      <c r="I649" s="58" t="e">
        <f>VLOOKUP($C649,'Daily_BU설비데이터 '!$C$20:$T$1000,7,0)</f>
        <v>#N/A</v>
      </c>
      <c r="J649" s="58" t="e">
        <f>VLOOKUP($C649,'Daily_BU설비데이터 '!$C$20:$T$1000,8,0)</f>
        <v>#N/A</v>
      </c>
      <c r="K649" s="58" t="e">
        <f>VLOOKUP($C649,'Daily_BU설비데이터 '!$C$20:$T$1000,9,0)</f>
        <v>#N/A</v>
      </c>
      <c r="L649" s="59" t="e">
        <f t="shared" si="63"/>
        <v>#N/A</v>
      </c>
      <c r="M649" s="68" t="e">
        <f>VLOOKUP($C649,'Daily_BU설비데이터 '!$C$20:$T$1000,11,0)</f>
        <v>#N/A</v>
      </c>
      <c r="N649" s="68" t="e">
        <f>VLOOKUP($C649,'Daily_BU설비데이터 '!$C$20:$T$1000,12,0)</f>
        <v>#N/A</v>
      </c>
      <c r="O649" s="68" t="e">
        <f>VLOOKUP($C649,'Daily_BU설비데이터 '!$C$20:$T$1000,13,0)</f>
        <v>#N/A</v>
      </c>
      <c r="P649" s="68" t="e">
        <f>VLOOKUP($C649,'Daily_BU설비데이터 '!$C$20:$T$1000,14,0)</f>
        <v>#N/A</v>
      </c>
      <c r="Q649" s="99" t="e">
        <f t="shared" si="64"/>
        <v>#N/A</v>
      </c>
      <c r="R649" s="100" t="e">
        <f t="shared" si="65"/>
        <v>#N/A</v>
      </c>
      <c r="S649" s="83" t="e">
        <f>VLOOKUP($C649,'Daily_BU설비데이터 '!$C$20:$T$1000,17,0)</f>
        <v>#N/A</v>
      </c>
      <c r="T649" s="83" t="e">
        <f>VLOOKUP($C649,'Daily_BU설비데이터 '!$C$20:$T$1000,18,0)</f>
        <v>#N/A</v>
      </c>
      <c r="U649" s="101" t="e">
        <f t="shared" si="66"/>
        <v>#N/A</v>
      </c>
      <c r="V649" s="45"/>
      <c r="W649" s="45"/>
      <c r="X649" s="45"/>
      <c r="Y649" s="45"/>
      <c r="Z649" s="45"/>
      <c r="AA649" s="45"/>
    </row>
    <row r="650" spans="2:27" x14ac:dyDescent="0.45">
      <c r="B650" s="45" t="s">
        <v>456</v>
      </c>
      <c r="C650" s="90"/>
      <c r="D650" s="56"/>
      <c r="E650" s="57"/>
      <c r="F650" s="58" t="e">
        <f>VLOOKUP($C650,'Daily_BU설비데이터 '!$C$20:$T$1000,4,0)</f>
        <v>#N/A</v>
      </c>
      <c r="G650" s="58" t="e">
        <f>VLOOKUP($C650,'Daily_BU설비데이터 '!$C$20:$T$1000,5,0)</f>
        <v>#N/A</v>
      </c>
      <c r="H650" s="58" t="e">
        <f>VLOOKUP($C650,'Daily_BU설비데이터 '!$C$20:$T$1000,6,0)</f>
        <v>#N/A</v>
      </c>
      <c r="I650" s="58" t="e">
        <f>VLOOKUP($C650,'Daily_BU설비데이터 '!$C$20:$T$1000,7,0)</f>
        <v>#N/A</v>
      </c>
      <c r="J650" s="58" t="e">
        <f>VLOOKUP($C650,'Daily_BU설비데이터 '!$C$20:$T$1000,8,0)</f>
        <v>#N/A</v>
      </c>
      <c r="K650" s="58" t="e">
        <f>VLOOKUP($C650,'Daily_BU설비데이터 '!$C$20:$T$1000,9,0)</f>
        <v>#N/A</v>
      </c>
      <c r="L650" s="59" t="e">
        <f t="shared" si="63"/>
        <v>#N/A</v>
      </c>
      <c r="M650" s="68" t="e">
        <f>VLOOKUP($C650,'Daily_BU설비데이터 '!$C$20:$T$1000,11,0)</f>
        <v>#N/A</v>
      </c>
      <c r="N650" s="68" t="e">
        <f>VLOOKUP($C650,'Daily_BU설비데이터 '!$C$20:$T$1000,12,0)</f>
        <v>#N/A</v>
      </c>
      <c r="O650" s="68" t="e">
        <f>VLOOKUP($C650,'Daily_BU설비데이터 '!$C$20:$T$1000,13,0)</f>
        <v>#N/A</v>
      </c>
      <c r="P650" s="68" t="e">
        <f>VLOOKUP($C650,'Daily_BU설비데이터 '!$C$20:$T$1000,14,0)</f>
        <v>#N/A</v>
      </c>
      <c r="Q650" s="99" t="e">
        <f t="shared" si="64"/>
        <v>#N/A</v>
      </c>
      <c r="R650" s="100" t="e">
        <f t="shared" si="65"/>
        <v>#N/A</v>
      </c>
      <c r="S650" s="83" t="e">
        <f>VLOOKUP($C650,'Daily_BU설비데이터 '!$C$20:$T$1000,17,0)</f>
        <v>#N/A</v>
      </c>
      <c r="T650" s="83" t="e">
        <f>VLOOKUP($C650,'Daily_BU설비데이터 '!$C$20:$T$1000,18,0)</f>
        <v>#N/A</v>
      </c>
      <c r="U650" s="101" t="e">
        <f t="shared" si="66"/>
        <v>#N/A</v>
      </c>
      <c r="V650" s="45"/>
      <c r="W650" s="45"/>
      <c r="X650" s="45"/>
      <c r="Y650" s="45"/>
      <c r="Z650" s="45"/>
      <c r="AA650" s="45"/>
    </row>
    <row r="651" spans="2:27" x14ac:dyDescent="0.45">
      <c r="B651" s="45" t="s">
        <v>457</v>
      </c>
      <c r="C651" s="90"/>
      <c r="D651" s="56"/>
      <c r="E651" s="80"/>
      <c r="F651" s="58" t="e">
        <f>VLOOKUP($C651,'Daily_BU설비데이터 '!$C$20:$T$1000,4,0)</f>
        <v>#N/A</v>
      </c>
      <c r="G651" s="58" t="e">
        <f>VLOOKUP($C651,'Daily_BU설비데이터 '!$C$20:$T$1000,5,0)</f>
        <v>#N/A</v>
      </c>
      <c r="H651" s="58" t="e">
        <f>VLOOKUP($C651,'Daily_BU설비데이터 '!$C$20:$T$1000,6,0)</f>
        <v>#N/A</v>
      </c>
      <c r="I651" s="58" t="e">
        <f>VLOOKUP($C651,'Daily_BU설비데이터 '!$C$20:$T$1000,7,0)</f>
        <v>#N/A</v>
      </c>
      <c r="J651" s="58" t="e">
        <f>VLOOKUP($C651,'Daily_BU설비데이터 '!$C$20:$T$1000,8,0)</f>
        <v>#N/A</v>
      </c>
      <c r="K651" s="58" t="e">
        <f>VLOOKUP($C651,'Daily_BU설비데이터 '!$C$20:$T$1000,9,0)</f>
        <v>#N/A</v>
      </c>
      <c r="L651" s="59" t="e">
        <f t="shared" si="63"/>
        <v>#N/A</v>
      </c>
      <c r="M651" s="68" t="e">
        <f>VLOOKUP($C651,'Daily_BU설비데이터 '!$C$20:$T$1000,11,0)</f>
        <v>#N/A</v>
      </c>
      <c r="N651" s="68" t="e">
        <f>VLOOKUP($C651,'Daily_BU설비데이터 '!$C$20:$T$1000,12,0)</f>
        <v>#N/A</v>
      </c>
      <c r="O651" s="68" t="e">
        <f>VLOOKUP($C651,'Daily_BU설비데이터 '!$C$20:$T$1000,13,0)</f>
        <v>#N/A</v>
      </c>
      <c r="P651" s="68" t="e">
        <f>VLOOKUP($C651,'Daily_BU설비데이터 '!$C$20:$T$1000,14,0)</f>
        <v>#N/A</v>
      </c>
      <c r="Q651" s="99" t="e">
        <f t="shared" si="64"/>
        <v>#N/A</v>
      </c>
      <c r="R651" s="100" t="e">
        <f t="shared" si="65"/>
        <v>#N/A</v>
      </c>
      <c r="S651" s="83" t="e">
        <f>VLOOKUP($C651,'Daily_BU설비데이터 '!$C$20:$T$1000,17,0)</f>
        <v>#N/A</v>
      </c>
      <c r="T651" s="83" t="e">
        <f>VLOOKUP($C651,'Daily_BU설비데이터 '!$C$20:$T$1000,18,0)</f>
        <v>#N/A</v>
      </c>
      <c r="U651" s="101" t="e">
        <f t="shared" si="66"/>
        <v>#N/A</v>
      </c>
      <c r="V651" s="45"/>
      <c r="W651" s="45"/>
      <c r="X651" s="45"/>
      <c r="Y651" s="45"/>
      <c r="Z651" s="45"/>
      <c r="AA651" s="45"/>
    </row>
    <row r="652" spans="2:27" x14ac:dyDescent="0.45">
      <c r="B652" s="45" t="s">
        <v>458</v>
      </c>
      <c r="C652" s="90"/>
      <c r="D652" s="56"/>
      <c r="E652" s="84"/>
      <c r="F652" s="58" t="e">
        <f>VLOOKUP($C652,'Daily_BU설비데이터 '!$C$20:$T$1000,4,0)</f>
        <v>#N/A</v>
      </c>
      <c r="G652" s="58" t="e">
        <f>VLOOKUP($C652,'Daily_BU설비데이터 '!$C$20:$T$1000,5,0)</f>
        <v>#N/A</v>
      </c>
      <c r="H652" s="58" t="e">
        <f>VLOOKUP($C652,'Daily_BU설비데이터 '!$C$20:$T$1000,6,0)</f>
        <v>#N/A</v>
      </c>
      <c r="I652" s="58" t="e">
        <f>VLOOKUP($C652,'Daily_BU설비데이터 '!$C$20:$T$1000,7,0)</f>
        <v>#N/A</v>
      </c>
      <c r="J652" s="58" t="e">
        <f>VLOOKUP($C652,'Daily_BU설비데이터 '!$C$20:$T$1000,8,0)</f>
        <v>#N/A</v>
      </c>
      <c r="K652" s="58" t="e">
        <f>VLOOKUP($C652,'Daily_BU설비데이터 '!$C$20:$T$1000,9,0)</f>
        <v>#N/A</v>
      </c>
      <c r="L652" s="59" t="e">
        <f t="shared" si="63"/>
        <v>#N/A</v>
      </c>
      <c r="M652" s="68" t="e">
        <f>VLOOKUP($C652,'Daily_BU설비데이터 '!$C$20:$T$1000,11,0)</f>
        <v>#N/A</v>
      </c>
      <c r="N652" s="68" t="e">
        <f>VLOOKUP($C652,'Daily_BU설비데이터 '!$C$20:$T$1000,12,0)</f>
        <v>#N/A</v>
      </c>
      <c r="O652" s="68" t="e">
        <f>VLOOKUP($C652,'Daily_BU설비데이터 '!$C$20:$T$1000,13,0)</f>
        <v>#N/A</v>
      </c>
      <c r="P652" s="68" t="e">
        <f>VLOOKUP($C652,'Daily_BU설비데이터 '!$C$20:$T$1000,14,0)</f>
        <v>#N/A</v>
      </c>
      <c r="Q652" s="99" t="e">
        <f t="shared" si="64"/>
        <v>#N/A</v>
      </c>
      <c r="R652" s="100" t="e">
        <f t="shared" si="65"/>
        <v>#N/A</v>
      </c>
      <c r="S652" s="83" t="e">
        <f>VLOOKUP($C652,'Daily_BU설비데이터 '!$C$20:$T$1000,17,0)</f>
        <v>#N/A</v>
      </c>
      <c r="T652" s="83" t="e">
        <f>VLOOKUP($C652,'Daily_BU설비데이터 '!$C$20:$T$1000,18,0)</f>
        <v>#N/A</v>
      </c>
      <c r="U652" s="101" t="e">
        <f t="shared" si="66"/>
        <v>#N/A</v>
      </c>
      <c r="V652" s="45"/>
      <c r="W652" s="45"/>
      <c r="X652" s="45"/>
      <c r="Y652" s="45"/>
      <c r="Z652" s="45"/>
      <c r="AA652" s="45"/>
    </row>
    <row r="653" spans="2:27" x14ac:dyDescent="0.45">
      <c r="B653" s="45" t="s">
        <v>459</v>
      </c>
      <c r="C653" s="90"/>
      <c r="D653" s="56"/>
      <c r="E653" s="57"/>
      <c r="F653" s="58" t="e">
        <f>VLOOKUP($C653,'Daily_BU설비데이터 '!$C$20:$T$1000,4,0)</f>
        <v>#N/A</v>
      </c>
      <c r="G653" s="58" t="e">
        <f>VLOOKUP($C653,'Daily_BU설비데이터 '!$C$20:$T$1000,5,0)</f>
        <v>#N/A</v>
      </c>
      <c r="H653" s="58" t="e">
        <f>VLOOKUP($C653,'Daily_BU설비데이터 '!$C$20:$T$1000,6,0)</f>
        <v>#N/A</v>
      </c>
      <c r="I653" s="58" t="e">
        <f>VLOOKUP($C653,'Daily_BU설비데이터 '!$C$20:$T$1000,7,0)</f>
        <v>#N/A</v>
      </c>
      <c r="J653" s="58" t="e">
        <f>VLOOKUP($C653,'Daily_BU설비데이터 '!$C$20:$T$1000,8,0)</f>
        <v>#N/A</v>
      </c>
      <c r="K653" s="58" t="e">
        <f>VLOOKUP($C653,'Daily_BU설비데이터 '!$C$20:$T$1000,9,0)</f>
        <v>#N/A</v>
      </c>
      <c r="L653" s="59" t="e">
        <f t="shared" si="63"/>
        <v>#N/A</v>
      </c>
      <c r="M653" s="68" t="e">
        <f>VLOOKUP($C653,'Daily_BU설비데이터 '!$C$20:$T$1000,11,0)</f>
        <v>#N/A</v>
      </c>
      <c r="N653" s="68" t="e">
        <f>VLOOKUP($C653,'Daily_BU설비데이터 '!$C$20:$T$1000,12,0)</f>
        <v>#N/A</v>
      </c>
      <c r="O653" s="68" t="e">
        <f>VLOOKUP($C653,'Daily_BU설비데이터 '!$C$20:$T$1000,13,0)</f>
        <v>#N/A</v>
      </c>
      <c r="P653" s="68" t="e">
        <f>VLOOKUP($C653,'Daily_BU설비데이터 '!$C$20:$T$1000,14,0)</f>
        <v>#N/A</v>
      </c>
      <c r="Q653" s="99" t="e">
        <f t="shared" si="64"/>
        <v>#N/A</v>
      </c>
      <c r="R653" s="100" t="e">
        <f t="shared" si="65"/>
        <v>#N/A</v>
      </c>
      <c r="S653" s="83" t="e">
        <f>VLOOKUP($C653,'Daily_BU설비데이터 '!$C$20:$T$1000,17,0)</f>
        <v>#N/A</v>
      </c>
      <c r="T653" s="83" t="e">
        <f>VLOOKUP($C653,'Daily_BU설비데이터 '!$C$20:$T$1000,18,0)</f>
        <v>#N/A</v>
      </c>
      <c r="U653" s="101" t="e">
        <f t="shared" si="66"/>
        <v>#N/A</v>
      </c>
      <c r="V653" s="45"/>
      <c r="W653" s="45"/>
      <c r="X653" s="45"/>
      <c r="Y653" s="45"/>
      <c r="Z653" s="45"/>
      <c r="AA653" s="45"/>
    </row>
    <row r="654" spans="2:27" x14ac:dyDescent="0.45">
      <c r="B654" s="45" t="s">
        <v>460</v>
      </c>
      <c r="C654" s="90"/>
      <c r="D654" s="56"/>
      <c r="E654" s="80"/>
      <c r="F654" s="58" t="e">
        <f>VLOOKUP($C654,'Daily_BU설비데이터 '!$C$20:$T$1000,4,0)</f>
        <v>#N/A</v>
      </c>
      <c r="G654" s="58" t="e">
        <f>VLOOKUP($C654,'Daily_BU설비데이터 '!$C$20:$T$1000,5,0)</f>
        <v>#N/A</v>
      </c>
      <c r="H654" s="58" t="e">
        <f>VLOOKUP($C654,'Daily_BU설비데이터 '!$C$20:$T$1000,6,0)</f>
        <v>#N/A</v>
      </c>
      <c r="I654" s="58" t="e">
        <f>VLOOKUP($C654,'Daily_BU설비데이터 '!$C$20:$T$1000,7,0)</f>
        <v>#N/A</v>
      </c>
      <c r="J654" s="58" t="e">
        <f>VLOOKUP($C654,'Daily_BU설비데이터 '!$C$20:$T$1000,8,0)</f>
        <v>#N/A</v>
      </c>
      <c r="K654" s="58" t="e">
        <f>VLOOKUP($C654,'Daily_BU설비데이터 '!$C$20:$T$1000,9,0)</f>
        <v>#N/A</v>
      </c>
      <c r="L654" s="59" t="e">
        <f t="shared" si="63"/>
        <v>#N/A</v>
      </c>
      <c r="M654" s="68" t="e">
        <f>VLOOKUP($C654,'Daily_BU설비데이터 '!$C$20:$T$1000,11,0)</f>
        <v>#N/A</v>
      </c>
      <c r="N654" s="68" t="e">
        <f>VLOOKUP($C654,'Daily_BU설비데이터 '!$C$20:$T$1000,12,0)</f>
        <v>#N/A</v>
      </c>
      <c r="O654" s="68" t="e">
        <f>VLOOKUP($C654,'Daily_BU설비데이터 '!$C$20:$T$1000,13,0)</f>
        <v>#N/A</v>
      </c>
      <c r="P654" s="68" t="e">
        <f>VLOOKUP($C654,'Daily_BU설비데이터 '!$C$20:$T$1000,14,0)</f>
        <v>#N/A</v>
      </c>
      <c r="Q654" s="99" t="e">
        <f t="shared" si="64"/>
        <v>#N/A</v>
      </c>
      <c r="R654" s="100" t="e">
        <f t="shared" si="65"/>
        <v>#N/A</v>
      </c>
      <c r="S654" s="83" t="e">
        <f>VLOOKUP($C654,'Daily_BU설비데이터 '!$C$20:$T$1000,17,0)</f>
        <v>#N/A</v>
      </c>
      <c r="T654" s="83" t="e">
        <f>VLOOKUP($C654,'Daily_BU설비데이터 '!$C$20:$T$1000,18,0)</f>
        <v>#N/A</v>
      </c>
      <c r="U654" s="101" t="e">
        <f t="shared" si="66"/>
        <v>#N/A</v>
      </c>
      <c r="V654" s="45"/>
      <c r="W654" s="45"/>
      <c r="X654" s="45"/>
      <c r="Y654" s="45"/>
      <c r="Z654" s="45"/>
      <c r="AA654" s="45"/>
    </row>
    <row r="655" spans="2:27" x14ac:dyDescent="0.45">
      <c r="B655" s="45" t="s">
        <v>461</v>
      </c>
      <c r="C655" s="90"/>
      <c r="D655" s="56"/>
      <c r="E655" s="84"/>
      <c r="F655" s="58" t="e">
        <f>VLOOKUP($C655,'Daily_BU설비데이터 '!$C$20:$T$1000,4,0)</f>
        <v>#N/A</v>
      </c>
      <c r="G655" s="58" t="e">
        <f>VLOOKUP($C655,'Daily_BU설비데이터 '!$C$20:$T$1000,5,0)</f>
        <v>#N/A</v>
      </c>
      <c r="H655" s="58" t="e">
        <f>VLOOKUP($C655,'Daily_BU설비데이터 '!$C$20:$T$1000,6,0)</f>
        <v>#N/A</v>
      </c>
      <c r="I655" s="58" t="e">
        <f>VLOOKUP($C655,'Daily_BU설비데이터 '!$C$20:$T$1000,7,0)</f>
        <v>#N/A</v>
      </c>
      <c r="J655" s="58" t="e">
        <f>VLOOKUP($C655,'Daily_BU설비데이터 '!$C$20:$T$1000,8,0)</f>
        <v>#N/A</v>
      </c>
      <c r="K655" s="58" t="e">
        <f>VLOOKUP($C655,'Daily_BU설비데이터 '!$C$20:$T$1000,9,0)</f>
        <v>#N/A</v>
      </c>
      <c r="L655" s="59" t="e">
        <f t="shared" si="63"/>
        <v>#N/A</v>
      </c>
      <c r="M655" s="68" t="e">
        <f>VLOOKUP($C655,'Daily_BU설비데이터 '!$C$20:$T$1000,11,0)</f>
        <v>#N/A</v>
      </c>
      <c r="N655" s="68" t="e">
        <f>VLOOKUP($C655,'Daily_BU설비데이터 '!$C$20:$T$1000,12,0)</f>
        <v>#N/A</v>
      </c>
      <c r="O655" s="68" t="e">
        <f>VLOOKUP($C655,'Daily_BU설비데이터 '!$C$20:$T$1000,13,0)</f>
        <v>#N/A</v>
      </c>
      <c r="P655" s="68" t="e">
        <f>VLOOKUP($C655,'Daily_BU설비데이터 '!$C$20:$T$1000,14,0)</f>
        <v>#N/A</v>
      </c>
      <c r="Q655" s="99" t="e">
        <f t="shared" si="64"/>
        <v>#N/A</v>
      </c>
      <c r="R655" s="100" t="e">
        <f t="shared" si="65"/>
        <v>#N/A</v>
      </c>
      <c r="S655" s="83" t="e">
        <f>VLOOKUP($C655,'Daily_BU설비데이터 '!$C$20:$T$1000,17,0)</f>
        <v>#N/A</v>
      </c>
      <c r="T655" s="83" t="e">
        <f>VLOOKUP($C655,'Daily_BU설비데이터 '!$C$20:$T$1000,18,0)</f>
        <v>#N/A</v>
      </c>
      <c r="U655" s="101" t="e">
        <f t="shared" si="66"/>
        <v>#N/A</v>
      </c>
      <c r="V655" s="45"/>
      <c r="W655" s="45"/>
      <c r="X655" s="45"/>
      <c r="Y655" s="45"/>
      <c r="Z655" s="45"/>
      <c r="AA655" s="45"/>
    </row>
    <row r="656" spans="2:27" x14ac:dyDescent="0.45">
      <c r="B656" s="45" t="s">
        <v>462</v>
      </c>
      <c r="C656" s="90"/>
      <c r="D656" s="56"/>
      <c r="E656" s="57"/>
      <c r="F656" s="58" t="e">
        <f>VLOOKUP($C656,'Daily_BU설비데이터 '!$C$20:$T$1000,4,0)</f>
        <v>#N/A</v>
      </c>
      <c r="G656" s="58" t="e">
        <f>VLOOKUP($C656,'Daily_BU설비데이터 '!$C$20:$T$1000,5,0)</f>
        <v>#N/A</v>
      </c>
      <c r="H656" s="58" t="e">
        <f>VLOOKUP($C656,'Daily_BU설비데이터 '!$C$20:$T$1000,6,0)</f>
        <v>#N/A</v>
      </c>
      <c r="I656" s="58" t="e">
        <f>VLOOKUP($C656,'Daily_BU설비데이터 '!$C$20:$T$1000,7,0)</f>
        <v>#N/A</v>
      </c>
      <c r="J656" s="58" t="e">
        <f>VLOOKUP($C656,'Daily_BU설비데이터 '!$C$20:$T$1000,8,0)</f>
        <v>#N/A</v>
      </c>
      <c r="K656" s="58" t="e">
        <f>VLOOKUP($C656,'Daily_BU설비데이터 '!$C$20:$T$1000,9,0)</f>
        <v>#N/A</v>
      </c>
      <c r="L656" s="59" t="e">
        <f t="shared" si="63"/>
        <v>#N/A</v>
      </c>
      <c r="M656" s="68" t="e">
        <f>VLOOKUP($C656,'Daily_BU설비데이터 '!$C$20:$T$1000,11,0)</f>
        <v>#N/A</v>
      </c>
      <c r="N656" s="68" t="e">
        <f>VLOOKUP($C656,'Daily_BU설비데이터 '!$C$20:$T$1000,12,0)</f>
        <v>#N/A</v>
      </c>
      <c r="O656" s="68" t="e">
        <f>VLOOKUP($C656,'Daily_BU설비데이터 '!$C$20:$T$1000,13,0)</f>
        <v>#N/A</v>
      </c>
      <c r="P656" s="68" t="e">
        <f>VLOOKUP($C656,'Daily_BU설비데이터 '!$C$20:$T$1000,14,0)</f>
        <v>#N/A</v>
      </c>
      <c r="Q656" s="99" t="e">
        <f t="shared" si="64"/>
        <v>#N/A</v>
      </c>
      <c r="R656" s="100" t="e">
        <f t="shared" si="65"/>
        <v>#N/A</v>
      </c>
      <c r="S656" s="83" t="e">
        <f>VLOOKUP($C656,'Daily_BU설비데이터 '!$C$20:$T$1000,17,0)</f>
        <v>#N/A</v>
      </c>
      <c r="T656" s="83" t="e">
        <f>VLOOKUP($C656,'Daily_BU설비데이터 '!$C$20:$T$1000,18,0)</f>
        <v>#N/A</v>
      </c>
      <c r="U656" s="101" t="e">
        <f t="shared" si="66"/>
        <v>#N/A</v>
      </c>
      <c r="V656" s="45"/>
      <c r="W656" s="45"/>
      <c r="X656" s="45"/>
      <c r="Y656" s="45"/>
      <c r="Z656" s="45"/>
      <c r="AA656" s="45"/>
    </row>
    <row r="657" spans="2:27" x14ac:dyDescent="0.45">
      <c r="B657" s="45" t="s">
        <v>463</v>
      </c>
      <c r="C657" s="90"/>
      <c r="D657" s="56"/>
      <c r="E657" s="80"/>
      <c r="F657" s="58" t="e">
        <f>VLOOKUP($C657,'Daily_BU설비데이터 '!$C$20:$T$1000,4,0)</f>
        <v>#N/A</v>
      </c>
      <c r="G657" s="58" t="e">
        <f>VLOOKUP($C657,'Daily_BU설비데이터 '!$C$20:$T$1000,5,0)</f>
        <v>#N/A</v>
      </c>
      <c r="H657" s="58" t="e">
        <f>VLOOKUP($C657,'Daily_BU설비데이터 '!$C$20:$T$1000,6,0)</f>
        <v>#N/A</v>
      </c>
      <c r="I657" s="58" t="e">
        <f>VLOOKUP($C657,'Daily_BU설비데이터 '!$C$20:$T$1000,7,0)</f>
        <v>#N/A</v>
      </c>
      <c r="J657" s="58" t="e">
        <f>VLOOKUP($C657,'Daily_BU설비데이터 '!$C$20:$T$1000,8,0)</f>
        <v>#N/A</v>
      </c>
      <c r="K657" s="58" t="e">
        <f>VLOOKUP($C657,'Daily_BU설비데이터 '!$C$20:$T$1000,9,0)</f>
        <v>#N/A</v>
      </c>
      <c r="L657" s="59" t="e">
        <f t="shared" si="63"/>
        <v>#N/A</v>
      </c>
      <c r="M657" s="68" t="e">
        <f>VLOOKUP($C657,'Daily_BU설비데이터 '!$C$20:$T$1000,11,0)</f>
        <v>#N/A</v>
      </c>
      <c r="N657" s="68" t="e">
        <f>VLOOKUP($C657,'Daily_BU설비데이터 '!$C$20:$T$1000,12,0)</f>
        <v>#N/A</v>
      </c>
      <c r="O657" s="68" t="e">
        <f>VLOOKUP($C657,'Daily_BU설비데이터 '!$C$20:$T$1000,13,0)</f>
        <v>#N/A</v>
      </c>
      <c r="P657" s="68" t="e">
        <f>VLOOKUP($C657,'Daily_BU설비데이터 '!$C$20:$T$1000,14,0)</f>
        <v>#N/A</v>
      </c>
      <c r="Q657" s="99" t="e">
        <f t="shared" si="64"/>
        <v>#N/A</v>
      </c>
      <c r="R657" s="100" t="e">
        <f t="shared" si="65"/>
        <v>#N/A</v>
      </c>
      <c r="S657" s="83" t="e">
        <f>VLOOKUP($C657,'Daily_BU설비데이터 '!$C$20:$T$1000,17,0)</f>
        <v>#N/A</v>
      </c>
      <c r="T657" s="83" t="e">
        <f>VLOOKUP($C657,'Daily_BU설비데이터 '!$C$20:$T$1000,18,0)</f>
        <v>#N/A</v>
      </c>
      <c r="U657" s="101" t="e">
        <f t="shared" si="66"/>
        <v>#N/A</v>
      </c>
      <c r="V657" s="45"/>
      <c r="W657" s="45"/>
      <c r="X657" s="45"/>
      <c r="Y657" s="45"/>
      <c r="Z657" s="45"/>
      <c r="AA657" s="45"/>
    </row>
    <row r="658" spans="2:27" x14ac:dyDescent="0.45">
      <c r="B658" s="45" t="s">
        <v>464</v>
      </c>
      <c r="C658" s="90"/>
      <c r="D658" s="56"/>
      <c r="E658" s="84"/>
      <c r="F658" s="58" t="e">
        <f>VLOOKUP($C658,'Daily_BU설비데이터 '!$C$20:$T$1000,4,0)</f>
        <v>#N/A</v>
      </c>
      <c r="G658" s="58" t="e">
        <f>VLOOKUP($C658,'Daily_BU설비데이터 '!$C$20:$T$1000,5,0)</f>
        <v>#N/A</v>
      </c>
      <c r="H658" s="58" t="e">
        <f>VLOOKUP($C658,'Daily_BU설비데이터 '!$C$20:$T$1000,6,0)</f>
        <v>#N/A</v>
      </c>
      <c r="I658" s="58" t="e">
        <f>VLOOKUP($C658,'Daily_BU설비데이터 '!$C$20:$T$1000,7,0)</f>
        <v>#N/A</v>
      </c>
      <c r="J658" s="58" t="e">
        <f>VLOOKUP($C658,'Daily_BU설비데이터 '!$C$20:$T$1000,8,0)</f>
        <v>#N/A</v>
      </c>
      <c r="K658" s="58" t="e">
        <f>VLOOKUP($C658,'Daily_BU설비데이터 '!$C$20:$T$1000,9,0)</f>
        <v>#N/A</v>
      </c>
      <c r="L658" s="59" t="e">
        <f t="shared" ref="L658:L697" si="67">1/2*((F658*I658+H658*K658+J658*G658)-(G658*H658+I658*J658+K658*F658))/0.1582*100</f>
        <v>#N/A</v>
      </c>
      <c r="M658" s="68" t="e">
        <f>VLOOKUP($C658,'Daily_BU설비데이터 '!$C$20:$T$1000,11,0)</f>
        <v>#N/A</v>
      </c>
      <c r="N658" s="68" t="e">
        <f>VLOOKUP($C658,'Daily_BU설비데이터 '!$C$20:$T$1000,12,0)</f>
        <v>#N/A</v>
      </c>
      <c r="O658" s="68" t="e">
        <f>VLOOKUP($C658,'Daily_BU설비데이터 '!$C$20:$T$1000,13,0)</f>
        <v>#N/A</v>
      </c>
      <c r="P658" s="68" t="e">
        <f>VLOOKUP($C658,'Daily_BU설비데이터 '!$C$20:$T$1000,14,0)</f>
        <v>#N/A</v>
      </c>
      <c r="Q658" s="99" t="e">
        <f t="shared" ref="Q658:Q697" si="68">O658/P658</f>
        <v>#N/A</v>
      </c>
      <c r="R658" s="100" t="e">
        <f t="shared" ref="R658:R697" si="69">SQRT(POWER(M658-$M$12,2)+POWER(N658-$N$12,2))</f>
        <v>#N/A</v>
      </c>
      <c r="S658" s="83" t="e">
        <f>VLOOKUP($C658,'Daily_BU설비데이터 '!$C$20:$T$1000,17,0)</f>
        <v>#N/A</v>
      </c>
      <c r="T658" s="83" t="e">
        <f>VLOOKUP($C658,'Daily_BU설비데이터 '!$C$20:$T$1000,18,0)</f>
        <v>#N/A</v>
      </c>
      <c r="U658" s="101" t="e">
        <f t="shared" ref="U658:U697" si="70">(-449*((M658-0.332)/(N658-0.1858))^3)+(3525*((M658-0.332)/(N658-0.1858))^2)+(-6823.3*(M658-0.332)/(N658-0.1858))+5520.33</f>
        <v>#N/A</v>
      </c>
      <c r="V658" s="45"/>
      <c r="W658" s="45"/>
      <c r="X658" s="45"/>
      <c r="Y658" s="45"/>
      <c r="Z658" s="45"/>
      <c r="AA658" s="45"/>
    </row>
    <row r="659" spans="2:27" x14ac:dyDescent="0.45">
      <c r="B659" s="45" t="s">
        <v>465</v>
      </c>
      <c r="C659" s="90"/>
      <c r="D659" s="56"/>
      <c r="E659" s="57"/>
      <c r="F659" s="58" t="e">
        <f>VLOOKUP($C659,'Daily_BU설비데이터 '!$C$20:$T$1000,4,0)</f>
        <v>#N/A</v>
      </c>
      <c r="G659" s="58" t="e">
        <f>VLOOKUP($C659,'Daily_BU설비데이터 '!$C$20:$T$1000,5,0)</f>
        <v>#N/A</v>
      </c>
      <c r="H659" s="58" t="e">
        <f>VLOOKUP($C659,'Daily_BU설비데이터 '!$C$20:$T$1000,6,0)</f>
        <v>#N/A</v>
      </c>
      <c r="I659" s="58" t="e">
        <f>VLOOKUP($C659,'Daily_BU설비데이터 '!$C$20:$T$1000,7,0)</f>
        <v>#N/A</v>
      </c>
      <c r="J659" s="58" t="e">
        <f>VLOOKUP($C659,'Daily_BU설비데이터 '!$C$20:$T$1000,8,0)</f>
        <v>#N/A</v>
      </c>
      <c r="K659" s="58" t="e">
        <f>VLOOKUP($C659,'Daily_BU설비데이터 '!$C$20:$T$1000,9,0)</f>
        <v>#N/A</v>
      </c>
      <c r="L659" s="59" t="e">
        <f t="shared" si="67"/>
        <v>#N/A</v>
      </c>
      <c r="M659" s="68" t="e">
        <f>VLOOKUP($C659,'Daily_BU설비데이터 '!$C$20:$T$1000,11,0)</f>
        <v>#N/A</v>
      </c>
      <c r="N659" s="68" t="e">
        <f>VLOOKUP($C659,'Daily_BU설비데이터 '!$C$20:$T$1000,12,0)</f>
        <v>#N/A</v>
      </c>
      <c r="O659" s="68" t="e">
        <f>VLOOKUP($C659,'Daily_BU설비데이터 '!$C$20:$T$1000,13,0)</f>
        <v>#N/A</v>
      </c>
      <c r="P659" s="68" t="e">
        <f>VLOOKUP($C659,'Daily_BU설비데이터 '!$C$20:$T$1000,14,0)</f>
        <v>#N/A</v>
      </c>
      <c r="Q659" s="99" t="e">
        <f t="shared" si="68"/>
        <v>#N/A</v>
      </c>
      <c r="R659" s="100" t="e">
        <f t="shared" si="69"/>
        <v>#N/A</v>
      </c>
      <c r="S659" s="83" t="e">
        <f>VLOOKUP($C659,'Daily_BU설비데이터 '!$C$20:$T$1000,17,0)</f>
        <v>#N/A</v>
      </c>
      <c r="T659" s="83" t="e">
        <f>VLOOKUP($C659,'Daily_BU설비데이터 '!$C$20:$T$1000,18,0)</f>
        <v>#N/A</v>
      </c>
      <c r="U659" s="101" t="e">
        <f t="shared" si="70"/>
        <v>#N/A</v>
      </c>
      <c r="V659" s="45"/>
      <c r="W659" s="45"/>
      <c r="X659" s="45"/>
      <c r="Y659" s="45"/>
      <c r="Z659" s="45"/>
      <c r="AA659" s="45"/>
    </row>
    <row r="660" spans="2:27" x14ac:dyDescent="0.45">
      <c r="B660" s="45" t="s">
        <v>466</v>
      </c>
      <c r="C660" s="90"/>
      <c r="D660" s="56"/>
      <c r="E660" s="80"/>
      <c r="F660" s="58" t="e">
        <f>VLOOKUP($C660,'Daily_BU설비데이터 '!$C$20:$T$1000,4,0)</f>
        <v>#N/A</v>
      </c>
      <c r="G660" s="58" t="e">
        <f>VLOOKUP($C660,'Daily_BU설비데이터 '!$C$20:$T$1000,5,0)</f>
        <v>#N/A</v>
      </c>
      <c r="H660" s="58" t="e">
        <f>VLOOKUP($C660,'Daily_BU설비데이터 '!$C$20:$T$1000,6,0)</f>
        <v>#N/A</v>
      </c>
      <c r="I660" s="58" t="e">
        <f>VLOOKUP($C660,'Daily_BU설비데이터 '!$C$20:$T$1000,7,0)</f>
        <v>#N/A</v>
      </c>
      <c r="J660" s="58" t="e">
        <f>VLOOKUP($C660,'Daily_BU설비데이터 '!$C$20:$T$1000,8,0)</f>
        <v>#N/A</v>
      </c>
      <c r="K660" s="58" t="e">
        <f>VLOOKUP($C660,'Daily_BU설비데이터 '!$C$20:$T$1000,9,0)</f>
        <v>#N/A</v>
      </c>
      <c r="L660" s="59" t="e">
        <f t="shared" si="67"/>
        <v>#N/A</v>
      </c>
      <c r="M660" s="68" t="e">
        <f>VLOOKUP($C660,'Daily_BU설비데이터 '!$C$20:$T$1000,11,0)</f>
        <v>#N/A</v>
      </c>
      <c r="N660" s="68" t="e">
        <f>VLOOKUP($C660,'Daily_BU설비데이터 '!$C$20:$T$1000,12,0)</f>
        <v>#N/A</v>
      </c>
      <c r="O660" s="68" t="e">
        <f>VLOOKUP($C660,'Daily_BU설비데이터 '!$C$20:$T$1000,13,0)</f>
        <v>#N/A</v>
      </c>
      <c r="P660" s="68" t="e">
        <f>VLOOKUP($C660,'Daily_BU설비데이터 '!$C$20:$T$1000,14,0)</f>
        <v>#N/A</v>
      </c>
      <c r="Q660" s="99" t="e">
        <f t="shared" si="68"/>
        <v>#N/A</v>
      </c>
      <c r="R660" s="100" t="e">
        <f t="shared" si="69"/>
        <v>#N/A</v>
      </c>
      <c r="S660" s="83" t="e">
        <f>VLOOKUP($C660,'Daily_BU설비데이터 '!$C$20:$T$1000,17,0)</f>
        <v>#N/A</v>
      </c>
      <c r="T660" s="83" t="e">
        <f>VLOOKUP($C660,'Daily_BU설비데이터 '!$C$20:$T$1000,18,0)</f>
        <v>#N/A</v>
      </c>
      <c r="U660" s="101" t="e">
        <f t="shared" si="70"/>
        <v>#N/A</v>
      </c>
      <c r="V660" s="45"/>
      <c r="W660" s="45"/>
      <c r="X660" s="45"/>
      <c r="Y660" s="45"/>
      <c r="Z660" s="45"/>
      <c r="AA660" s="45"/>
    </row>
    <row r="661" spans="2:27" x14ac:dyDescent="0.45">
      <c r="B661" s="45" t="s">
        <v>467</v>
      </c>
      <c r="C661" s="90"/>
      <c r="D661" s="56"/>
      <c r="E661" s="84"/>
      <c r="F661" s="58" t="e">
        <f>VLOOKUP($C661,'Daily_BU설비데이터 '!$C$20:$T$1000,4,0)</f>
        <v>#N/A</v>
      </c>
      <c r="G661" s="58" t="e">
        <f>VLOOKUP($C661,'Daily_BU설비데이터 '!$C$20:$T$1000,5,0)</f>
        <v>#N/A</v>
      </c>
      <c r="H661" s="58" t="e">
        <f>VLOOKUP($C661,'Daily_BU설비데이터 '!$C$20:$T$1000,6,0)</f>
        <v>#N/A</v>
      </c>
      <c r="I661" s="58" t="e">
        <f>VLOOKUP($C661,'Daily_BU설비데이터 '!$C$20:$T$1000,7,0)</f>
        <v>#N/A</v>
      </c>
      <c r="J661" s="58" t="e">
        <f>VLOOKUP($C661,'Daily_BU설비데이터 '!$C$20:$T$1000,8,0)</f>
        <v>#N/A</v>
      </c>
      <c r="K661" s="58" t="e">
        <f>VLOOKUP($C661,'Daily_BU설비데이터 '!$C$20:$T$1000,9,0)</f>
        <v>#N/A</v>
      </c>
      <c r="L661" s="59" t="e">
        <f t="shared" si="67"/>
        <v>#N/A</v>
      </c>
      <c r="M661" s="68" t="e">
        <f>VLOOKUP($C661,'Daily_BU설비데이터 '!$C$20:$T$1000,11,0)</f>
        <v>#N/A</v>
      </c>
      <c r="N661" s="68" t="e">
        <f>VLOOKUP($C661,'Daily_BU설비데이터 '!$C$20:$T$1000,12,0)</f>
        <v>#N/A</v>
      </c>
      <c r="O661" s="68" t="e">
        <f>VLOOKUP($C661,'Daily_BU설비데이터 '!$C$20:$T$1000,13,0)</f>
        <v>#N/A</v>
      </c>
      <c r="P661" s="68" t="e">
        <f>VLOOKUP($C661,'Daily_BU설비데이터 '!$C$20:$T$1000,14,0)</f>
        <v>#N/A</v>
      </c>
      <c r="Q661" s="99" t="e">
        <f t="shared" si="68"/>
        <v>#N/A</v>
      </c>
      <c r="R661" s="100" t="e">
        <f t="shared" si="69"/>
        <v>#N/A</v>
      </c>
      <c r="S661" s="83" t="e">
        <f>VLOOKUP($C661,'Daily_BU설비데이터 '!$C$20:$T$1000,17,0)</f>
        <v>#N/A</v>
      </c>
      <c r="T661" s="83" t="e">
        <f>VLOOKUP($C661,'Daily_BU설비데이터 '!$C$20:$T$1000,18,0)</f>
        <v>#N/A</v>
      </c>
      <c r="U661" s="101" t="e">
        <f t="shared" si="70"/>
        <v>#N/A</v>
      </c>
      <c r="V661" s="45"/>
      <c r="W661" s="45"/>
      <c r="X661" s="45"/>
      <c r="Y661" s="45"/>
      <c r="Z661" s="45"/>
      <c r="AA661" s="45"/>
    </row>
    <row r="662" spans="2:27" x14ac:dyDescent="0.45">
      <c r="B662" s="45" t="s">
        <v>468</v>
      </c>
      <c r="C662" s="90"/>
      <c r="D662" s="56"/>
      <c r="E662" s="57"/>
      <c r="F662" s="58" t="e">
        <f>VLOOKUP($C662,'Daily_BU설비데이터 '!$C$20:$T$1000,4,0)</f>
        <v>#N/A</v>
      </c>
      <c r="G662" s="58" t="e">
        <f>VLOOKUP($C662,'Daily_BU설비데이터 '!$C$20:$T$1000,5,0)</f>
        <v>#N/A</v>
      </c>
      <c r="H662" s="58" t="e">
        <f>VLOOKUP($C662,'Daily_BU설비데이터 '!$C$20:$T$1000,6,0)</f>
        <v>#N/A</v>
      </c>
      <c r="I662" s="58" t="e">
        <f>VLOOKUP($C662,'Daily_BU설비데이터 '!$C$20:$T$1000,7,0)</f>
        <v>#N/A</v>
      </c>
      <c r="J662" s="58" t="e">
        <f>VLOOKUP($C662,'Daily_BU설비데이터 '!$C$20:$T$1000,8,0)</f>
        <v>#N/A</v>
      </c>
      <c r="K662" s="58" t="e">
        <f>VLOOKUP($C662,'Daily_BU설비데이터 '!$C$20:$T$1000,9,0)</f>
        <v>#N/A</v>
      </c>
      <c r="L662" s="59" t="e">
        <f t="shared" si="67"/>
        <v>#N/A</v>
      </c>
      <c r="M662" s="68" t="e">
        <f>VLOOKUP($C662,'Daily_BU설비데이터 '!$C$20:$T$1000,11,0)</f>
        <v>#N/A</v>
      </c>
      <c r="N662" s="68" t="e">
        <f>VLOOKUP($C662,'Daily_BU설비데이터 '!$C$20:$T$1000,12,0)</f>
        <v>#N/A</v>
      </c>
      <c r="O662" s="68" t="e">
        <f>VLOOKUP($C662,'Daily_BU설비데이터 '!$C$20:$T$1000,13,0)</f>
        <v>#N/A</v>
      </c>
      <c r="P662" s="68" t="e">
        <f>VLOOKUP($C662,'Daily_BU설비데이터 '!$C$20:$T$1000,14,0)</f>
        <v>#N/A</v>
      </c>
      <c r="Q662" s="99" t="e">
        <f t="shared" si="68"/>
        <v>#N/A</v>
      </c>
      <c r="R662" s="100" t="e">
        <f t="shared" si="69"/>
        <v>#N/A</v>
      </c>
      <c r="S662" s="83" t="e">
        <f>VLOOKUP($C662,'Daily_BU설비데이터 '!$C$20:$T$1000,17,0)</f>
        <v>#N/A</v>
      </c>
      <c r="T662" s="83" t="e">
        <f>VLOOKUP($C662,'Daily_BU설비데이터 '!$C$20:$T$1000,18,0)</f>
        <v>#N/A</v>
      </c>
      <c r="U662" s="101" t="e">
        <f t="shared" si="70"/>
        <v>#N/A</v>
      </c>
      <c r="V662" s="45"/>
      <c r="W662" s="45"/>
      <c r="X662" s="45"/>
      <c r="Y662" s="45"/>
      <c r="Z662" s="45"/>
      <c r="AA662" s="45"/>
    </row>
    <row r="663" spans="2:27" x14ac:dyDescent="0.45">
      <c r="B663" s="45" t="s">
        <v>469</v>
      </c>
      <c r="C663" s="90"/>
      <c r="D663" s="56"/>
      <c r="E663" s="80"/>
      <c r="F663" s="58" t="e">
        <f>VLOOKUP($C663,'Daily_BU설비데이터 '!$C$20:$T$1000,4,0)</f>
        <v>#N/A</v>
      </c>
      <c r="G663" s="58" t="e">
        <f>VLOOKUP($C663,'Daily_BU설비데이터 '!$C$20:$T$1000,5,0)</f>
        <v>#N/A</v>
      </c>
      <c r="H663" s="58" t="e">
        <f>VLOOKUP($C663,'Daily_BU설비데이터 '!$C$20:$T$1000,6,0)</f>
        <v>#N/A</v>
      </c>
      <c r="I663" s="58" t="e">
        <f>VLOOKUP($C663,'Daily_BU설비데이터 '!$C$20:$T$1000,7,0)</f>
        <v>#N/A</v>
      </c>
      <c r="J663" s="58" t="e">
        <f>VLOOKUP($C663,'Daily_BU설비데이터 '!$C$20:$T$1000,8,0)</f>
        <v>#N/A</v>
      </c>
      <c r="K663" s="58" t="e">
        <f>VLOOKUP($C663,'Daily_BU설비데이터 '!$C$20:$T$1000,9,0)</f>
        <v>#N/A</v>
      </c>
      <c r="L663" s="59" t="e">
        <f t="shared" si="67"/>
        <v>#N/A</v>
      </c>
      <c r="M663" s="68" t="e">
        <f>VLOOKUP($C663,'Daily_BU설비데이터 '!$C$20:$T$1000,11,0)</f>
        <v>#N/A</v>
      </c>
      <c r="N663" s="68" t="e">
        <f>VLOOKUP($C663,'Daily_BU설비데이터 '!$C$20:$T$1000,12,0)</f>
        <v>#N/A</v>
      </c>
      <c r="O663" s="68" t="e">
        <f>VLOOKUP($C663,'Daily_BU설비데이터 '!$C$20:$T$1000,13,0)</f>
        <v>#N/A</v>
      </c>
      <c r="P663" s="68" t="e">
        <f>VLOOKUP($C663,'Daily_BU설비데이터 '!$C$20:$T$1000,14,0)</f>
        <v>#N/A</v>
      </c>
      <c r="Q663" s="99" t="e">
        <f t="shared" si="68"/>
        <v>#N/A</v>
      </c>
      <c r="R663" s="100" t="e">
        <f t="shared" si="69"/>
        <v>#N/A</v>
      </c>
      <c r="S663" s="83" t="e">
        <f>VLOOKUP($C663,'Daily_BU설비데이터 '!$C$20:$T$1000,17,0)</f>
        <v>#N/A</v>
      </c>
      <c r="T663" s="83" t="e">
        <f>VLOOKUP($C663,'Daily_BU설비데이터 '!$C$20:$T$1000,18,0)</f>
        <v>#N/A</v>
      </c>
      <c r="U663" s="101" t="e">
        <f t="shared" si="70"/>
        <v>#N/A</v>
      </c>
      <c r="V663" s="45"/>
      <c r="W663" s="45"/>
      <c r="X663" s="45"/>
      <c r="Y663" s="45"/>
      <c r="Z663" s="45"/>
      <c r="AA663" s="45"/>
    </row>
    <row r="664" spans="2:27" x14ac:dyDescent="0.45">
      <c r="B664" s="45" t="s">
        <v>470</v>
      </c>
      <c r="C664" s="90"/>
      <c r="D664" s="56"/>
      <c r="E664" s="84"/>
      <c r="F664" s="58" t="e">
        <f>VLOOKUP($C664,'Daily_BU설비데이터 '!$C$20:$T$1000,4,0)</f>
        <v>#N/A</v>
      </c>
      <c r="G664" s="58" t="e">
        <f>VLOOKUP($C664,'Daily_BU설비데이터 '!$C$20:$T$1000,5,0)</f>
        <v>#N/A</v>
      </c>
      <c r="H664" s="58" t="e">
        <f>VLOOKUP($C664,'Daily_BU설비데이터 '!$C$20:$T$1000,6,0)</f>
        <v>#N/A</v>
      </c>
      <c r="I664" s="58" t="e">
        <f>VLOOKUP($C664,'Daily_BU설비데이터 '!$C$20:$T$1000,7,0)</f>
        <v>#N/A</v>
      </c>
      <c r="J664" s="58" t="e">
        <f>VLOOKUP($C664,'Daily_BU설비데이터 '!$C$20:$T$1000,8,0)</f>
        <v>#N/A</v>
      </c>
      <c r="K664" s="58" t="e">
        <f>VLOOKUP($C664,'Daily_BU설비데이터 '!$C$20:$T$1000,9,0)</f>
        <v>#N/A</v>
      </c>
      <c r="L664" s="59" t="e">
        <f t="shared" si="67"/>
        <v>#N/A</v>
      </c>
      <c r="M664" s="68" t="e">
        <f>VLOOKUP($C664,'Daily_BU설비데이터 '!$C$20:$T$1000,11,0)</f>
        <v>#N/A</v>
      </c>
      <c r="N664" s="68" t="e">
        <f>VLOOKUP($C664,'Daily_BU설비데이터 '!$C$20:$T$1000,12,0)</f>
        <v>#N/A</v>
      </c>
      <c r="O664" s="68" t="e">
        <f>VLOOKUP($C664,'Daily_BU설비데이터 '!$C$20:$T$1000,13,0)</f>
        <v>#N/A</v>
      </c>
      <c r="P664" s="68" t="e">
        <f>VLOOKUP($C664,'Daily_BU설비데이터 '!$C$20:$T$1000,14,0)</f>
        <v>#N/A</v>
      </c>
      <c r="Q664" s="99" t="e">
        <f t="shared" si="68"/>
        <v>#N/A</v>
      </c>
      <c r="R664" s="100" t="e">
        <f t="shared" si="69"/>
        <v>#N/A</v>
      </c>
      <c r="S664" s="83" t="e">
        <f>VLOOKUP($C664,'Daily_BU설비데이터 '!$C$20:$T$1000,17,0)</f>
        <v>#N/A</v>
      </c>
      <c r="T664" s="83" t="e">
        <f>VLOOKUP($C664,'Daily_BU설비데이터 '!$C$20:$T$1000,18,0)</f>
        <v>#N/A</v>
      </c>
      <c r="U664" s="101" t="e">
        <f t="shared" si="70"/>
        <v>#N/A</v>
      </c>
      <c r="V664" s="45"/>
      <c r="W664" s="45"/>
      <c r="X664" s="45"/>
      <c r="Y664" s="45"/>
      <c r="Z664" s="45"/>
      <c r="AA664" s="45"/>
    </row>
    <row r="665" spans="2:27" x14ac:dyDescent="0.45">
      <c r="B665" s="45" t="s">
        <v>471</v>
      </c>
      <c r="C665" s="90"/>
      <c r="D665" s="56"/>
      <c r="E665" s="57"/>
      <c r="F665" s="58" t="e">
        <f>VLOOKUP($C665,'Daily_BU설비데이터 '!$C$20:$T$1000,4,0)</f>
        <v>#N/A</v>
      </c>
      <c r="G665" s="58" t="e">
        <f>VLOOKUP($C665,'Daily_BU설비데이터 '!$C$20:$T$1000,5,0)</f>
        <v>#N/A</v>
      </c>
      <c r="H665" s="58" t="e">
        <f>VLOOKUP($C665,'Daily_BU설비데이터 '!$C$20:$T$1000,6,0)</f>
        <v>#N/A</v>
      </c>
      <c r="I665" s="58" t="e">
        <f>VLOOKUP($C665,'Daily_BU설비데이터 '!$C$20:$T$1000,7,0)</f>
        <v>#N/A</v>
      </c>
      <c r="J665" s="58" t="e">
        <f>VLOOKUP($C665,'Daily_BU설비데이터 '!$C$20:$T$1000,8,0)</f>
        <v>#N/A</v>
      </c>
      <c r="K665" s="58" t="e">
        <f>VLOOKUP($C665,'Daily_BU설비데이터 '!$C$20:$T$1000,9,0)</f>
        <v>#N/A</v>
      </c>
      <c r="L665" s="59" t="e">
        <f t="shared" si="67"/>
        <v>#N/A</v>
      </c>
      <c r="M665" s="68" t="e">
        <f>VLOOKUP($C665,'Daily_BU설비데이터 '!$C$20:$T$1000,11,0)</f>
        <v>#N/A</v>
      </c>
      <c r="N665" s="68" t="e">
        <f>VLOOKUP($C665,'Daily_BU설비데이터 '!$C$20:$T$1000,12,0)</f>
        <v>#N/A</v>
      </c>
      <c r="O665" s="68" t="e">
        <f>VLOOKUP($C665,'Daily_BU설비데이터 '!$C$20:$T$1000,13,0)</f>
        <v>#N/A</v>
      </c>
      <c r="P665" s="68" t="e">
        <f>VLOOKUP($C665,'Daily_BU설비데이터 '!$C$20:$T$1000,14,0)</f>
        <v>#N/A</v>
      </c>
      <c r="Q665" s="99" t="e">
        <f t="shared" si="68"/>
        <v>#N/A</v>
      </c>
      <c r="R665" s="100" t="e">
        <f t="shared" si="69"/>
        <v>#N/A</v>
      </c>
      <c r="S665" s="83" t="e">
        <f>VLOOKUP($C665,'Daily_BU설비데이터 '!$C$20:$T$1000,17,0)</f>
        <v>#N/A</v>
      </c>
      <c r="T665" s="83" t="e">
        <f>VLOOKUP($C665,'Daily_BU설비데이터 '!$C$20:$T$1000,18,0)</f>
        <v>#N/A</v>
      </c>
      <c r="U665" s="101" t="e">
        <f t="shared" si="70"/>
        <v>#N/A</v>
      </c>
      <c r="V665" s="45"/>
      <c r="W665" s="45"/>
      <c r="X665" s="45"/>
      <c r="Y665" s="45"/>
      <c r="Z665" s="45"/>
      <c r="AA665" s="45"/>
    </row>
    <row r="666" spans="2:27" x14ac:dyDescent="0.45">
      <c r="B666" s="45" t="s">
        <v>472</v>
      </c>
      <c r="C666" s="90"/>
      <c r="D666" s="56"/>
      <c r="E666" s="80"/>
      <c r="F666" s="58" t="e">
        <f>VLOOKUP($C666,'Daily_BU설비데이터 '!$C$20:$T$1000,4,0)</f>
        <v>#N/A</v>
      </c>
      <c r="G666" s="58" t="e">
        <f>VLOOKUP($C666,'Daily_BU설비데이터 '!$C$20:$T$1000,5,0)</f>
        <v>#N/A</v>
      </c>
      <c r="H666" s="58" t="e">
        <f>VLOOKUP($C666,'Daily_BU설비데이터 '!$C$20:$T$1000,6,0)</f>
        <v>#N/A</v>
      </c>
      <c r="I666" s="58" t="e">
        <f>VLOOKUP($C666,'Daily_BU설비데이터 '!$C$20:$T$1000,7,0)</f>
        <v>#N/A</v>
      </c>
      <c r="J666" s="58" t="e">
        <f>VLOOKUP($C666,'Daily_BU설비데이터 '!$C$20:$T$1000,8,0)</f>
        <v>#N/A</v>
      </c>
      <c r="K666" s="58" t="e">
        <f>VLOOKUP($C666,'Daily_BU설비데이터 '!$C$20:$T$1000,9,0)</f>
        <v>#N/A</v>
      </c>
      <c r="L666" s="59" t="e">
        <f t="shared" si="67"/>
        <v>#N/A</v>
      </c>
      <c r="M666" s="68" t="e">
        <f>VLOOKUP($C666,'Daily_BU설비데이터 '!$C$20:$T$1000,11,0)</f>
        <v>#N/A</v>
      </c>
      <c r="N666" s="68" t="e">
        <f>VLOOKUP($C666,'Daily_BU설비데이터 '!$C$20:$T$1000,12,0)</f>
        <v>#N/A</v>
      </c>
      <c r="O666" s="68" t="e">
        <f>VLOOKUP($C666,'Daily_BU설비데이터 '!$C$20:$T$1000,13,0)</f>
        <v>#N/A</v>
      </c>
      <c r="P666" s="68" t="e">
        <f>VLOOKUP($C666,'Daily_BU설비데이터 '!$C$20:$T$1000,14,0)</f>
        <v>#N/A</v>
      </c>
      <c r="Q666" s="99" t="e">
        <f t="shared" si="68"/>
        <v>#N/A</v>
      </c>
      <c r="R666" s="100" t="e">
        <f t="shared" si="69"/>
        <v>#N/A</v>
      </c>
      <c r="S666" s="83" t="e">
        <f>VLOOKUP($C666,'Daily_BU설비데이터 '!$C$20:$T$1000,17,0)</f>
        <v>#N/A</v>
      </c>
      <c r="T666" s="83" t="e">
        <f>VLOOKUP($C666,'Daily_BU설비데이터 '!$C$20:$T$1000,18,0)</f>
        <v>#N/A</v>
      </c>
      <c r="U666" s="101" t="e">
        <f t="shared" si="70"/>
        <v>#N/A</v>
      </c>
      <c r="V666" s="45"/>
      <c r="W666" s="45"/>
      <c r="X666" s="45"/>
      <c r="Y666" s="45"/>
      <c r="Z666" s="45"/>
      <c r="AA666" s="45"/>
    </row>
    <row r="667" spans="2:27" x14ac:dyDescent="0.45">
      <c r="B667" s="45" t="s">
        <v>473</v>
      </c>
      <c r="C667" s="90"/>
      <c r="D667" s="56"/>
      <c r="E667" s="84"/>
      <c r="F667" s="58" t="e">
        <f>VLOOKUP($C667,'Daily_BU설비데이터 '!$C$20:$T$1000,4,0)</f>
        <v>#N/A</v>
      </c>
      <c r="G667" s="58" t="e">
        <f>VLOOKUP($C667,'Daily_BU설비데이터 '!$C$20:$T$1000,5,0)</f>
        <v>#N/A</v>
      </c>
      <c r="H667" s="58" t="e">
        <f>VLOOKUP($C667,'Daily_BU설비데이터 '!$C$20:$T$1000,6,0)</f>
        <v>#N/A</v>
      </c>
      <c r="I667" s="58" t="e">
        <f>VLOOKUP($C667,'Daily_BU설비데이터 '!$C$20:$T$1000,7,0)</f>
        <v>#N/A</v>
      </c>
      <c r="J667" s="58" t="e">
        <f>VLOOKUP($C667,'Daily_BU설비데이터 '!$C$20:$T$1000,8,0)</f>
        <v>#N/A</v>
      </c>
      <c r="K667" s="58" t="e">
        <f>VLOOKUP($C667,'Daily_BU설비데이터 '!$C$20:$T$1000,9,0)</f>
        <v>#N/A</v>
      </c>
      <c r="L667" s="59" t="e">
        <f t="shared" si="67"/>
        <v>#N/A</v>
      </c>
      <c r="M667" s="68" t="e">
        <f>VLOOKUP($C667,'Daily_BU설비데이터 '!$C$20:$T$1000,11,0)</f>
        <v>#N/A</v>
      </c>
      <c r="N667" s="68" t="e">
        <f>VLOOKUP($C667,'Daily_BU설비데이터 '!$C$20:$T$1000,12,0)</f>
        <v>#N/A</v>
      </c>
      <c r="O667" s="68" t="e">
        <f>VLOOKUP($C667,'Daily_BU설비데이터 '!$C$20:$T$1000,13,0)</f>
        <v>#N/A</v>
      </c>
      <c r="P667" s="68" t="e">
        <f>VLOOKUP($C667,'Daily_BU설비데이터 '!$C$20:$T$1000,14,0)</f>
        <v>#N/A</v>
      </c>
      <c r="Q667" s="99" t="e">
        <f t="shared" si="68"/>
        <v>#N/A</v>
      </c>
      <c r="R667" s="100" t="e">
        <f t="shared" si="69"/>
        <v>#N/A</v>
      </c>
      <c r="S667" s="83" t="e">
        <f>VLOOKUP($C667,'Daily_BU설비데이터 '!$C$20:$T$1000,17,0)</f>
        <v>#N/A</v>
      </c>
      <c r="T667" s="83" t="e">
        <f>VLOOKUP($C667,'Daily_BU설비데이터 '!$C$20:$T$1000,18,0)</f>
        <v>#N/A</v>
      </c>
      <c r="U667" s="101" t="e">
        <f t="shared" si="70"/>
        <v>#N/A</v>
      </c>
      <c r="V667" s="45"/>
      <c r="W667" s="45"/>
      <c r="X667" s="45"/>
      <c r="Y667" s="45"/>
      <c r="Z667" s="45"/>
      <c r="AA667" s="45"/>
    </row>
    <row r="668" spans="2:27" x14ac:dyDescent="0.45">
      <c r="B668" s="45" t="s">
        <v>474</v>
      </c>
      <c r="C668" s="90"/>
      <c r="D668" s="56"/>
      <c r="E668" s="57"/>
      <c r="F668" s="58" t="e">
        <f>VLOOKUP($C668,'Daily_BU설비데이터 '!$C$20:$T$1000,4,0)</f>
        <v>#N/A</v>
      </c>
      <c r="G668" s="58" t="e">
        <f>VLOOKUP($C668,'Daily_BU설비데이터 '!$C$20:$T$1000,5,0)</f>
        <v>#N/A</v>
      </c>
      <c r="H668" s="58" t="e">
        <f>VLOOKUP($C668,'Daily_BU설비데이터 '!$C$20:$T$1000,6,0)</f>
        <v>#N/A</v>
      </c>
      <c r="I668" s="58" t="e">
        <f>VLOOKUP($C668,'Daily_BU설비데이터 '!$C$20:$T$1000,7,0)</f>
        <v>#N/A</v>
      </c>
      <c r="J668" s="58" t="e">
        <f>VLOOKUP($C668,'Daily_BU설비데이터 '!$C$20:$T$1000,8,0)</f>
        <v>#N/A</v>
      </c>
      <c r="K668" s="58" t="e">
        <f>VLOOKUP($C668,'Daily_BU설비데이터 '!$C$20:$T$1000,9,0)</f>
        <v>#N/A</v>
      </c>
      <c r="L668" s="59" t="e">
        <f t="shared" si="67"/>
        <v>#N/A</v>
      </c>
      <c r="M668" s="68" t="e">
        <f>VLOOKUP($C668,'Daily_BU설비데이터 '!$C$20:$T$1000,11,0)</f>
        <v>#N/A</v>
      </c>
      <c r="N668" s="68" t="e">
        <f>VLOOKUP($C668,'Daily_BU설비데이터 '!$C$20:$T$1000,12,0)</f>
        <v>#N/A</v>
      </c>
      <c r="O668" s="68" t="e">
        <f>VLOOKUP($C668,'Daily_BU설비데이터 '!$C$20:$T$1000,13,0)</f>
        <v>#N/A</v>
      </c>
      <c r="P668" s="68" t="e">
        <f>VLOOKUP($C668,'Daily_BU설비데이터 '!$C$20:$T$1000,14,0)</f>
        <v>#N/A</v>
      </c>
      <c r="Q668" s="99" t="e">
        <f t="shared" si="68"/>
        <v>#N/A</v>
      </c>
      <c r="R668" s="100" t="e">
        <f t="shared" si="69"/>
        <v>#N/A</v>
      </c>
      <c r="S668" s="83" t="e">
        <f>VLOOKUP($C668,'Daily_BU설비데이터 '!$C$20:$T$1000,17,0)</f>
        <v>#N/A</v>
      </c>
      <c r="T668" s="83" t="e">
        <f>VLOOKUP($C668,'Daily_BU설비데이터 '!$C$20:$T$1000,18,0)</f>
        <v>#N/A</v>
      </c>
      <c r="U668" s="101" t="e">
        <f t="shared" si="70"/>
        <v>#N/A</v>
      </c>
      <c r="V668" s="45"/>
      <c r="W668" s="45"/>
      <c r="X668" s="45"/>
      <c r="Y668" s="45"/>
      <c r="Z668" s="45"/>
      <c r="AA668" s="45"/>
    </row>
    <row r="669" spans="2:27" x14ac:dyDescent="0.45">
      <c r="B669" s="45" t="s">
        <v>475</v>
      </c>
      <c r="C669" s="90"/>
      <c r="D669" s="56"/>
      <c r="E669" s="80"/>
      <c r="F669" s="58" t="e">
        <f>VLOOKUP($C669,'Daily_BU설비데이터 '!$C$20:$T$1000,4,0)</f>
        <v>#N/A</v>
      </c>
      <c r="G669" s="58" t="e">
        <f>VLOOKUP($C669,'Daily_BU설비데이터 '!$C$20:$T$1000,5,0)</f>
        <v>#N/A</v>
      </c>
      <c r="H669" s="58" t="e">
        <f>VLOOKUP($C669,'Daily_BU설비데이터 '!$C$20:$T$1000,6,0)</f>
        <v>#N/A</v>
      </c>
      <c r="I669" s="58" t="e">
        <f>VLOOKUP($C669,'Daily_BU설비데이터 '!$C$20:$T$1000,7,0)</f>
        <v>#N/A</v>
      </c>
      <c r="J669" s="58" t="e">
        <f>VLOOKUP($C669,'Daily_BU설비데이터 '!$C$20:$T$1000,8,0)</f>
        <v>#N/A</v>
      </c>
      <c r="K669" s="58" t="e">
        <f>VLOOKUP($C669,'Daily_BU설비데이터 '!$C$20:$T$1000,9,0)</f>
        <v>#N/A</v>
      </c>
      <c r="L669" s="59" t="e">
        <f t="shared" si="67"/>
        <v>#N/A</v>
      </c>
      <c r="M669" s="68" t="e">
        <f>VLOOKUP($C669,'Daily_BU설비데이터 '!$C$20:$T$1000,11,0)</f>
        <v>#N/A</v>
      </c>
      <c r="N669" s="68" t="e">
        <f>VLOOKUP($C669,'Daily_BU설비데이터 '!$C$20:$T$1000,12,0)</f>
        <v>#N/A</v>
      </c>
      <c r="O669" s="68" t="e">
        <f>VLOOKUP($C669,'Daily_BU설비데이터 '!$C$20:$T$1000,13,0)</f>
        <v>#N/A</v>
      </c>
      <c r="P669" s="68" t="e">
        <f>VLOOKUP($C669,'Daily_BU설비데이터 '!$C$20:$T$1000,14,0)</f>
        <v>#N/A</v>
      </c>
      <c r="Q669" s="99" t="e">
        <f t="shared" si="68"/>
        <v>#N/A</v>
      </c>
      <c r="R669" s="100" t="e">
        <f t="shared" si="69"/>
        <v>#N/A</v>
      </c>
      <c r="S669" s="83" t="e">
        <f>VLOOKUP($C669,'Daily_BU설비데이터 '!$C$20:$T$1000,17,0)</f>
        <v>#N/A</v>
      </c>
      <c r="T669" s="83" t="e">
        <f>VLOOKUP($C669,'Daily_BU설비데이터 '!$C$20:$T$1000,18,0)</f>
        <v>#N/A</v>
      </c>
      <c r="U669" s="101" t="e">
        <f t="shared" si="70"/>
        <v>#N/A</v>
      </c>
      <c r="V669" s="45"/>
      <c r="W669" s="45"/>
      <c r="X669" s="45"/>
      <c r="Y669" s="45"/>
      <c r="Z669" s="45"/>
      <c r="AA669" s="45"/>
    </row>
    <row r="670" spans="2:27" x14ac:dyDescent="0.45">
      <c r="B670" s="45" t="s">
        <v>476</v>
      </c>
      <c r="C670" s="90"/>
      <c r="D670" s="56"/>
      <c r="E670" s="84"/>
      <c r="F670" s="58" t="e">
        <f>VLOOKUP($C670,'Daily_BU설비데이터 '!$C$20:$T$1000,4,0)</f>
        <v>#N/A</v>
      </c>
      <c r="G670" s="58" t="e">
        <f>VLOOKUP($C670,'Daily_BU설비데이터 '!$C$20:$T$1000,5,0)</f>
        <v>#N/A</v>
      </c>
      <c r="H670" s="58" t="e">
        <f>VLOOKUP($C670,'Daily_BU설비데이터 '!$C$20:$T$1000,6,0)</f>
        <v>#N/A</v>
      </c>
      <c r="I670" s="58" t="e">
        <f>VLOOKUP($C670,'Daily_BU설비데이터 '!$C$20:$T$1000,7,0)</f>
        <v>#N/A</v>
      </c>
      <c r="J670" s="58" t="e">
        <f>VLOOKUP($C670,'Daily_BU설비데이터 '!$C$20:$T$1000,8,0)</f>
        <v>#N/A</v>
      </c>
      <c r="K670" s="58" t="e">
        <f>VLOOKUP($C670,'Daily_BU설비데이터 '!$C$20:$T$1000,9,0)</f>
        <v>#N/A</v>
      </c>
      <c r="L670" s="59" t="e">
        <f t="shared" si="67"/>
        <v>#N/A</v>
      </c>
      <c r="M670" s="68" t="e">
        <f>VLOOKUP($C670,'Daily_BU설비데이터 '!$C$20:$T$1000,11,0)</f>
        <v>#N/A</v>
      </c>
      <c r="N670" s="68" t="e">
        <f>VLOOKUP($C670,'Daily_BU설비데이터 '!$C$20:$T$1000,12,0)</f>
        <v>#N/A</v>
      </c>
      <c r="O670" s="68" t="e">
        <f>VLOOKUP($C670,'Daily_BU설비데이터 '!$C$20:$T$1000,13,0)</f>
        <v>#N/A</v>
      </c>
      <c r="P670" s="68" t="e">
        <f>VLOOKUP($C670,'Daily_BU설비데이터 '!$C$20:$T$1000,14,0)</f>
        <v>#N/A</v>
      </c>
      <c r="Q670" s="99" t="e">
        <f t="shared" si="68"/>
        <v>#N/A</v>
      </c>
      <c r="R670" s="100" t="e">
        <f t="shared" si="69"/>
        <v>#N/A</v>
      </c>
      <c r="S670" s="83" t="e">
        <f>VLOOKUP($C670,'Daily_BU설비데이터 '!$C$20:$T$1000,17,0)</f>
        <v>#N/A</v>
      </c>
      <c r="T670" s="83" t="e">
        <f>VLOOKUP($C670,'Daily_BU설비데이터 '!$C$20:$T$1000,18,0)</f>
        <v>#N/A</v>
      </c>
      <c r="U670" s="101" t="e">
        <f t="shared" si="70"/>
        <v>#N/A</v>
      </c>
      <c r="V670" s="45"/>
      <c r="W670" s="45"/>
      <c r="X670" s="45"/>
      <c r="Y670" s="45"/>
      <c r="Z670" s="45"/>
      <c r="AA670" s="45"/>
    </row>
    <row r="671" spans="2:27" x14ac:dyDescent="0.45">
      <c r="B671" s="45" t="s">
        <v>477</v>
      </c>
      <c r="C671" s="90"/>
      <c r="D671" s="56"/>
      <c r="E671" s="57"/>
      <c r="F671" s="58" t="e">
        <f>VLOOKUP($C671,'Daily_BU설비데이터 '!$C$20:$T$1000,4,0)</f>
        <v>#N/A</v>
      </c>
      <c r="G671" s="58" t="e">
        <f>VLOOKUP($C671,'Daily_BU설비데이터 '!$C$20:$T$1000,5,0)</f>
        <v>#N/A</v>
      </c>
      <c r="H671" s="58" t="e">
        <f>VLOOKUP($C671,'Daily_BU설비데이터 '!$C$20:$T$1000,6,0)</f>
        <v>#N/A</v>
      </c>
      <c r="I671" s="58" t="e">
        <f>VLOOKUP($C671,'Daily_BU설비데이터 '!$C$20:$T$1000,7,0)</f>
        <v>#N/A</v>
      </c>
      <c r="J671" s="58" t="e">
        <f>VLOOKUP($C671,'Daily_BU설비데이터 '!$C$20:$T$1000,8,0)</f>
        <v>#N/A</v>
      </c>
      <c r="K671" s="58" t="e">
        <f>VLOOKUP($C671,'Daily_BU설비데이터 '!$C$20:$T$1000,9,0)</f>
        <v>#N/A</v>
      </c>
      <c r="L671" s="59" t="e">
        <f t="shared" si="67"/>
        <v>#N/A</v>
      </c>
      <c r="M671" s="68" t="e">
        <f>VLOOKUP($C671,'Daily_BU설비데이터 '!$C$20:$T$1000,11,0)</f>
        <v>#N/A</v>
      </c>
      <c r="N671" s="68" t="e">
        <f>VLOOKUP($C671,'Daily_BU설비데이터 '!$C$20:$T$1000,12,0)</f>
        <v>#N/A</v>
      </c>
      <c r="O671" s="68" t="e">
        <f>VLOOKUP($C671,'Daily_BU설비데이터 '!$C$20:$T$1000,13,0)</f>
        <v>#N/A</v>
      </c>
      <c r="P671" s="68" t="e">
        <f>VLOOKUP($C671,'Daily_BU설비데이터 '!$C$20:$T$1000,14,0)</f>
        <v>#N/A</v>
      </c>
      <c r="Q671" s="99" t="e">
        <f t="shared" si="68"/>
        <v>#N/A</v>
      </c>
      <c r="R671" s="100" t="e">
        <f t="shared" si="69"/>
        <v>#N/A</v>
      </c>
      <c r="S671" s="83" t="e">
        <f>VLOOKUP($C671,'Daily_BU설비데이터 '!$C$20:$T$1000,17,0)</f>
        <v>#N/A</v>
      </c>
      <c r="T671" s="83" t="e">
        <f>VLOOKUP($C671,'Daily_BU설비데이터 '!$C$20:$T$1000,18,0)</f>
        <v>#N/A</v>
      </c>
      <c r="U671" s="101" t="e">
        <f t="shared" si="70"/>
        <v>#N/A</v>
      </c>
      <c r="V671" s="45"/>
      <c r="W671" s="45"/>
      <c r="X671" s="45"/>
      <c r="Y671" s="45"/>
      <c r="Z671" s="45"/>
      <c r="AA671" s="45"/>
    </row>
    <row r="672" spans="2:27" x14ac:dyDescent="0.45">
      <c r="B672" s="45" t="s">
        <v>478</v>
      </c>
      <c r="C672" s="90"/>
      <c r="D672" s="56"/>
      <c r="E672" s="80"/>
      <c r="F672" s="58" t="e">
        <f>VLOOKUP($C672,'Daily_BU설비데이터 '!$C$20:$T$1000,4,0)</f>
        <v>#N/A</v>
      </c>
      <c r="G672" s="58" t="e">
        <f>VLOOKUP($C672,'Daily_BU설비데이터 '!$C$20:$T$1000,5,0)</f>
        <v>#N/A</v>
      </c>
      <c r="H672" s="58" t="e">
        <f>VLOOKUP($C672,'Daily_BU설비데이터 '!$C$20:$T$1000,6,0)</f>
        <v>#N/A</v>
      </c>
      <c r="I672" s="58" t="e">
        <f>VLOOKUP($C672,'Daily_BU설비데이터 '!$C$20:$T$1000,7,0)</f>
        <v>#N/A</v>
      </c>
      <c r="J672" s="58" t="e">
        <f>VLOOKUP($C672,'Daily_BU설비데이터 '!$C$20:$T$1000,8,0)</f>
        <v>#N/A</v>
      </c>
      <c r="K672" s="58" t="e">
        <f>VLOOKUP($C672,'Daily_BU설비데이터 '!$C$20:$T$1000,9,0)</f>
        <v>#N/A</v>
      </c>
      <c r="L672" s="59" t="e">
        <f t="shared" si="67"/>
        <v>#N/A</v>
      </c>
      <c r="M672" s="68" t="e">
        <f>VLOOKUP($C672,'Daily_BU설비데이터 '!$C$20:$T$1000,11,0)</f>
        <v>#N/A</v>
      </c>
      <c r="N672" s="68" t="e">
        <f>VLOOKUP($C672,'Daily_BU설비데이터 '!$C$20:$T$1000,12,0)</f>
        <v>#N/A</v>
      </c>
      <c r="O672" s="68" t="e">
        <f>VLOOKUP($C672,'Daily_BU설비데이터 '!$C$20:$T$1000,13,0)</f>
        <v>#N/A</v>
      </c>
      <c r="P672" s="68" t="e">
        <f>VLOOKUP($C672,'Daily_BU설비데이터 '!$C$20:$T$1000,14,0)</f>
        <v>#N/A</v>
      </c>
      <c r="Q672" s="99" t="e">
        <f t="shared" si="68"/>
        <v>#N/A</v>
      </c>
      <c r="R672" s="100" t="e">
        <f t="shared" si="69"/>
        <v>#N/A</v>
      </c>
      <c r="S672" s="83" t="e">
        <f>VLOOKUP($C672,'Daily_BU설비데이터 '!$C$20:$T$1000,17,0)</f>
        <v>#N/A</v>
      </c>
      <c r="T672" s="83" t="e">
        <f>VLOOKUP($C672,'Daily_BU설비데이터 '!$C$20:$T$1000,18,0)</f>
        <v>#N/A</v>
      </c>
      <c r="U672" s="101" t="e">
        <f t="shared" si="70"/>
        <v>#N/A</v>
      </c>
      <c r="V672" s="45"/>
      <c r="W672" s="45"/>
      <c r="X672" s="45"/>
      <c r="Y672" s="45"/>
      <c r="Z672" s="45"/>
      <c r="AA672" s="45"/>
    </row>
    <row r="673" spans="2:27" x14ac:dyDescent="0.45">
      <c r="B673" s="45" t="s">
        <v>479</v>
      </c>
      <c r="C673" s="90"/>
      <c r="D673" s="56"/>
      <c r="E673" s="84"/>
      <c r="F673" s="58" t="e">
        <f>VLOOKUP($C673,'Daily_BU설비데이터 '!$C$20:$T$1000,4,0)</f>
        <v>#N/A</v>
      </c>
      <c r="G673" s="58" t="e">
        <f>VLOOKUP($C673,'Daily_BU설비데이터 '!$C$20:$T$1000,5,0)</f>
        <v>#N/A</v>
      </c>
      <c r="H673" s="58" t="e">
        <f>VLOOKUP($C673,'Daily_BU설비데이터 '!$C$20:$T$1000,6,0)</f>
        <v>#N/A</v>
      </c>
      <c r="I673" s="58" t="e">
        <f>VLOOKUP($C673,'Daily_BU설비데이터 '!$C$20:$T$1000,7,0)</f>
        <v>#N/A</v>
      </c>
      <c r="J673" s="58" t="e">
        <f>VLOOKUP($C673,'Daily_BU설비데이터 '!$C$20:$T$1000,8,0)</f>
        <v>#N/A</v>
      </c>
      <c r="K673" s="58" t="e">
        <f>VLOOKUP($C673,'Daily_BU설비데이터 '!$C$20:$T$1000,9,0)</f>
        <v>#N/A</v>
      </c>
      <c r="L673" s="59" t="e">
        <f t="shared" si="67"/>
        <v>#N/A</v>
      </c>
      <c r="M673" s="68" t="e">
        <f>VLOOKUP($C673,'Daily_BU설비데이터 '!$C$20:$T$1000,11,0)</f>
        <v>#N/A</v>
      </c>
      <c r="N673" s="68" t="e">
        <f>VLOOKUP($C673,'Daily_BU설비데이터 '!$C$20:$T$1000,12,0)</f>
        <v>#N/A</v>
      </c>
      <c r="O673" s="68" t="e">
        <f>VLOOKUP($C673,'Daily_BU설비데이터 '!$C$20:$T$1000,13,0)</f>
        <v>#N/A</v>
      </c>
      <c r="P673" s="68" t="e">
        <f>VLOOKUP($C673,'Daily_BU설비데이터 '!$C$20:$T$1000,14,0)</f>
        <v>#N/A</v>
      </c>
      <c r="Q673" s="99" t="e">
        <f t="shared" si="68"/>
        <v>#N/A</v>
      </c>
      <c r="R673" s="100" t="e">
        <f t="shared" si="69"/>
        <v>#N/A</v>
      </c>
      <c r="S673" s="83" t="e">
        <f>VLOOKUP($C673,'Daily_BU설비데이터 '!$C$20:$T$1000,17,0)</f>
        <v>#N/A</v>
      </c>
      <c r="T673" s="83" t="e">
        <f>VLOOKUP($C673,'Daily_BU설비데이터 '!$C$20:$T$1000,18,0)</f>
        <v>#N/A</v>
      </c>
      <c r="U673" s="101" t="e">
        <f t="shared" si="70"/>
        <v>#N/A</v>
      </c>
      <c r="V673" s="45"/>
      <c r="W673" s="45"/>
      <c r="X673" s="45"/>
      <c r="Y673" s="45"/>
      <c r="Z673" s="45"/>
      <c r="AA673" s="45"/>
    </row>
    <row r="674" spans="2:27" x14ac:dyDescent="0.45">
      <c r="B674" s="45" t="s">
        <v>480</v>
      </c>
      <c r="C674" s="90"/>
      <c r="D674" s="56"/>
      <c r="E674" s="57"/>
      <c r="F674" s="58" t="e">
        <f>VLOOKUP($C674,'Daily_BU설비데이터 '!$C$20:$T$1000,4,0)</f>
        <v>#N/A</v>
      </c>
      <c r="G674" s="58" t="e">
        <f>VLOOKUP($C674,'Daily_BU설비데이터 '!$C$20:$T$1000,5,0)</f>
        <v>#N/A</v>
      </c>
      <c r="H674" s="58" t="e">
        <f>VLOOKUP($C674,'Daily_BU설비데이터 '!$C$20:$T$1000,6,0)</f>
        <v>#N/A</v>
      </c>
      <c r="I674" s="58" t="e">
        <f>VLOOKUP($C674,'Daily_BU설비데이터 '!$C$20:$T$1000,7,0)</f>
        <v>#N/A</v>
      </c>
      <c r="J674" s="58" t="e">
        <f>VLOOKUP($C674,'Daily_BU설비데이터 '!$C$20:$T$1000,8,0)</f>
        <v>#N/A</v>
      </c>
      <c r="K674" s="58" t="e">
        <f>VLOOKUP($C674,'Daily_BU설비데이터 '!$C$20:$T$1000,9,0)</f>
        <v>#N/A</v>
      </c>
      <c r="L674" s="59" t="e">
        <f t="shared" si="67"/>
        <v>#N/A</v>
      </c>
      <c r="M674" s="68" t="e">
        <f>VLOOKUP($C674,'Daily_BU설비데이터 '!$C$20:$T$1000,11,0)</f>
        <v>#N/A</v>
      </c>
      <c r="N674" s="68" t="e">
        <f>VLOOKUP($C674,'Daily_BU설비데이터 '!$C$20:$T$1000,12,0)</f>
        <v>#N/A</v>
      </c>
      <c r="O674" s="68" t="e">
        <f>VLOOKUP($C674,'Daily_BU설비데이터 '!$C$20:$T$1000,13,0)</f>
        <v>#N/A</v>
      </c>
      <c r="P674" s="68" t="e">
        <f>VLOOKUP($C674,'Daily_BU설비데이터 '!$C$20:$T$1000,14,0)</f>
        <v>#N/A</v>
      </c>
      <c r="Q674" s="99" t="e">
        <f t="shared" si="68"/>
        <v>#N/A</v>
      </c>
      <c r="R674" s="100" t="e">
        <f t="shared" si="69"/>
        <v>#N/A</v>
      </c>
      <c r="S674" s="83" t="e">
        <f>VLOOKUP($C674,'Daily_BU설비데이터 '!$C$20:$T$1000,17,0)</f>
        <v>#N/A</v>
      </c>
      <c r="T674" s="83" t="e">
        <f>VLOOKUP($C674,'Daily_BU설비데이터 '!$C$20:$T$1000,18,0)</f>
        <v>#N/A</v>
      </c>
      <c r="U674" s="101" t="e">
        <f t="shared" si="70"/>
        <v>#N/A</v>
      </c>
      <c r="V674" s="45"/>
      <c r="W674" s="45"/>
      <c r="X674" s="45"/>
      <c r="Y674" s="45"/>
      <c r="Z674" s="45"/>
      <c r="AA674" s="45"/>
    </row>
    <row r="675" spans="2:27" x14ac:dyDescent="0.45">
      <c r="B675" s="45" t="s">
        <v>481</v>
      </c>
      <c r="C675" s="90"/>
      <c r="D675" s="56"/>
      <c r="E675" s="80"/>
      <c r="F675" s="58" t="e">
        <f>VLOOKUP($C675,'Daily_BU설비데이터 '!$C$20:$T$1000,4,0)</f>
        <v>#N/A</v>
      </c>
      <c r="G675" s="58" t="e">
        <f>VLOOKUP($C675,'Daily_BU설비데이터 '!$C$20:$T$1000,5,0)</f>
        <v>#N/A</v>
      </c>
      <c r="H675" s="58" t="e">
        <f>VLOOKUP($C675,'Daily_BU설비데이터 '!$C$20:$T$1000,6,0)</f>
        <v>#N/A</v>
      </c>
      <c r="I675" s="58" t="e">
        <f>VLOOKUP($C675,'Daily_BU설비데이터 '!$C$20:$T$1000,7,0)</f>
        <v>#N/A</v>
      </c>
      <c r="J675" s="58" t="e">
        <f>VLOOKUP($C675,'Daily_BU설비데이터 '!$C$20:$T$1000,8,0)</f>
        <v>#N/A</v>
      </c>
      <c r="K675" s="58" t="e">
        <f>VLOOKUP($C675,'Daily_BU설비데이터 '!$C$20:$T$1000,9,0)</f>
        <v>#N/A</v>
      </c>
      <c r="L675" s="59" t="e">
        <f t="shared" si="67"/>
        <v>#N/A</v>
      </c>
      <c r="M675" s="68" t="e">
        <f>VLOOKUP($C675,'Daily_BU설비데이터 '!$C$20:$T$1000,11,0)</f>
        <v>#N/A</v>
      </c>
      <c r="N675" s="68" t="e">
        <f>VLOOKUP($C675,'Daily_BU설비데이터 '!$C$20:$T$1000,12,0)</f>
        <v>#N/A</v>
      </c>
      <c r="O675" s="68" t="e">
        <f>VLOOKUP($C675,'Daily_BU설비데이터 '!$C$20:$T$1000,13,0)</f>
        <v>#N/A</v>
      </c>
      <c r="P675" s="68" t="e">
        <f>VLOOKUP($C675,'Daily_BU설비데이터 '!$C$20:$T$1000,14,0)</f>
        <v>#N/A</v>
      </c>
      <c r="Q675" s="99" t="e">
        <f t="shared" si="68"/>
        <v>#N/A</v>
      </c>
      <c r="R675" s="100" t="e">
        <f t="shared" si="69"/>
        <v>#N/A</v>
      </c>
      <c r="S675" s="83" t="e">
        <f>VLOOKUP($C675,'Daily_BU설비데이터 '!$C$20:$T$1000,17,0)</f>
        <v>#N/A</v>
      </c>
      <c r="T675" s="83" t="e">
        <f>VLOOKUP($C675,'Daily_BU설비데이터 '!$C$20:$T$1000,18,0)</f>
        <v>#N/A</v>
      </c>
      <c r="U675" s="101" t="e">
        <f t="shared" si="70"/>
        <v>#N/A</v>
      </c>
      <c r="V675" s="45"/>
      <c r="W675" s="45"/>
      <c r="X675" s="45"/>
      <c r="Y675" s="45"/>
      <c r="Z675" s="45"/>
      <c r="AA675" s="45"/>
    </row>
    <row r="676" spans="2:27" x14ac:dyDescent="0.45">
      <c r="B676" s="45" t="s">
        <v>482</v>
      </c>
      <c r="C676" s="90"/>
      <c r="D676" s="56"/>
      <c r="E676" s="84"/>
      <c r="F676" s="58" t="e">
        <f>VLOOKUP($C676,'Daily_BU설비데이터 '!$C$20:$T$1000,4,0)</f>
        <v>#N/A</v>
      </c>
      <c r="G676" s="58" t="e">
        <f>VLOOKUP($C676,'Daily_BU설비데이터 '!$C$20:$T$1000,5,0)</f>
        <v>#N/A</v>
      </c>
      <c r="H676" s="58" t="e">
        <f>VLOOKUP($C676,'Daily_BU설비데이터 '!$C$20:$T$1000,6,0)</f>
        <v>#N/A</v>
      </c>
      <c r="I676" s="58" t="e">
        <f>VLOOKUP($C676,'Daily_BU설비데이터 '!$C$20:$T$1000,7,0)</f>
        <v>#N/A</v>
      </c>
      <c r="J676" s="58" t="e">
        <f>VLOOKUP($C676,'Daily_BU설비데이터 '!$C$20:$T$1000,8,0)</f>
        <v>#N/A</v>
      </c>
      <c r="K676" s="58" t="e">
        <f>VLOOKUP($C676,'Daily_BU설비데이터 '!$C$20:$T$1000,9,0)</f>
        <v>#N/A</v>
      </c>
      <c r="L676" s="59" t="e">
        <f t="shared" si="67"/>
        <v>#N/A</v>
      </c>
      <c r="M676" s="68" t="e">
        <f>VLOOKUP($C676,'Daily_BU설비데이터 '!$C$20:$T$1000,11,0)</f>
        <v>#N/A</v>
      </c>
      <c r="N676" s="68" t="e">
        <f>VLOOKUP($C676,'Daily_BU설비데이터 '!$C$20:$T$1000,12,0)</f>
        <v>#N/A</v>
      </c>
      <c r="O676" s="68" t="e">
        <f>VLOOKUP($C676,'Daily_BU설비데이터 '!$C$20:$T$1000,13,0)</f>
        <v>#N/A</v>
      </c>
      <c r="P676" s="68" t="e">
        <f>VLOOKUP($C676,'Daily_BU설비데이터 '!$C$20:$T$1000,14,0)</f>
        <v>#N/A</v>
      </c>
      <c r="Q676" s="99" t="e">
        <f t="shared" si="68"/>
        <v>#N/A</v>
      </c>
      <c r="R676" s="100" t="e">
        <f t="shared" si="69"/>
        <v>#N/A</v>
      </c>
      <c r="S676" s="83" t="e">
        <f>VLOOKUP($C676,'Daily_BU설비데이터 '!$C$20:$T$1000,17,0)</f>
        <v>#N/A</v>
      </c>
      <c r="T676" s="83" t="e">
        <f>VLOOKUP($C676,'Daily_BU설비데이터 '!$C$20:$T$1000,18,0)</f>
        <v>#N/A</v>
      </c>
      <c r="U676" s="101" t="e">
        <f t="shared" si="70"/>
        <v>#N/A</v>
      </c>
      <c r="V676" s="45"/>
      <c r="W676" s="45"/>
      <c r="X676" s="45"/>
      <c r="Y676" s="45"/>
      <c r="Z676" s="45"/>
      <c r="AA676" s="45"/>
    </row>
    <row r="677" spans="2:27" x14ac:dyDescent="0.45">
      <c r="B677" s="45" t="s">
        <v>483</v>
      </c>
      <c r="C677" s="90"/>
      <c r="D677" s="56"/>
      <c r="E677" s="57"/>
      <c r="F677" s="58" t="e">
        <f>VLOOKUP($C677,'Daily_BU설비데이터 '!$C$20:$T$1000,4,0)</f>
        <v>#N/A</v>
      </c>
      <c r="G677" s="58" t="e">
        <f>VLOOKUP($C677,'Daily_BU설비데이터 '!$C$20:$T$1000,5,0)</f>
        <v>#N/A</v>
      </c>
      <c r="H677" s="58" t="e">
        <f>VLOOKUP($C677,'Daily_BU설비데이터 '!$C$20:$T$1000,6,0)</f>
        <v>#N/A</v>
      </c>
      <c r="I677" s="58" t="e">
        <f>VLOOKUP($C677,'Daily_BU설비데이터 '!$C$20:$T$1000,7,0)</f>
        <v>#N/A</v>
      </c>
      <c r="J677" s="58" t="e">
        <f>VLOOKUP($C677,'Daily_BU설비데이터 '!$C$20:$T$1000,8,0)</f>
        <v>#N/A</v>
      </c>
      <c r="K677" s="58" t="e">
        <f>VLOOKUP($C677,'Daily_BU설비데이터 '!$C$20:$T$1000,9,0)</f>
        <v>#N/A</v>
      </c>
      <c r="L677" s="59" t="e">
        <f t="shared" si="67"/>
        <v>#N/A</v>
      </c>
      <c r="M677" s="68" t="e">
        <f>VLOOKUP($C677,'Daily_BU설비데이터 '!$C$20:$T$1000,11,0)</f>
        <v>#N/A</v>
      </c>
      <c r="N677" s="68" t="e">
        <f>VLOOKUP($C677,'Daily_BU설비데이터 '!$C$20:$T$1000,12,0)</f>
        <v>#N/A</v>
      </c>
      <c r="O677" s="68" t="e">
        <f>VLOOKUP($C677,'Daily_BU설비데이터 '!$C$20:$T$1000,13,0)</f>
        <v>#N/A</v>
      </c>
      <c r="P677" s="68" t="e">
        <f>VLOOKUP($C677,'Daily_BU설비데이터 '!$C$20:$T$1000,14,0)</f>
        <v>#N/A</v>
      </c>
      <c r="Q677" s="99" t="e">
        <f t="shared" si="68"/>
        <v>#N/A</v>
      </c>
      <c r="R677" s="100" t="e">
        <f t="shared" si="69"/>
        <v>#N/A</v>
      </c>
      <c r="S677" s="83" t="e">
        <f>VLOOKUP($C677,'Daily_BU설비데이터 '!$C$20:$T$1000,17,0)</f>
        <v>#N/A</v>
      </c>
      <c r="T677" s="83" t="e">
        <f>VLOOKUP($C677,'Daily_BU설비데이터 '!$C$20:$T$1000,18,0)</f>
        <v>#N/A</v>
      </c>
      <c r="U677" s="101" t="e">
        <f t="shared" si="70"/>
        <v>#N/A</v>
      </c>
      <c r="V677" s="45"/>
      <c r="W677" s="45"/>
      <c r="X677" s="45"/>
      <c r="Y677" s="45"/>
      <c r="Z677" s="45"/>
      <c r="AA677" s="45"/>
    </row>
    <row r="678" spans="2:27" x14ac:dyDescent="0.45">
      <c r="B678" s="45" t="s">
        <v>484</v>
      </c>
      <c r="C678" s="90"/>
      <c r="D678" s="56"/>
      <c r="E678" s="80"/>
      <c r="F678" s="58" t="e">
        <f>VLOOKUP($C678,'Daily_BU설비데이터 '!$C$20:$T$1000,4,0)</f>
        <v>#N/A</v>
      </c>
      <c r="G678" s="58" t="e">
        <f>VLOOKUP($C678,'Daily_BU설비데이터 '!$C$20:$T$1000,5,0)</f>
        <v>#N/A</v>
      </c>
      <c r="H678" s="58" t="e">
        <f>VLOOKUP($C678,'Daily_BU설비데이터 '!$C$20:$T$1000,6,0)</f>
        <v>#N/A</v>
      </c>
      <c r="I678" s="58" t="e">
        <f>VLOOKUP($C678,'Daily_BU설비데이터 '!$C$20:$T$1000,7,0)</f>
        <v>#N/A</v>
      </c>
      <c r="J678" s="58" t="e">
        <f>VLOOKUP($C678,'Daily_BU설비데이터 '!$C$20:$T$1000,8,0)</f>
        <v>#N/A</v>
      </c>
      <c r="K678" s="58" t="e">
        <f>VLOOKUP($C678,'Daily_BU설비데이터 '!$C$20:$T$1000,9,0)</f>
        <v>#N/A</v>
      </c>
      <c r="L678" s="59" t="e">
        <f t="shared" si="67"/>
        <v>#N/A</v>
      </c>
      <c r="M678" s="68" t="e">
        <f>VLOOKUP($C678,'Daily_BU설비데이터 '!$C$20:$T$1000,11,0)</f>
        <v>#N/A</v>
      </c>
      <c r="N678" s="68" t="e">
        <f>VLOOKUP($C678,'Daily_BU설비데이터 '!$C$20:$T$1000,12,0)</f>
        <v>#N/A</v>
      </c>
      <c r="O678" s="68" t="e">
        <f>VLOOKUP($C678,'Daily_BU설비데이터 '!$C$20:$T$1000,13,0)</f>
        <v>#N/A</v>
      </c>
      <c r="P678" s="68" t="e">
        <f>VLOOKUP($C678,'Daily_BU설비데이터 '!$C$20:$T$1000,14,0)</f>
        <v>#N/A</v>
      </c>
      <c r="Q678" s="99" t="e">
        <f t="shared" si="68"/>
        <v>#N/A</v>
      </c>
      <c r="R678" s="100" t="e">
        <f t="shared" si="69"/>
        <v>#N/A</v>
      </c>
      <c r="S678" s="83" t="e">
        <f>VLOOKUP($C678,'Daily_BU설비데이터 '!$C$20:$T$1000,17,0)</f>
        <v>#N/A</v>
      </c>
      <c r="T678" s="83" t="e">
        <f>VLOOKUP($C678,'Daily_BU설비데이터 '!$C$20:$T$1000,18,0)</f>
        <v>#N/A</v>
      </c>
      <c r="U678" s="101" t="e">
        <f t="shared" si="70"/>
        <v>#N/A</v>
      </c>
      <c r="V678" s="45"/>
      <c r="W678" s="45"/>
      <c r="X678" s="45"/>
      <c r="Y678" s="45"/>
      <c r="Z678" s="45"/>
      <c r="AA678" s="45"/>
    </row>
    <row r="679" spans="2:27" x14ac:dyDescent="0.45">
      <c r="B679" s="45" t="s">
        <v>485</v>
      </c>
      <c r="C679" s="90"/>
      <c r="D679" s="56"/>
      <c r="E679" s="84"/>
      <c r="F679" s="58" t="e">
        <f>VLOOKUP($C679,'Daily_BU설비데이터 '!$C$20:$T$1000,4,0)</f>
        <v>#N/A</v>
      </c>
      <c r="G679" s="58" t="e">
        <f>VLOOKUP($C679,'Daily_BU설비데이터 '!$C$20:$T$1000,5,0)</f>
        <v>#N/A</v>
      </c>
      <c r="H679" s="58" t="e">
        <f>VLOOKUP($C679,'Daily_BU설비데이터 '!$C$20:$T$1000,6,0)</f>
        <v>#N/A</v>
      </c>
      <c r="I679" s="58" t="e">
        <f>VLOOKUP($C679,'Daily_BU설비데이터 '!$C$20:$T$1000,7,0)</f>
        <v>#N/A</v>
      </c>
      <c r="J679" s="58" t="e">
        <f>VLOOKUP($C679,'Daily_BU설비데이터 '!$C$20:$T$1000,8,0)</f>
        <v>#N/A</v>
      </c>
      <c r="K679" s="58" t="e">
        <f>VLOOKUP($C679,'Daily_BU설비데이터 '!$C$20:$T$1000,9,0)</f>
        <v>#N/A</v>
      </c>
      <c r="L679" s="59" t="e">
        <f t="shared" si="67"/>
        <v>#N/A</v>
      </c>
      <c r="M679" s="68" t="e">
        <f>VLOOKUP($C679,'Daily_BU설비데이터 '!$C$20:$T$1000,11,0)</f>
        <v>#N/A</v>
      </c>
      <c r="N679" s="68" t="e">
        <f>VLOOKUP($C679,'Daily_BU설비데이터 '!$C$20:$T$1000,12,0)</f>
        <v>#N/A</v>
      </c>
      <c r="O679" s="68" t="e">
        <f>VLOOKUP($C679,'Daily_BU설비데이터 '!$C$20:$T$1000,13,0)</f>
        <v>#N/A</v>
      </c>
      <c r="P679" s="68" t="e">
        <f>VLOOKUP($C679,'Daily_BU설비데이터 '!$C$20:$T$1000,14,0)</f>
        <v>#N/A</v>
      </c>
      <c r="Q679" s="99" t="e">
        <f t="shared" si="68"/>
        <v>#N/A</v>
      </c>
      <c r="R679" s="100" t="e">
        <f t="shared" si="69"/>
        <v>#N/A</v>
      </c>
      <c r="S679" s="83" t="e">
        <f>VLOOKUP($C679,'Daily_BU설비데이터 '!$C$20:$T$1000,17,0)</f>
        <v>#N/A</v>
      </c>
      <c r="T679" s="83" t="e">
        <f>VLOOKUP($C679,'Daily_BU설비데이터 '!$C$20:$T$1000,18,0)</f>
        <v>#N/A</v>
      </c>
      <c r="U679" s="101" t="e">
        <f t="shared" si="70"/>
        <v>#N/A</v>
      </c>
      <c r="V679" s="45"/>
      <c r="W679" s="45"/>
      <c r="X679" s="45"/>
      <c r="Y679" s="45"/>
      <c r="Z679" s="45"/>
      <c r="AA679" s="45"/>
    </row>
    <row r="680" spans="2:27" x14ac:dyDescent="0.45">
      <c r="B680" s="45" t="s">
        <v>486</v>
      </c>
      <c r="C680" s="90"/>
      <c r="D680" s="56"/>
      <c r="E680" s="57"/>
      <c r="F680" s="58" t="e">
        <f>VLOOKUP($C680,'Daily_BU설비데이터 '!$C$20:$T$1000,4,0)</f>
        <v>#N/A</v>
      </c>
      <c r="G680" s="58" t="e">
        <f>VLOOKUP($C680,'Daily_BU설비데이터 '!$C$20:$T$1000,5,0)</f>
        <v>#N/A</v>
      </c>
      <c r="H680" s="58" t="e">
        <f>VLOOKUP($C680,'Daily_BU설비데이터 '!$C$20:$T$1000,6,0)</f>
        <v>#N/A</v>
      </c>
      <c r="I680" s="58" t="e">
        <f>VLOOKUP($C680,'Daily_BU설비데이터 '!$C$20:$T$1000,7,0)</f>
        <v>#N/A</v>
      </c>
      <c r="J680" s="58" t="e">
        <f>VLOOKUP($C680,'Daily_BU설비데이터 '!$C$20:$T$1000,8,0)</f>
        <v>#N/A</v>
      </c>
      <c r="K680" s="58" t="e">
        <f>VLOOKUP($C680,'Daily_BU설비데이터 '!$C$20:$T$1000,9,0)</f>
        <v>#N/A</v>
      </c>
      <c r="L680" s="59" t="e">
        <f t="shared" si="67"/>
        <v>#N/A</v>
      </c>
      <c r="M680" s="68" t="e">
        <f>VLOOKUP($C680,'Daily_BU설비데이터 '!$C$20:$T$1000,11,0)</f>
        <v>#N/A</v>
      </c>
      <c r="N680" s="68" t="e">
        <f>VLOOKUP($C680,'Daily_BU설비데이터 '!$C$20:$T$1000,12,0)</f>
        <v>#N/A</v>
      </c>
      <c r="O680" s="68" t="e">
        <f>VLOOKUP($C680,'Daily_BU설비데이터 '!$C$20:$T$1000,13,0)</f>
        <v>#N/A</v>
      </c>
      <c r="P680" s="68" t="e">
        <f>VLOOKUP($C680,'Daily_BU설비데이터 '!$C$20:$T$1000,14,0)</f>
        <v>#N/A</v>
      </c>
      <c r="Q680" s="99" t="e">
        <f t="shared" si="68"/>
        <v>#N/A</v>
      </c>
      <c r="R680" s="100" t="e">
        <f t="shared" si="69"/>
        <v>#N/A</v>
      </c>
      <c r="S680" s="83" t="e">
        <f>VLOOKUP($C680,'Daily_BU설비데이터 '!$C$20:$T$1000,17,0)</f>
        <v>#N/A</v>
      </c>
      <c r="T680" s="83" t="e">
        <f>VLOOKUP($C680,'Daily_BU설비데이터 '!$C$20:$T$1000,18,0)</f>
        <v>#N/A</v>
      </c>
      <c r="U680" s="101" t="e">
        <f t="shared" si="70"/>
        <v>#N/A</v>
      </c>
      <c r="V680" s="45"/>
      <c r="W680" s="45"/>
      <c r="X680" s="45"/>
      <c r="Y680" s="45"/>
      <c r="Z680" s="45"/>
      <c r="AA680" s="45"/>
    </row>
    <row r="681" spans="2:27" x14ac:dyDescent="0.45">
      <c r="B681" s="45" t="s">
        <v>487</v>
      </c>
      <c r="C681" s="90"/>
      <c r="D681" s="56"/>
      <c r="E681" s="80"/>
      <c r="F681" s="58" t="e">
        <f>VLOOKUP($C681,'Daily_BU설비데이터 '!$C$20:$T$1000,4,0)</f>
        <v>#N/A</v>
      </c>
      <c r="G681" s="58" t="e">
        <f>VLOOKUP($C681,'Daily_BU설비데이터 '!$C$20:$T$1000,5,0)</f>
        <v>#N/A</v>
      </c>
      <c r="H681" s="58" t="e">
        <f>VLOOKUP($C681,'Daily_BU설비데이터 '!$C$20:$T$1000,6,0)</f>
        <v>#N/A</v>
      </c>
      <c r="I681" s="58" t="e">
        <f>VLOOKUP($C681,'Daily_BU설비데이터 '!$C$20:$T$1000,7,0)</f>
        <v>#N/A</v>
      </c>
      <c r="J681" s="58" t="e">
        <f>VLOOKUP($C681,'Daily_BU설비데이터 '!$C$20:$T$1000,8,0)</f>
        <v>#N/A</v>
      </c>
      <c r="K681" s="58" t="e">
        <f>VLOOKUP($C681,'Daily_BU설비데이터 '!$C$20:$T$1000,9,0)</f>
        <v>#N/A</v>
      </c>
      <c r="L681" s="59" t="e">
        <f t="shared" si="67"/>
        <v>#N/A</v>
      </c>
      <c r="M681" s="68" t="e">
        <f>VLOOKUP($C681,'Daily_BU설비데이터 '!$C$20:$T$1000,11,0)</f>
        <v>#N/A</v>
      </c>
      <c r="N681" s="68" t="e">
        <f>VLOOKUP($C681,'Daily_BU설비데이터 '!$C$20:$T$1000,12,0)</f>
        <v>#N/A</v>
      </c>
      <c r="O681" s="68" t="e">
        <f>VLOOKUP($C681,'Daily_BU설비데이터 '!$C$20:$T$1000,13,0)</f>
        <v>#N/A</v>
      </c>
      <c r="P681" s="68" t="e">
        <f>VLOOKUP($C681,'Daily_BU설비데이터 '!$C$20:$T$1000,14,0)</f>
        <v>#N/A</v>
      </c>
      <c r="Q681" s="99" t="e">
        <f t="shared" si="68"/>
        <v>#N/A</v>
      </c>
      <c r="R681" s="100" t="e">
        <f t="shared" si="69"/>
        <v>#N/A</v>
      </c>
      <c r="S681" s="83" t="e">
        <f>VLOOKUP($C681,'Daily_BU설비데이터 '!$C$20:$T$1000,17,0)</f>
        <v>#N/A</v>
      </c>
      <c r="T681" s="83" t="e">
        <f>VLOOKUP($C681,'Daily_BU설비데이터 '!$C$20:$T$1000,18,0)</f>
        <v>#N/A</v>
      </c>
      <c r="U681" s="101" t="e">
        <f t="shared" si="70"/>
        <v>#N/A</v>
      </c>
      <c r="V681" s="45"/>
      <c r="W681" s="45"/>
      <c r="X681" s="45"/>
      <c r="Y681" s="45"/>
      <c r="Z681" s="45"/>
      <c r="AA681" s="45"/>
    </row>
    <row r="682" spans="2:27" x14ac:dyDescent="0.45">
      <c r="B682" s="45" t="s">
        <v>488</v>
      </c>
      <c r="C682" s="90"/>
      <c r="D682" s="56"/>
      <c r="E682" s="84"/>
      <c r="F682" s="58" t="e">
        <f>VLOOKUP($C682,'Daily_BU설비데이터 '!$C$20:$T$1000,4,0)</f>
        <v>#N/A</v>
      </c>
      <c r="G682" s="58" t="e">
        <f>VLOOKUP($C682,'Daily_BU설비데이터 '!$C$20:$T$1000,5,0)</f>
        <v>#N/A</v>
      </c>
      <c r="H682" s="58" t="e">
        <f>VLOOKUP($C682,'Daily_BU설비데이터 '!$C$20:$T$1000,6,0)</f>
        <v>#N/A</v>
      </c>
      <c r="I682" s="58" t="e">
        <f>VLOOKUP($C682,'Daily_BU설비데이터 '!$C$20:$T$1000,7,0)</f>
        <v>#N/A</v>
      </c>
      <c r="J682" s="58" t="e">
        <f>VLOOKUP($C682,'Daily_BU설비데이터 '!$C$20:$T$1000,8,0)</f>
        <v>#N/A</v>
      </c>
      <c r="K682" s="58" t="e">
        <f>VLOOKUP($C682,'Daily_BU설비데이터 '!$C$20:$T$1000,9,0)</f>
        <v>#N/A</v>
      </c>
      <c r="L682" s="59" t="e">
        <f t="shared" si="67"/>
        <v>#N/A</v>
      </c>
      <c r="M682" s="68" t="e">
        <f>VLOOKUP($C682,'Daily_BU설비데이터 '!$C$20:$T$1000,11,0)</f>
        <v>#N/A</v>
      </c>
      <c r="N682" s="68" t="e">
        <f>VLOOKUP($C682,'Daily_BU설비데이터 '!$C$20:$T$1000,12,0)</f>
        <v>#N/A</v>
      </c>
      <c r="O682" s="68" t="e">
        <f>VLOOKUP($C682,'Daily_BU설비데이터 '!$C$20:$T$1000,13,0)</f>
        <v>#N/A</v>
      </c>
      <c r="P682" s="68" t="e">
        <f>VLOOKUP($C682,'Daily_BU설비데이터 '!$C$20:$T$1000,14,0)</f>
        <v>#N/A</v>
      </c>
      <c r="Q682" s="99" t="e">
        <f t="shared" si="68"/>
        <v>#N/A</v>
      </c>
      <c r="R682" s="100" t="e">
        <f t="shared" si="69"/>
        <v>#N/A</v>
      </c>
      <c r="S682" s="83" t="e">
        <f>VLOOKUP($C682,'Daily_BU설비데이터 '!$C$20:$T$1000,17,0)</f>
        <v>#N/A</v>
      </c>
      <c r="T682" s="83" t="e">
        <f>VLOOKUP($C682,'Daily_BU설비데이터 '!$C$20:$T$1000,18,0)</f>
        <v>#N/A</v>
      </c>
      <c r="U682" s="101" t="e">
        <f t="shared" si="70"/>
        <v>#N/A</v>
      </c>
      <c r="V682" s="45"/>
      <c r="W682" s="45"/>
      <c r="X682" s="45"/>
      <c r="Y682" s="45"/>
      <c r="Z682" s="45"/>
      <c r="AA682" s="45"/>
    </row>
    <row r="683" spans="2:27" x14ac:dyDescent="0.45">
      <c r="B683" s="45" t="s">
        <v>489</v>
      </c>
      <c r="C683" s="90"/>
      <c r="D683" s="56"/>
      <c r="E683" s="57"/>
      <c r="F683" s="58" t="e">
        <f>VLOOKUP($C683,'Daily_BU설비데이터 '!$C$20:$T$1000,4,0)</f>
        <v>#N/A</v>
      </c>
      <c r="G683" s="58" t="e">
        <f>VLOOKUP($C683,'Daily_BU설비데이터 '!$C$20:$T$1000,5,0)</f>
        <v>#N/A</v>
      </c>
      <c r="H683" s="58" t="e">
        <f>VLOOKUP($C683,'Daily_BU설비데이터 '!$C$20:$T$1000,6,0)</f>
        <v>#N/A</v>
      </c>
      <c r="I683" s="58" t="e">
        <f>VLOOKUP($C683,'Daily_BU설비데이터 '!$C$20:$T$1000,7,0)</f>
        <v>#N/A</v>
      </c>
      <c r="J683" s="58" t="e">
        <f>VLOOKUP($C683,'Daily_BU설비데이터 '!$C$20:$T$1000,8,0)</f>
        <v>#N/A</v>
      </c>
      <c r="K683" s="58" t="e">
        <f>VLOOKUP($C683,'Daily_BU설비데이터 '!$C$20:$T$1000,9,0)</f>
        <v>#N/A</v>
      </c>
      <c r="L683" s="59" t="e">
        <f t="shared" si="67"/>
        <v>#N/A</v>
      </c>
      <c r="M683" s="68" t="e">
        <f>VLOOKUP($C683,'Daily_BU설비데이터 '!$C$20:$T$1000,11,0)</f>
        <v>#N/A</v>
      </c>
      <c r="N683" s="68" t="e">
        <f>VLOOKUP($C683,'Daily_BU설비데이터 '!$C$20:$T$1000,12,0)</f>
        <v>#N/A</v>
      </c>
      <c r="O683" s="68" t="e">
        <f>VLOOKUP($C683,'Daily_BU설비데이터 '!$C$20:$T$1000,13,0)</f>
        <v>#N/A</v>
      </c>
      <c r="P683" s="68" t="e">
        <f>VLOOKUP($C683,'Daily_BU설비데이터 '!$C$20:$T$1000,14,0)</f>
        <v>#N/A</v>
      </c>
      <c r="Q683" s="99" t="e">
        <f t="shared" si="68"/>
        <v>#N/A</v>
      </c>
      <c r="R683" s="100" t="e">
        <f t="shared" si="69"/>
        <v>#N/A</v>
      </c>
      <c r="S683" s="83" t="e">
        <f>VLOOKUP($C683,'Daily_BU설비데이터 '!$C$20:$T$1000,17,0)</f>
        <v>#N/A</v>
      </c>
      <c r="T683" s="83" t="e">
        <f>VLOOKUP($C683,'Daily_BU설비데이터 '!$C$20:$T$1000,18,0)</f>
        <v>#N/A</v>
      </c>
      <c r="U683" s="101" t="e">
        <f t="shared" si="70"/>
        <v>#N/A</v>
      </c>
      <c r="V683" s="45"/>
      <c r="W683" s="45"/>
      <c r="X683" s="45"/>
      <c r="Y683" s="45"/>
      <c r="Z683" s="45"/>
      <c r="AA683" s="45"/>
    </row>
    <row r="684" spans="2:27" x14ac:dyDescent="0.45">
      <c r="B684" s="45" t="s">
        <v>490</v>
      </c>
      <c r="C684" s="90"/>
      <c r="D684" s="56"/>
      <c r="E684" s="80"/>
      <c r="F684" s="58" t="e">
        <f>VLOOKUP($C684,'Daily_BU설비데이터 '!$C$20:$T$1000,4,0)</f>
        <v>#N/A</v>
      </c>
      <c r="G684" s="58" t="e">
        <f>VLOOKUP($C684,'Daily_BU설비데이터 '!$C$20:$T$1000,5,0)</f>
        <v>#N/A</v>
      </c>
      <c r="H684" s="58" t="e">
        <f>VLOOKUP($C684,'Daily_BU설비데이터 '!$C$20:$T$1000,6,0)</f>
        <v>#N/A</v>
      </c>
      <c r="I684" s="58" t="e">
        <f>VLOOKUP($C684,'Daily_BU설비데이터 '!$C$20:$T$1000,7,0)</f>
        <v>#N/A</v>
      </c>
      <c r="J684" s="58" t="e">
        <f>VLOOKUP($C684,'Daily_BU설비데이터 '!$C$20:$T$1000,8,0)</f>
        <v>#N/A</v>
      </c>
      <c r="K684" s="58" t="e">
        <f>VLOOKUP($C684,'Daily_BU설비데이터 '!$C$20:$T$1000,9,0)</f>
        <v>#N/A</v>
      </c>
      <c r="L684" s="59" t="e">
        <f t="shared" si="67"/>
        <v>#N/A</v>
      </c>
      <c r="M684" s="68" t="e">
        <f>VLOOKUP($C684,'Daily_BU설비데이터 '!$C$20:$T$1000,11,0)</f>
        <v>#N/A</v>
      </c>
      <c r="N684" s="68" t="e">
        <f>VLOOKUP($C684,'Daily_BU설비데이터 '!$C$20:$T$1000,12,0)</f>
        <v>#N/A</v>
      </c>
      <c r="O684" s="68" t="e">
        <f>VLOOKUP($C684,'Daily_BU설비데이터 '!$C$20:$T$1000,13,0)</f>
        <v>#N/A</v>
      </c>
      <c r="P684" s="68" t="e">
        <f>VLOOKUP($C684,'Daily_BU설비데이터 '!$C$20:$T$1000,14,0)</f>
        <v>#N/A</v>
      </c>
      <c r="Q684" s="99" t="e">
        <f t="shared" si="68"/>
        <v>#N/A</v>
      </c>
      <c r="R684" s="100" t="e">
        <f t="shared" si="69"/>
        <v>#N/A</v>
      </c>
      <c r="S684" s="83" t="e">
        <f>VLOOKUP($C684,'Daily_BU설비데이터 '!$C$20:$T$1000,17,0)</f>
        <v>#N/A</v>
      </c>
      <c r="T684" s="83" t="e">
        <f>VLOOKUP($C684,'Daily_BU설비데이터 '!$C$20:$T$1000,18,0)</f>
        <v>#N/A</v>
      </c>
      <c r="U684" s="101" t="e">
        <f t="shared" si="70"/>
        <v>#N/A</v>
      </c>
      <c r="V684" s="45"/>
      <c r="W684" s="45"/>
      <c r="X684" s="45"/>
      <c r="Y684" s="45"/>
      <c r="Z684" s="45"/>
      <c r="AA684" s="45"/>
    </row>
    <row r="685" spans="2:27" x14ac:dyDescent="0.45">
      <c r="B685" s="45" t="s">
        <v>491</v>
      </c>
      <c r="C685" s="90"/>
      <c r="D685" s="56"/>
      <c r="E685" s="84"/>
      <c r="F685" s="58" t="e">
        <f>VLOOKUP($C685,'Daily_BU설비데이터 '!$C$20:$T$1000,4,0)</f>
        <v>#N/A</v>
      </c>
      <c r="G685" s="58" t="e">
        <f>VLOOKUP($C685,'Daily_BU설비데이터 '!$C$20:$T$1000,5,0)</f>
        <v>#N/A</v>
      </c>
      <c r="H685" s="58" t="e">
        <f>VLOOKUP($C685,'Daily_BU설비데이터 '!$C$20:$T$1000,6,0)</f>
        <v>#N/A</v>
      </c>
      <c r="I685" s="58" t="e">
        <f>VLOOKUP($C685,'Daily_BU설비데이터 '!$C$20:$T$1000,7,0)</f>
        <v>#N/A</v>
      </c>
      <c r="J685" s="58" t="e">
        <f>VLOOKUP($C685,'Daily_BU설비데이터 '!$C$20:$T$1000,8,0)</f>
        <v>#N/A</v>
      </c>
      <c r="K685" s="58" t="e">
        <f>VLOOKUP($C685,'Daily_BU설비데이터 '!$C$20:$T$1000,9,0)</f>
        <v>#N/A</v>
      </c>
      <c r="L685" s="59" t="e">
        <f t="shared" si="67"/>
        <v>#N/A</v>
      </c>
      <c r="M685" s="68" t="e">
        <f>VLOOKUP($C685,'Daily_BU설비데이터 '!$C$20:$T$1000,11,0)</f>
        <v>#N/A</v>
      </c>
      <c r="N685" s="68" t="e">
        <f>VLOOKUP($C685,'Daily_BU설비데이터 '!$C$20:$T$1000,12,0)</f>
        <v>#N/A</v>
      </c>
      <c r="O685" s="68" t="e">
        <f>VLOOKUP($C685,'Daily_BU설비데이터 '!$C$20:$T$1000,13,0)</f>
        <v>#N/A</v>
      </c>
      <c r="P685" s="68" t="e">
        <f>VLOOKUP($C685,'Daily_BU설비데이터 '!$C$20:$T$1000,14,0)</f>
        <v>#N/A</v>
      </c>
      <c r="Q685" s="99" t="e">
        <f t="shared" si="68"/>
        <v>#N/A</v>
      </c>
      <c r="R685" s="100" t="e">
        <f t="shared" si="69"/>
        <v>#N/A</v>
      </c>
      <c r="S685" s="83" t="e">
        <f>VLOOKUP($C685,'Daily_BU설비데이터 '!$C$20:$T$1000,17,0)</f>
        <v>#N/A</v>
      </c>
      <c r="T685" s="83" t="e">
        <f>VLOOKUP($C685,'Daily_BU설비데이터 '!$C$20:$T$1000,18,0)</f>
        <v>#N/A</v>
      </c>
      <c r="U685" s="101" t="e">
        <f t="shared" si="70"/>
        <v>#N/A</v>
      </c>
      <c r="V685" s="45"/>
      <c r="W685" s="45"/>
      <c r="X685" s="45"/>
      <c r="Y685" s="45"/>
      <c r="Z685" s="45"/>
      <c r="AA685" s="45"/>
    </row>
    <row r="686" spans="2:27" x14ac:dyDescent="0.45">
      <c r="B686" s="45" t="s">
        <v>492</v>
      </c>
      <c r="C686" s="90"/>
      <c r="D686" s="56"/>
      <c r="E686" s="57"/>
      <c r="F686" s="58" t="e">
        <f>VLOOKUP($C686,'Daily_BU설비데이터 '!$C$20:$T$1000,4,0)</f>
        <v>#N/A</v>
      </c>
      <c r="G686" s="58" t="e">
        <f>VLOOKUP($C686,'Daily_BU설비데이터 '!$C$20:$T$1000,5,0)</f>
        <v>#N/A</v>
      </c>
      <c r="H686" s="58" t="e">
        <f>VLOOKUP($C686,'Daily_BU설비데이터 '!$C$20:$T$1000,6,0)</f>
        <v>#N/A</v>
      </c>
      <c r="I686" s="58" t="e">
        <f>VLOOKUP($C686,'Daily_BU설비데이터 '!$C$20:$T$1000,7,0)</f>
        <v>#N/A</v>
      </c>
      <c r="J686" s="58" t="e">
        <f>VLOOKUP($C686,'Daily_BU설비데이터 '!$C$20:$T$1000,8,0)</f>
        <v>#N/A</v>
      </c>
      <c r="K686" s="58" t="e">
        <f>VLOOKUP($C686,'Daily_BU설비데이터 '!$C$20:$T$1000,9,0)</f>
        <v>#N/A</v>
      </c>
      <c r="L686" s="59" t="e">
        <f t="shared" si="67"/>
        <v>#N/A</v>
      </c>
      <c r="M686" s="68" t="e">
        <f>VLOOKUP($C686,'Daily_BU설비데이터 '!$C$20:$T$1000,11,0)</f>
        <v>#N/A</v>
      </c>
      <c r="N686" s="68" t="e">
        <f>VLOOKUP($C686,'Daily_BU설비데이터 '!$C$20:$T$1000,12,0)</f>
        <v>#N/A</v>
      </c>
      <c r="O686" s="68" t="e">
        <f>VLOOKUP($C686,'Daily_BU설비데이터 '!$C$20:$T$1000,13,0)</f>
        <v>#N/A</v>
      </c>
      <c r="P686" s="68" t="e">
        <f>VLOOKUP($C686,'Daily_BU설비데이터 '!$C$20:$T$1000,14,0)</f>
        <v>#N/A</v>
      </c>
      <c r="Q686" s="99" t="e">
        <f t="shared" si="68"/>
        <v>#N/A</v>
      </c>
      <c r="R686" s="100" t="e">
        <f t="shared" si="69"/>
        <v>#N/A</v>
      </c>
      <c r="S686" s="83" t="e">
        <f>VLOOKUP($C686,'Daily_BU설비데이터 '!$C$20:$T$1000,17,0)</f>
        <v>#N/A</v>
      </c>
      <c r="T686" s="83" t="e">
        <f>VLOOKUP($C686,'Daily_BU설비데이터 '!$C$20:$T$1000,18,0)</f>
        <v>#N/A</v>
      </c>
      <c r="U686" s="101" t="e">
        <f t="shared" si="70"/>
        <v>#N/A</v>
      </c>
      <c r="V686" s="45"/>
      <c r="W686" s="45"/>
      <c r="X686" s="45"/>
      <c r="Y686" s="45"/>
      <c r="Z686" s="45"/>
      <c r="AA686" s="45"/>
    </row>
    <row r="687" spans="2:27" x14ac:dyDescent="0.45">
      <c r="B687" s="45" t="s">
        <v>493</v>
      </c>
      <c r="C687" s="90"/>
      <c r="D687" s="56"/>
      <c r="E687" s="80"/>
      <c r="F687" s="58" t="e">
        <f>VLOOKUP($C687,'Daily_BU설비데이터 '!$C$20:$T$1000,4,0)</f>
        <v>#N/A</v>
      </c>
      <c r="G687" s="58" t="e">
        <f>VLOOKUP($C687,'Daily_BU설비데이터 '!$C$20:$T$1000,5,0)</f>
        <v>#N/A</v>
      </c>
      <c r="H687" s="58" t="e">
        <f>VLOOKUP($C687,'Daily_BU설비데이터 '!$C$20:$T$1000,6,0)</f>
        <v>#N/A</v>
      </c>
      <c r="I687" s="58" t="e">
        <f>VLOOKUP($C687,'Daily_BU설비데이터 '!$C$20:$T$1000,7,0)</f>
        <v>#N/A</v>
      </c>
      <c r="J687" s="58" t="e">
        <f>VLOOKUP($C687,'Daily_BU설비데이터 '!$C$20:$T$1000,8,0)</f>
        <v>#N/A</v>
      </c>
      <c r="K687" s="58" t="e">
        <f>VLOOKUP($C687,'Daily_BU설비데이터 '!$C$20:$T$1000,9,0)</f>
        <v>#N/A</v>
      </c>
      <c r="L687" s="59" t="e">
        <f t="shared" si="67"/>
        <v>#N/A</v>
      </c>
      <c r="M687" s="68" t="e">
        <f>VLOOKUP($C687,'Daily_BU설비데이터 '!$C$20:$T$1000,11,0)</f>
        <v>#N/A</v>
      </c>
      <c r="N687" s="68" t="e">
        <f>VLOOKUP($C687,'Daily_BU설비데이터 '!$C$20:$T$1000,12,0)</f>
        <v>#N/A</v>
      </c>
      <c r="O687" s="68" t="e">
        <f>VLOOKUP($C687,'Daily_BU설비데이터 '!$C$20:$T$1000,13,0)</f>
        <v>#N/A</v>
      </c>
      <c r="P687" s="68" t="e">
        <f>VLOOKUP($C687,'Daily_BU설비데이터 '!$C$20:$T$1000,14,0)</f>
        <v>#N/A</v>
      </c>
      <c r="Q687" s="99" t="e">
        <f t="shared" si="68"/>
        <v>#N/A</v>
      </c>
      <c r="R687" s="100" t="e">
        <f t="shared" si="69"/>
        <v>#N/A</v>
      </c>
      <c r="S687" s="83" t="e">
        <f>VLOOKUP($C687,'Daily_BU설비데이터 '!$C$20:$T$1000,17,0)</f>
        <v>#N/A</v>
      </c>
      <c r="T687" s="83" t="e">
        <f>VLOOKUP($C687,'Daily_BU설비데이터 '!$C$20:$T$1000,18,0)</f>
        <v>#N/A</v>
      </c>
      <c r="U687" s="101" t="e">
        <f t="shared" si="70"/>
        <v>#N/A</v>
      </c>
      <c r="V687" s="45"/>
      <c r="W687" s="45"/>
      <c r="X687" s="45"/>
      <c r="Y687" s="45"/>
      <c r="Z687" s="45"/>
      <c r="AA687" s="45"/>
    </row>
    <row r="688" spans="2:27" x14ac:dyDescent="0.45">
      <c r="B688" s="45" t="s">
        <v>494</v>
      </c>
      <c r="C688" s="90"/>
      <c r="D688" s="56"/>
      <c r="E688" s="84"/>
      <c r="F688" s="58" t="e">
        <f>VLOOKUP($C688,'Daily_BU설비데이터 '!$C$20:$T$1000,4,0)</f>
        <v>#N/A</v>
      </c>
      <c r="G688" s="58" t="e">
        <f>VLOOKUP($C688,'Daily_BU설비데이터 '!$C$20:$T$1000,5,0)</f>
        <v>#N/A</v>
      </c>
      <c r="H688" s="58" t="e">
        <f>VLOOKUP($C688,'Daily_BU설비데이터 '!$C$20:$T$1000,6,0)</f>
        <v>#N/A</v>
      </c>
      <c r="I688" s="58" t="e">
        <f>VLOOKUP($C688,'Daily_BU설비데이터 '!$C$20:$T$1000,7,0)</f>
        <v>#N/A</v>
      </c>
      <c r="J688" s="58" t="e">
        <f>VLOOKUP($C688,'Daily_BU설비데이터 '!$C$20:$T$1000,8,0)</f>
        <v>#N/A</v>
      </c>
      <c r="K688" s="58" t="e">
        <f>VLOOKUP($C688,'Daily_BU설비데이터 '!$C$20:$T$1000,9,0)</f>
        <v>#N/A</v>
      </c>
      <c r="L688" s="59" t="e">
        <f t="shared" si="67"/>
        <v>#N/A</v>
      </c>
      <c r="M688" s="68" t="e">
        <f>VLOOKUP($C688,'Daily_BU설비데이터 '!$C$20:$T$1000,11,0)</f>
        <v>#N/A</v>
      </c>
      <c r="N688" s="68" t="e">
        <f>VLOOKUP($C688,'Daily_BU설비데이터 '!$C$20:$T$1000,12,0)</f>
        <v>#N/A</v>
      </c>
      <c r="O688" s="68" t="e">
        <f>VLOOKUP($C688,'Daily_BU설비데이터 '!$C$20:$T$1000,13,0)</f>
        <v>#N/A</v>
      </c>
      <c r="P688" s="68" t="e">
        <f>VLOOKUP($C688,'Daily_BU설비데이터 '!$C$20:$T$1000,14,0)</f>
        <v>#N/A</v>
      </c>
      <c r="Q688" s="99" t="e">
        <f t="shared" si="68"/>
        <v>#N/A</v>
      </c>
      <c r="R688" s="100" t="e">
        <f t="shared" si="69"/>
        <v>#N/A</v>
      </c>
      <c r="S688" s="83" t="e">
        <f>VLOOKUP($C688,'Daily_BU설비데이터 '!$C$20:$T$1000,17,0)</f>
        <v>#N/A</v>
      </c>
      <c r="T688" s="83" t="e">
        <f>VLOOKUP($C688,'Daily_BU설비데이터 '!$C$20:$T$1000,18,0)</f>
        <v>#N/A</v>
      </c>
      <c r="U688" s="101" t="e">
        <f t="shared" si="70"/>
        <v>#N/A</v>
      </c>
      <c r="V688" s="45"/>
      <c r="W688" s="45"/>
      <c r="X688" s="45"/>
      <c r="Y688" s="45"/>
      <c r="Z688" s="45"/>
      <c r="AA688" s="45"/>
    </row>
    <row r="689" spans="2:27" x14ac:dyDescent="0.45">
      <c r="B689" s="45" t="s">
        <v>495</v>
      </c>
      <c r="C689" s="90"/>
      <c r="D689" s="56"/>
      <c r="E689" s="57"/>
      <c r="F689" s="58" t="e">
        <f>VLOOKUP($C689,'Daily_BU설비데이터 '!$C$20:$T$1000,4,0)</f>
        <v>#N/A</v>
      </c>
      <c r="G689" s="58" t="e">
        <f>VLOOKUP($C689,'Daily_BU설비데이터 '!$C$20:$T$1000,5,0)</f>
        <v>#N/A</v>
      </c>
      <c r="H689" s="58" t="e">
        <f>VLOOKUP($C689,'Daily_BU설비데이터 '!$C$20:$T$1000,6,0)</f>
        <v>#N/A</v>
      </c>
      <c r="I689" s="58" t="e">
        <f>VLOOKUP($C689,'Daily_BU설비데이터 '!$C$20:$T$1000,7,0)</f>
        <v>#N/A</v>
      </c>
      <c r="J689" s="58" t="e">
        <f>VLOOKUP($C689,'Daily_BU설비데이터 '!$C$20:$T$1000,8,0)</f>
        <v>#N/A</v>
      </c>
      <c r="K689" s="58" t="e">
        <f>VLOOKUP($C689,'Daily_BU설비데이터 '!$C$20:$T$1000,9,0)</f>
        <v>#N/A</v>
      </c>
      <c r="L689" s="59" t="e">
        <f t="shared" si="67"/>
        <v>#N/A</v>
      </c>
      <c r="M689" s="68" t="e">
        <f>VLOOKUP($C689,'Daily_BU설비데이터 '!$C$20:$T$1000,11,0)</f>
        <v>#N/A</v>
      </c>
      <c r="N689" s="68" t="e">
        <f>VLOOKUP($C689,'Daily_BU설비데이터 '!$C$20:$T$1000,12,0)</f>
        <v>#N/A</v>
      </c>
      <c r="O689" s="68" t="e">
        <f>VLOOKUP($C689,'Daily_BU설비데이터 '!$C$20:$T$1000,13,0)</f>
        <v>#N/A</v>
      </c>
      <c r="P689" s="68" t="e">
        <f>VLOOKUP($C689,'Daily_BU설비데이터 '!$C$20:$T$1000,14,0)</f>
        <v>#N/A</v>
      </c>
      <c r="Q689" s="99" t="e">
        <f t="shared" si="68"/>
        <v>#N/A</v>
      </c>
      <c r="R689" s="100" t="e">
        <f t="shared" si="69"/>
        <v>#N/A</v>
      </c>
      <c r="S689" s="83" t="e">
        <f>VLOOKUP($C689,'Daily_BU설비데이터 '!$C$20:$T$1000,17,0)</f>
        <v>#N/A</v>
      </c>
      <c r="T689" s="83" t="e">
        <f>VLOOKUP($C689,'Daily_BU설비데이터 '!$C$20:$T$1000,18,0)</f>
        <v>#N/A</v>
      </c>
      <c r="U689" s="101" t="e">
        <f t="shared" si="70"/>
        <v>#N/A</v>
      </c>
      <c r="V689" s="45"/>
      <c r="W689" s="45"/>
      <c r="X689" s="45"/>
      <c r="Y689" s="45"/>
      <c r="Z689" s="45"/>
      <c r="AA689" s="45"/>
    </row>
    <row r="690" spans="2:27" x14ac:dyDescent="0.45">
      <c r="B690" s="45" t="s">
        <v>496</v>
      </c>
      <c r="C690" s="90"/>
      <c r="D690" s="56"/>
      <c r="E690" s="80"/>
      <c r="F690" s="58" t="e">
        <f>VLOOKUP($C690,'Daily_BU설비데이터 '!$C$20:$T$1000,4,0)</f>
        <v>#N/A</v>
      </c>
      <c r="G690" s="58" t="e">
        <f>VLOOKUP($C690,'Daily_BU설비데이터 '!$C$20:$T$1000,5,0)</f>
        <v>#N/A</v>
      </c>
      <c r="H690" s="58" t="e">
        <f>VLOOKUP($C690,'Daily_BU설비데이터 '!$C$20:$T$1000,6,0)</f>
        <v>#N/A</v>
      </c>
      <c r="I690" s="58" t="e">
        <f>VLOOKUP($C690,'Daily_BU설비데이터 '!$C$20:$T$1000,7,0)</f>
        <v>#N/A</v>
      </c>
      <c r="J690" s="58" t="e">
        <f>VLOOKUP($C690,'Daily_BU설비데이터 '!$C$20:$T$1000,8,0)</f>
        <v>#N/A</v>
      </c>
      <c r="K690" s="58" t="e">
        <f>VLOOKUP($C690,'Daily_BU설비데이터 '!$C$20:$T$1000,9,0)</f>
        <v>#N/A</v>
      </c>
      <c r="L690" s="59" t="e">
        <f t="shared" si="67"/>
        <v>#N/A</v>
      </c>
      <c r="M690" s="68" t="e">
        <f>VLOOKUP($C690,'Daily_BU설비데이터 '!$C$20:$T$1000,11,0)</f>
        <v>#N/A</v>
      </c>
      <c r="N690" s="68" t="e">
        <f>VLOOKUP($C690,'Daily_BU설비데이터 '!$C$20:$T$1000,12,0)</f>
        <v>#N/A</v>
      </c>
      <c r="O690" s="68" t="e">
        <f>VLOOKUP($C690,'Daily_BU설비데이터 '!$C$20:$T$1000,13,0)</f>
        <v>#N/A</v>
      </c>
      <c r="P690" s="68" t="e">
        <f>VLOOKUP($C690,'Daily_BU설비데이터 '!$C$20:$T$1000,14,0)</f>
        <v>#N/A</v>
      </c>
      <c r="Q690" s="99" t="e">
        <f t="shared" si="68"/>
        <v>#N/A</v>
      </c>
      <c r="R690" s="100" t="e">
        <f t="shared" si="69"/>
        <v>#N/A</v>
      </c>
      <c r="S690" s="83" t="e">
        <f>VLOOKUP($C690,'Daily_BU설비데이터 '!$C$20:$T$1000,17,0)</f>
        <v>#N/A</v>
      </c>
      <c r="T690" s="83" t="e">
        <f>VLOOKUP($C690,'Daily_BU설비데이터 '!$C$20:$T$1000,18,0)</f>
        <v>#N/A</v>
      </c>
      <c r="U690" s="101" t="e">
        <f t="shared" si="70"/>
        <v>#N/A</v>
      </c>
      <c r="V690" s="45"/>
      <c r="W690" s="45"/>
      <c r="X690" s="45"/>
      <c r="Y690" s="45"/>
      <c r="Z690" s="45"/>
      <c r="AA690" s="45"/>
    </row>
    <row r="691" spans="2:27" x14ac:dyDescent="0.45">
      <c r="B691" s="45" t="s">
        <v>497</v>
      </c>
      <c r="C691" s="90"/>
      <c r="D691" s="56"/>
      <c r="E691" s="84"/>
      <c r="F691" s="58" t="e">
        <f>VLOOKUP($C691,'Daily_BU설비데이터 '!$C$20:$T$1000,4,0)</f>
        <v>#N/A</v>
      </c>
      <c r="G691" s="58" t="e">
        <f>VLOOKUP($C691,'Daily_BU설비데이터 '!$C$20:$T$1000,5,0)</f>
        <v>#N/A</v>
      </c>
      <c r="H691" s="58" t="e">
        <f>VLOOKUP($C691,'Daily_BU설비데이터 '!$C$20:$T$1000,6,0)</f>
        <v>#N/A</v>
      </c>
      <c r="I691" s="58" t="e">
        <f>VLOOKUP($C691,'Daily_BU설비데이터 '!$C$20:$T$1000,7,0)</f>
        <v>#N/A</v>
      </c>
      <c r="J691" s="58" t="e">
        <f>VLOOKUP($C691,'Daily_BU설비데이터 '!$C$20:$T$1000,8,0)</f>
        <v>#N/A</v>
      </c>
      <c r="K691" s="58" t="e">
        <f>VLOOKUP($C691,'Daily_BU설비데이터 '!$C$20:$T$1000,9,0)</f>
        <v>#N/A</v>
      </c>
      <c r="L691" s="59" t="e">
        <f t="shared" si="67"/>
        <v>#N/A</v>
      </c>
      <c r="M691" s="68" t="e">
        <f>VLOOKUP($C691,'Daily_BU설비데이터 '!$C$20:$T$1000,11,0)</f>
        <v>#N/A</v>
      </c>
      <c r="N691" s="68" t="e">
        <f>VLOOKUP($C691,'Daily_BU설비데이터 '!$C$20:$T$1000,12,0)</f>
        <v>#N/A</v>
      </c>
      <c r="O691" s="68" t="e">
        <f>VLOOKUP($C691,'Daily_BU설비데이터 '!$C$20:$T$1000,13,0)</f>
        <v>#N/A</v>
      </c>
      <c r="P691" s="68" t="e">
        <f>VLOOKUP($C691,'Daily_BU설비데이터 '!$C$20:$T$1000,14,0)</f>
        <v>#N/A</v>
      </c>
      <c r="Q691" s="99" t="e">
        <f t="shared" si="68"/>
        <v>#N/A</v>
      </c>
      <c r="R691" s="100" t="e">
        <f t="shared" si="69"/>
        <v>#N/A</v>
      </c>
      <c r="S691" s="83" t="e">
        <f>VLOOKUP($C691,'Daily_BU설비데이터 '!$C$20:$T$1000,17,0)</f>
        <v>#N/A</v>
      </c>
      <c r="T691" s="83" t="e">
        <f>VLOOKUP($C691,'Daily_BU설비데이터 '!$C$20:$T$1000,18,0)</f>
        <v>#N/A</v>
      </c>
      <c r="U691" s="101" t="e">
        <f t="shared" si="70"/>
        <v>#N/A</v>
      </c>
      <c r="V691" s="45"/>
      <c r="W691" s="45"/>
      <c r="X691" s="45"/>
      <c r="Y691" s="45"/>
      <c r="Z691" s="45"/>
      <c r="AA691" s="45"/>
    </row>
    <row r="692" spans="2:27" x14ac:dyDescent="0.45">
      <c r="B692" s="45" t="s">
        <v>498</v>
      </c>
      <c r="C692" s="90"/>
      <c r="D692" s="56"/>
      <c r="E692" s="57"/>
      <c r="F692" s="58" t="e">
        <f>VLOOKUP($C692,'Daily_BU설비데이터 '!$C$20:$T$1000,4,0)</f>
        <v>#N/A</v>
      </c>
      <c r="G692" s="58" t="e">
        <f>VLOOKUP($C692,'Daily_BU설비데이터 '!$C$20:$T$1000,5,0)</f>
        <v>#N/A</v>
      </c>
      <c r="H692" s="58" t="e">
        <f>VLOOKUP($C692,'Daily_BU설비데이터 '!$C$20:$T$1000,6,0)</f>
        <v>#N/A</v>
      </c>
      <c r="I692" s="58" t="e">
        <f>VLOOKUP($C692,'Daily_BU설비데이터 '!$C$20:$T$1000,7,0)</f>
        <v>#N/A</v>
      </c>
      <c r="J692" s="58" t="e">
        <f>VLOOKUP($C692,'Daily_BU설비데이터 '!$C$20:$T$1000,8,0)</f>
        <v>#N/A</v>
      </c>
      <c r="K692" s="58" t="e">
        <f>VLOOKUP($C692,'Daily_BU설비데이터 '!$C$20:$T$1000,9,0)</f>
        <v>#N/A</v>
      </c>
      <c r="L692" s="59" t="e">
        <f t="shared" si="67"/>
        <v>#N/A</v>
      </c>
      <c r="M692" s="68" t="e">
        <f>VLOOKUP($C692,'Daily_BU설비데이터 '!$C$20:$T$1000,11,0)</f>
        <v>#N/A</v>
      </c>
      <c r="N692" s="68" t="e">
        <f>VLOOKUP($C692,'Daily_BU설비데이터 '!$C$20:$T$1000,12,0)</f>
        <v>#N/A</v>
      </c>
      <c r="O692" s="68" t="e">
        <f>VLOOKUP($C692,'Daily_BU설비데이터 '!$C$20:$T$1000,13,0)</f>
        <v>#N/A</v>
      </c>
      <c r="P692" s="68" t="e">
        <f>VLOOKUP($C692,'Daily_BU설비데이터 '!$C$20:$T$1000,14,0)</f>
        <v>#N/A</v>
      </c>
      <c r="Q692" s="99" t="e">
        <f t="shared" si="68"/>
        <v>#N/A</v>
      </c>
      <c r="R692" s="100" t="e">
        <f t="shared" si="69"/>
        <v>#N/A</v>
      </c>
      <c r="S692" s="83" t="e">
        <f>VLOOKUP($C692,'Daily_BU설비데이터 '!$C$20:$T$1000,17,0)</f>
        <v>#N/A</v>
      </c>
      <c r="T692" s="83" t="e">
        <f>VLOOKUP($C692,'Daily_BU설비데이터 '!$C$20:$T$1000,18,0)</f>
        <v>#N/A</v>
      </c>
      <c r="U692" s="101" t="e">
        <f t="shared" si="70"/>
        <v>#N/A</v>
      </c>
      <c r="V692" s="45"/>
      <c r="W692" s="45"/>
      <c r="X692" s="45"/>
      <c r="Y692" s="45"/>
      <c r="Z692" s="45"/>
      <c r="AA692" s="45"/>
    </row>
    <row r="693" spans="2:27" x14ac:dyDescent="0.45">
      <c r="B693" s="45" t="s">
        <v>499</v>
      </c>
      <c r="C693" s="90"/>
      <c r="D693" s="56"/>
      <c r="E693" s="80"/>
      <c r="F693" s="58" t="e">
        <f>VLOOKUP($C693,'Daily_BU설비데이터 '!$C$20:$T$1000,4,0)</f>
        <v>#N/A</v>
      </c>
      <c r="G693" s="58" t="e">
        <f>VLOOKUP($C693,'Daily_BU설비데이터 '!$C$20:$T$1000,5,0)</f>
        <v>#N/A</v>
      </c>
      <c r="H693" s="58" t="e">
        <f>VLOOKUP($C693,'Daily_BU설비데이터 '!$C$20:$T$1000,6,0)</f>
        <v>#N/A</v>
      </c>
      <c r="I693" s="58" t="e">
        <f>VLOOKUP($C693,'Daily_BU설비데이터 '!$C$20:$T$1000,7,0)</f>
        <v>#N/A</v>
      </c>
      <c r="J693" s="58" t="e">
        <f>VLOOKUP($C693,'Daily_BU설비데이터 '!$C$20:$T$1000,8,0)</f>
        <v>#N/A</v>
      </c>
      <c r="K693" s="58" t="e">
        <f>VLOOKUP($C693,'Daily_BU설비데이터 '!$C$20:$T$1000,9,0)</f>
        <v>#N/A</v>
      </c>
      <c r="L693" s="59" t="e">
        <f t="shared" si="67"/>
        <v>#N/A</v>
      </c>
      <c r="M693" s="68" t="e">
        <f>VLOOKUP($C693,'Daily_BU설비데이터 '!$C$20:$T$1000,11,0)</f>
        <v>#N/A</v>
      </c>
      <c r="N693" s="68" t="e">
        <f>VLOOKUP($C693,'Daily_BU설비데이터 '!$C$20:$T$1000,12,0)</f>
        <v>#N/A</v>
      </c>
      <c r="O693" s="68" t="e">
        <f>VLOOKUP($C693,'Daily_BU설비데이터 '!$C$20:$T$1000,13,0)</f>
        <v>#N/A</v>
      </c>
      <c r="P693" s="68" t="e">
        <f>VLOOKUP($C693,'Daily_BU설비데이터 '!$C$20:$T$1000,14,0)</f>
        <v>#N/A</v>
      </c>
      <c r="Q693" s="99" t="e">
        <f t="shared" si="68"/>
        <v>#N/A</v>
      </c>
      <c r="R693" s="100" t="e">
        <f t="shared" si="69"/>
        <v>#N/A</v>
      </c>
      <c r="S693" s="83" t="e">
        <f>VLOOKUP($C693,'Daily_BU설비데이터 '!$C$20:$T$1000,17,0)</f>
        <v>#N/A</v>
      </c>
      <c r="T693" s="83" t="e">
        <f>VLOOKUP($C693,'Daily_BU설비데이터 '!$C$20:$T$1000,18,0)</f>
        <v>#N/A</v>
      </c>
      <c r="U693" s="101" t="e">
        <f t="shared" si="70"/>
        <v>#N/A</v>
      </c>
      <c r="V693" s="45"/>
      <c r="W693" s="45"/>
      <c r="X693" s="45"/>
      <c r="Y693" s="45"/>
      <c r="Z693" s="45"/>
      <c r="AA693" s="45"/>
    </row>
    <row r="694" spans="2:27" x14ac:dyDescent="0.45">
      <c r="B694" s="45" t="s">
        <v>500</v>
      </c>
      <c r="C694" s="90"/>
      <c r="D694" s="56"/>
      <c r="E694" s="84"/>
      <c r="F694" s="58" t="e">
        <f>VLOOKUP($C694,'Daily_BU설비데이터 '!$C$20:$T$1000,4,0)</f>
        <v>#N/A</v>
      </c>
      <c r="G694" s="58" t="e">
        <f>VLOOKUP($C694,'Daily_BU설비데이터 '!$C$20:$T$1000,5,0)</f>
        <v>#N/A</v>
      </c>
      <c r="H694" s="58" t="e">
        <f>VLOOKUP($C694,'Daily_BU설비데이터 '!$C$20:$T$1000,6,0)</f>
        <v>#N/A</v>
      </c>
      <c r="I694" s="58" t="e">
        <f>VLOOKUP($C694,'Daily_BU설비데이터 '!$C$20:$T$1000,7,0)</f>
        <v>#N/A</v>
      </c>
      <c r="J694" s="58" t="e">
        <f>VLOOKUP($C694,'Daily_BU설비데이터 '!$C$20:$T$1000,8,0)</f>
        <v>#N/A</v>
      </c>
      <c r="K694" s="58" t="e">
        <f>VLOOKUP($C694,'Daily_BU설비데이터 '!$C$20:$T$1000,9,0)</f>
        <v>#N/A</v>
      </c>
      <c r="L694" s="59" t="e">
        <f t="shared" si="67"/>
        <v>#N/A</v>
      </c>
      <c r="M694" s="68" t="e">
        <f>VLOOKUP($C694,'Daily_BU설비데이터 '!$C$20:$T$1000,11,0)</f>
        <v>#N/A</v>
      </c>
      <c r="N694" s="68" t="e">
        <f>VLOOKUP($C694,'Daily_BU설비데이터 '!$C$20:$T$1000,12,0)</f>
        <v>#N/A</v>
      </c>
      <c r="O694" s="68" t="e">
        <f>VLOOKUP($C694,'Daily_BU설비데이터 '!$C$20:$T$1000,13,0)</f>
        <v>#N/A</v>
      </c>
      <c r="P694" s="68" t="e">
        <f>VLOOKUP($C694,'Daily_BU설비데이터 '!$C$20:$T$1000,14,0)</f>
        <v>#N/A</v>
      </c>
      <c r="Q694" s="99" t="e">
        <f t="shared" si="68"/>
        <v>#N/A</v>
      </c>
      <c r="R694" s="100" t="e">
        <f t="shared" si="69"/>
        <v>#N/A</v>
      </c>
      <c r="S694" s="83" t="e">
        <f>VLOOKUP($C694,'Daily_BU설비데이터 '!$C$20:$T$1000,17,0)</f>
        <v>#N/A</v>
      </c>
      <c r="T694" s="83" t="e">
        <f>VLOOKUP($C694,'Daily_BU설비데이터 '!$C$20:$T$1000,18,0)</f>
        <v>#N/A</v>
      </c>
      <c r="U694" s="101" t="e">
        <f t="shared" si="70"/>
        <v>#N/A</v>
      </c>
      <c r="V694" s="45"/>
      <c r="W694" s="45"/>
      <c r="X694" s="45"/>
      <c r="Y694" s="45"/>
      <c r="Z694" s="45"/>
      <c r="AA694" s="45"/>
    </row>
    <row r="695" spans="2:27" x14ac:dyDescent="0.45">
      <c r="B695" s="45" t="s">
        <v>501</v>
      </c>
      <c r="C695" s="90"/>
      <c r="D695" s="56"/>
      <c r="E695" s="57"/>
      <c r="F695" s="58" t="e">
        <f>VLOOKUP($C695,'Daily_BU설비데이터 '!$C$20:$T$1000,4,0)</f>
        <v>#N/A</v>
      </c>
      <c r="G695" s="58" t="e">
        <f>VLOOKUP($C695,'Daily_BU설비데이터 '!$C$20:$T$1000,5,0)</f>
        <v>#N/A</v>
      </c>
      <c r="H695" s="58" t="e">
        <f>VLOOKUP($C695,'Daily_BU설비데이터 '!$C$20:$T$1000,6,0)</f>
        <v>#N/A</v>
      </c>
      <c r="I695" s="58" t="e">
        <f>VLOOKUP($C695,'Daily_BU설비데이터 '!$C$20:$T$1000,7,0)</f>
        <v>#N/A</v>
      </c>
      <c r="J695" s="58" t="e">
        <f>VLOOKUP($C695,'Daily_BU설비데이터 '!$C$20:$T$1000,8,0)</f>
        <v>#N/A</v>
      </c>
      <c r="K695" s="58" t="e">
        <f>VLOOKUP($C695,'Daily_BU설비데이터 '!$C$20:$T$1000,9,0)</f>
        <v>#N/A</v>
      </c>
      <c r="L695" s="59" t="e">
        <f t="shared" si="67"/>
        <v>#N/A</v>
      </c>
      <c r="M695" s="68" t="e">
        <f>VLOOKUP($C695,'Daily_BU설비데이터 '!$C$20:$T$1000,11,0)</f>
        <v>#N/A</v>
      </c>
      <c r="N695" s="68" t="e">
        <f>VLOOKUP($C695,'Daily_BU설비데이터 '!$C$20:$T$1000,12,0)</f>
        <v>#N/A</v>
      </c>
      <c r="O695" s="68" t="e">
        <f>VLOOKUP($C695,'Daily_BU설비데이터 '!$C$20:$T$1000,13,0)</f>
        <v>#N/A</v>
      </c>
      <c r="P695" s="68" t="e">
        <f>VLOOKUP($C695,'Daily_BU설비데이터 '!$C$20:$T$1000,14,0)</f>
        <v>#N/A</v>
      </c>
      <c r="Q695" s="99" t="e">
        <f t="shared" si="68"/>
        <v>#N/A</v>
      </c>
      <c r="R695" s="100" t="e">
        <f t="shared" si="69"/>
        <v>#N/A</v>
      </c>
      <c r="S695" s="83" t="e">
        <f>VLOOKUP($C695,'Daily_BU설비데이터 '!$C$20:$T$1000,17,0)</f>
        <v>#N/A</v>
      </c>
      <c r="T695" s="83" t="e">
        <f>VLOOKUP($C695,'Daily_BU설비데이터 '!$C$20:$T$1000,18,0)</f>
        <v>#N/A</v>
      </c>
      <c r="U695" s="101" t="e">
        <f t="shared" si="70"/>
        <v>#N/A</v>
      </c>
      <c r="V695" s="45"/>
      <c r="W695" s="45"/>
      <c r="X695" s="45"/>
      <c r="Y695" s="45"/>
      <c r="Z695" s="45"/>
      <c r="AA695" s="45"/>
    </row>
    <row r="696" spans="2:27" x14ac:dyDescent="0.45">
      <c r="B696" s="45" t="s">
        <v>502</v>
      </c>
      <c r="C696" s="90"/>
      <c r="D696" s="56"/>
      <c r="E696" s="80"/>
      <c r="F696" s="58" t="e">
        <f>VLOOKUP($C696,'Daily_BU설비데이터 '!$C$20:$T$1000,4,0)</f>
        <v>#N/A</v>
      </c>
      <c r="G696" s="58" t="e">
        <f>VLOOKUP($C696,'Daily_BU설비데이터 '!$C$20:$T$1000,5,0)</f>
        <v>#N/A</v>
      </c>
      <c r="H696" s="58" t="e">
        <f>VLOOKUP($C696,'Daily_BU설비데이터 '!$C$20:$T$1000,6,0)</f>
        <v>#N/A</v>
      </c>
      <c r="I696" s="58" t="e">
        <f>VLOOKUP($C696,'Daily_BU설비데이터 '!$C$20:$T$1000,7,0)</f>
        <v>#N/A</v>
      </c>
      <c r="J696" s="58" t="e">
        <f>VLOOKUP($C696,'Daily_BU설비데이터 '!$C$20:$T$1000,8,0)</f>
        <v>#N/A</v>
      </c>
      <c r="K696" s="58" t="e">
        <f>VLOOKUP($C696,'Daily_BU설비데이터 '!$C$20:$T$1000,9,0)</f>
        <v>#N/A</v>
      </c>
      <c r="L696" s="59" t="e">
        <f t="shared" si="67"/>
        <v>#N/A</v>
      </c>
      <c r="M696" s="68" t="e">
        <f>VLOOKUP($C696,'Daily_BU설비데이터 '!$C$20:$T$1000,11,0)</f>
        <v>#N/A</v>
      </c>
      <c r="N696" s="68" t="e">
        <f>VLOOKUP($C696,'Daily_BU설비데이터 '!$C$20:$T$1000,12,0)</f>
        <v>#N/A</v>
      </c>
      <c r="O696" s="68" t="e">
        <f>VLOOKUP($C696,'Daily_BU설비데이터 '!$C$20:$T$1000,13,0)</f>
        <v>#N/A</v>
      </c>
      <c r="P696" s="68" t="e">
        <f>VLOOKUP($C696,'Daily_BU설비데이터 '!$C$20:$T$1000,14,0)</f>
        <v>#N/A</v>
      </c>
      <c r="Q696" s="99" t="e">
        <f t="shared" si="68"/>
        <v>#N/A</v>
      </c>
      <c r="R696" s="100" t="e">
        <f t="shared" si="69"/>
        <v>#N/A</v>
      </c>
      <c r="S696" s="83" t="e">
        <f>VLOOKUP($C696,'Daily_BU설비데이터 '!$C$20:$T$1000,17,0)</f>
        <v>#N/A</v>
      </c>
      <c r="T696" s="83" t="e">
        <f>VLOOKUP($C696,'Daily_BU설비데이터 '!$C$20:$T$1000,18,0)</f>
        <v>#N/A</v>
      </c>
      <c r="U696" s="101" t="e">
        <f t="shared" si="70"/>
        <v>#N/A</v>
      </c>
      <c r="V696" s="45"/>
      <c r="W696" s="45"/>
      <c r="X696" s="45"/>
      <c r="Y696" s="45"/>
      <c r="Z696" s="45"/>
      <c r="AA696" s="45"/>
    </row>
    <row r="697" spans="2:27" x14ac:dyDescent="0.45">
      <c r="B697" s="45" t="s">
        <v>503</v>
      </c>
      <c r="C697" s="90"/>
      <c r="D697" s="56"/>
      <c r="E697" s="84"/>
      <c r="F697" s="58" t="e">
        <f>VLOOKUP($C697,'Daily_BU설비데이터 '!$C$20:$T$1000,4,0)</f>
        <v>#N/A</v>
      </c>
      <c r="G697" s="58" t="e">
        <f>VLOOKUP($C697,'Daily_BU설비데이터 '!$C$20:$T$1000,5,0)</f>
        <v>#N/A</v>
      </c>
      <c r="H697" s="58" t="e">
        <f>VLOOKUP($C697,'Daily_BU설비데이터 '!$C$20:$T$1000,6,0)</f>
        <v>#N/A</v>
      </c>
      <c r="I697" s="58" t="e">
        <f>VLOOKUP($C697,'Daily_BU설비데이터 '!$C$20:$T$1000,7,0)</f>
        <v>#N/A</v>
      </c>
      <c r="J697" s="58" t="e">
        <f>VLOOKUP($C697,'Daily_BU설비데이터 '!$C$20:$T$1000,8,0)</f>
        <v>#N/A</v>
      </c>
      <c r="K697" s="58" t="e">
        <f>VLOOKUP($C697,'Daily_BU설비데이터 '!$C$20:$T$1000,9,0)</f>
        <v>#N/A</v>
      </c>
      <c r="L697" s="59" t="e">
        <f t="shared" si="67"/>
        <v>#N/A</v>
      </c>
      <c r="M697" s="68" t="e">
        <f>VLOOKUP($C697,'Daily_BU설비데이터 '!$C$20:$T$1000,11,0)</f>
        <v>#N/A</v>
      </c>
      <c r="N697" s="68" t="e">
        <f>VLOOKUP($C697,'Daily_BU설비데이터 '!$C$20:$T$1000,12,0)</f>
        <v>#N/A</v>
      </c>
      <c r="O697" s="68" t="e">
        <f>VLOOKUP($C697,'Daily_BU설비데이터 '!$C$20:$T$1000,13,0)</f>
        <v>#N/A</v>
      </c>
      <c r="P697" s="68" t="e">
        <f>VLOOKUP($C697,'Daily_BU설비데이터 '!$C$20:$T$1000,14,0)</f>
        <v>#N/A</v>
      </c>
      <c r="Q697" s="99" t="e">
        <f t="shared" si="68"/>
        <v>#N/A</v>
      </c>
      <c r="R697" s="100" t="e">
        <f t="shared" si="69"/>
        <v>#N/A</v>
      </c>
      <c r="S697" s="83" t="e">
        <f>VLOOKUP($C697,'Daily_BU설비데이터 '!$C$20:$T$1000,17,0)</f>
        <v>#N/A</v>
      </c>
      <c r="T697" s="83" t="e">
        <f>VLOOKUP($C697,'Daily_BU설비데이터 '!$C$20:$T$1000,18,0)</f>
        <v>#N/A</v>
      </c>
      <c r="U697" s="101" t="e">
        <f t="shared" si="70"/>
        <v>#N/A</v>
      </c>
      <c r="V697" s="45"/>
      <c r="W697" s="45"/>
      <c r="X697" s="45"/>
      <c r="Y697" s="45"/>
      <c r="Z697" s="45"/>
      <c r="AA697" s="45"/>
    </row>
    <row r="698" spans="2:27" ht="17" x14ac:dyDescent="0.45">
      <c r="C698" s="98"/>
    </row>
    <row r="699" spans="2:27" ht="17" x14ac:dyDescent="0.45">
      <c r="C699" s="98"/>
    </row>
    <row r="700" spans="2:27" ht="17" x14ac:dyDescent="0.45">
      <c r="C700" s="98"/>
    </row>
    <row r="701" spans="2:27" ht="17" x14ac:dyDescent="0.45">
      <c r="C701" s="98"/>
    </row>
    <row r="702" spans="2:27" ht="17" x14ac:dyDescent="0.45">
      <c r="C702" s="98"/>
    </row>
    <row r="703" spans="2:27" ht="17" x14ac:dyDescent="0.45">
      <c r="C703" s="98"/>
    </row>
    <row r="704" spans="2:27" ht="17" x14ac:dyDescent="0.45">
      <c r="C704" s="98"/>
    </row>
    <row r="705" spans="3:3" ht="17" x14ac:dyDescent="0.45">
      <c r="C705" s="98"/>
    </row>
    <row r="706" spans="3:3" ht="17" x14ac:dyDescent="0.45">
      <c r="C706" s="98"/>
    </row>
    <row r="707" spans="3:3" ht="17" x14ac:dyDescent="0.45">
      <c r="C707" s="98"/>
    </row>
    <row r="708" spans="3:3" ht="17" x14ac:dyDescent="0.45">
      <c r="C708" s="98"/>
    </row>
    <row r="709" spans="3:3" ht="17" x14ac:dyDescent="0.45">
      <c r="C709" s="98"/>
    </row>
    <row r="710" spans="3:3" ht="17" x14ac:dyDescent="0.45">
      <c r="C710" s="98"/>
    </row>
    <row r="711" spans="3:3" ht="17" x14ac:dyDescent="0.45">
      <c r="C711" s="98"/>
    </row>
    <row r="712" spans="3:3" ht="17" x14ac:dyDescent="0.45">
      <c r="C712" s="98"/>
    </row>
    <row r="713" spans="3:3" ht="17" x14ac:dyDescent="0.45">
      <c r="C713" s="98"/>
    </row>
    <row r="714" spans="3:3" ht="17" x14ac:dyDescent="0.45">
      <c r="C714" s="98"/>
    </row>
    <row r="715" spans="3:3" ht="17" x14ac:dyDescent="0.45">
      <c r="C715" s="98"/>
    </row>
    <row r="716" spans="3:3" ht="17" x14ac:dyDescent="0.45">
      <c r="C716" s="98"/>
    </row>
    <row r="717" spans="3:3" ht="17" x14ac:dyDescent="0.45">
      <c r="C717" s="98"/>
    </row>
    <row r="718" spans="3:3" ht="17" x14ac:dyDescent="0.45">
      <c r="C718" s="98"/>
    </row>
    <row r="719" spans="3:3" ht="17" x14ac:dyDescent="0.45">
      <c r="C719" s="98"/>
    </row>
    <row r="720" spans="3:3" ht="17" x14ac:dyDescent="0.45">
      <c r="C720" s="98"/>
    </row>
    <row r="721" spans="3:3" ht="17" x14ac:dyDescent="0.45">
      <c r="C721" s="98"/>
    </row>
    <row r="722" spans="3:3" ht="17" x14ac:dyDescent="0.45">
      <c r="C722" s="98"/>
    </row>
    <row r="723" spans="3:3" ht="17" x14ac:dyDescent="0.45">
      <c r="C723" s="98"/>
    </row>
    <row r="724" spans="3:3" ht="17" x14ac:dyDescent="0.45">
      <c r="C724" s="98"/>
    </row>
    <row r="725" spans="3:3" ht="17" x14ac:dyDescent="0.45">
      <c r="C725" s="98"/>
    </row>
    <row r="726" spans="3:3" ht="17" x14ac:dyDescent="0.45">
      <c r="C726" s="98"/>
    </row>
    <row r="727" spans="3:3" ht="17" x14ac:dyDescent="0.45">
      <c r="C727" s="98"/>
    </row>
    <row r="728" spans="3:3" ht="17" x14ac:dyDescent="0.45">
      <c r="C728" s="98"/>
    </row>
    <row r="729" spans="3:3" ht="17" x14ac:dyDescent="0.45">
      <c r="C729" s="98"/>
    </row>
    <row r="730" spans="3:3" ht="17" x14ac:dyDescent="0.45">
      <c r="C730" s="98"/>
    </row>
    <row r="731" spans="3:3" ht="17" x14ac:dyDescent="0.45">
      <c r="C731" s="98"/>
    </row>
    <row r="732" spans="3:3" ht="17" x14ac:dyDescent="0.45">
      <c r="C732" s="98"/>
    </row>
    <row r="733" spans="3:3" ht="17" x14ac:dyDescent="0.45">
      <c r="C733" s="98"/>
    </row>
    <row r="734" spans="3:3" ht="17" x14ac:dyDescent="0.45">
      <c r="C734" s="98"/>
    </row>
    <row r="735" spans="3:3" ht="17" x14ac:dyDescent="0.45">
      <c r="C735" s="98"/>
    </row>
    <row r="736" spans="3:3" ht="17" x14ac:dyDescent="0.45">
      <c r="C736" s="98"/>
    </row>
    <row r="737" spans="3:3" ht="17" x14ac:dyDescent="0.45">
      <c r="C737" s="98"/>
    </row>
    <row r="738" spans="3:3" ht="17" x14ac:dyDescent="0.45">
      <c r="C738" s="98"/>
    </row>
    <row r="739" spans="3:3" ht="17" x14ac:dyDescent="0.45">
      <c r="C739" s="98"/>
    </row>
    <row r="740" spans="3:3" ht="17" x14ac:dyDescent="0.45">
      <c r="C740" s="98"/>
    </row>
    <row r="741" spans="3:3" ht="17" x14ac:dyDescent="0.45">
      <c r="C741" s="98"/>
    </row>
    <row r="742" spans="3:3" ht="17" x14ac:dyDescent="0.45">
      <c r="C742" s="98"/>
    </row>
    <row r="743" spans="3:3" ht="17" x14ac:dyDescent="0.45">
      <c r="C743" s="98"/>
    </row>
    <row r="744" spans="3:3" ht="17" x14ac:dyDescent="0.45">
      <c r="C744" s="98"/>
    </row>
    <row r="745" spans="3:3" ht="17" x14ac:dyDescent="0.45">
      <c r="C745" s="98"/>
    </row>
    <row r="746" spans="3:3" ht="17" x14ac:dyDescent="0.45">
      <c r="C746" s="98"/>
    </row>
    <row r="747" spans="3:3" ht="17" x14ac:dyDescent="0.45">
      <c r="C747" s="98"/>
    </row>
    <row r="748" spans="3:3" ht="17" x14ac:dyDescent="0.45">
      <c r="C748" s="98"/>
    </row>
    <row r="749" spans="3:3" ht="17" x14ac:dyDescent="0.45">
      <c r="C749" s="98"/>
    </row>
    <row r="750" spans="3:3" ht="17" x14ac:dyDescent="0.45">
      <c r="C750" s="98"/>
    </row>
    <row r="751" spans="3:3" ht="17" x14ac:dyDescent="0.45">
      <c r="C751" s="98"/>
    </row>
    <row r="752" spans="3:3" ht="17" x14ac:dyDescent="0.45">
      <c r="C752" s="98"/>
    </row>
    <row r="753" spans="3:3" ht="17" x14ac:dyDescent="0.45">
      <c r="C753" s="98"/>
    </row>
    <row r="754" spans="3:3" ht="17" x14ac:dyDescent="0.45">
      <c r="C754" s="98"/>
    </row>
    <row r="755" spans="3:3" ht="17" x14ac:dyDescent="0.45">
      <c r="C755" s="98"/>
    </row>
    <row r="756" spans="3:3" ht="17" x14ac:dyDescent="0.45">
      <c r="C756" s="98"/>
    </row>
    <row r="757" spans="3:3" ht="17" x14ac:dyDescent="0.45">
      <c r="C757" s="98"/>
    </row>
    <row r="758" spans="3:3" ht="17" x14ac:dyDescent="0.45">
      <c r="C758" s="98"/>
    </row>
    <row r="759" spans="3:3" ht="17" x14ac:dyDescent="0.45">
      <c r="C759" s="98"/>
    </row>
    <row r="760" spans="3:3" ht="17" x14ac:dyDescent="0.45">
      <c r="C760" s="98"/>
    </row>
    <row r="761" spans="3:3" ht="17" x14ac:dyDescent="0.45">
      <c r="C761" s="98"/>
    </row>
    <row r="762" spans="3:3" ht="17" x14ac:dyDescent="0.45">
      <c r="C762" s="98"/>
    </row>
    <row r="763" spans="3:3" ht="17" x14ac:dyDescent="0.45">
      <c r="C763" s="98"/>
    </row>
    <row r="764" spans="3:3" ht="17" x14ac:dyDescent="0.45">
      <c r="C764" s="98"/>
    </row>
    <row r="765" spans="3:3" ht="17" x14ac:dyDescent="0.45">
      <c r="C765" s="98"/>
    </row>
    <row r="766" spans="3:3" ht="17" x14ac:dyDescent="0.45">
      <c r="C766" s="98"/>
    </row>
    <row r="767" spans="3:3" ht="17" x14ac:dyDescent="0.45">
      <c r="C767" s="98"/>
    </row>
    <row r="768" spans="3:3" ht="17" x14ac:dyDescent="0.45">
      <c r="C768" s="98"/>
    </row>
    <row r="769" spans="3:3" ht="17" x14ac:dyDescent="0.45">
      <c r="C769" s="98"/>
    </row>
    <row r="770" spans="3:3" ht="17" x14ac:dyDescent="0.45">
      <c r="C770" s="98"/>
    </row>
    <row r="771" spans="3:3" ht="17" x14ac:dyDescent="0.45">
      <c r="C771" s="98"/>
    </row>
    <row r="772" spans="3:3" ht="17" x14ac:dyDescent="0.45">
      <c r="C772" s="98"/>
    </row>
    <row r="773" spans="3:3" ht="17" x14ac:dyDescent="0.45">
      <c r="C773" s="98"/>
    </row>
    <row r="774" spans="3:3" ht="17" x14ac:dyDescent="0.45">
      <c r="C774" s="98"/>
    </row>
    <row r="775" spans="3:3" ht="17" x14ac:dyDescent="0.45">
      <c r="C775" s="98"/>
    </row>
    <row r="776" spans="3:3" ht="17" x14ac:dyDescent="0.45">
      <c r="C776" s="98"/>
    </row>
    <row r="777" spans="3:3" ht="17" x14ac:dyDescent="0.45">
      <c r="C777" s="98"/>
    </row>
    <row r="778" spans="3:3" ht="17" x14ac:dyDescent="0.45">
      <c r="C778" s="98"/>
    </row>
    <row r="779" spans="3:3" ht="17" x14ac:dyDescent="0.45">
      <c r="C779" s="98"/>
    </row>
    <row r="780" spans="3:3" ht="17" x14ac:dyDescent="0.45">
      <c r="C780" s="98"/>
    </row>
    <row r="781" spans="3:3" ht="17" x14ac:dyDescent="0.45">
      <c r="C781" s="98"/>
    </row>
    <row r="782" spans="3:3" ht="17" x14ac:dyDescent="0.45">
      <c r="C782" s="98"/>
    </row>
    <row r="783" spans="3:3" ht="17" x14ac:dyDescent="0.45">
      <c r="C783" s="98"/>
    </row>
    <row r="784" spans="3:3" ht="17" x14ac:dyDescent="0.45">
      <c r="C784" s="98"/>
    </row>
    <row r="785" spans="3:3" ht="17" x14ac:dyDescent="0.45">
      <c r="C785" s="98"/>
    </row>
    <row r="786" spans="3:3" ht="17" x14ac:dyDescent="0.45">
      <c r="C786" s="98"/>
    </row>
    <row r="787" spans="3:3" ht="17" x14ac:dyDescent="0.45">
      <c r="C787" s="98"/>
    </row>
    <row r="788" spans="3:3" ht="17" x14ac:dyDescent="0.45">
      <c r="C788" s="98"/>
    </row>
    <row r="789" spans="3:3" ht="17" x14ac:dyDescent="0.45">
      <c r="C789" s="98"/>
    </row>
    <row r="790" spans="3:3" ht="17" x14ac:dyDescent="0.45">
      <c r="C790" s="98"/>
    </row>
    <row r="791" spans="3:3" ht="17" x14ac:dyDescent="0.45">
      <c r="C791" s="98"/>
    </row>
    <row r="792" spans="3:3" ht="17" x14ac:dyDescent="0.45">
      <c r="C792" s="98"/>
    </row>
    <row r="793" spans="3:3" ht="17" x14ac:dyDescent="0.45">
      <c r="C793" s="98"/>
    </row>
    <row r="794" spans="3:3" ht="17" x14ac:dyDescent="0.45">
      <c r="C794" s="98"/>
    </row>
    <row r="795" spans="3:3" ht="17" x14ac:dyDescent="0.45">
      <c r="C795" s="98"/>
    </row>
    <row r="796" spans="3:3" ht="17" x14ac:dyDescent="0.45">
      <c r="C796" s="98"/>
    </row>
    <row r="797" spans="3:3" ht="17" x14ac:dyDescent="0.45">
      <c r="C797" s="98"/>
    </row>
    <row r="798" spans="3:3" ht="17" x14ac:dyDescent="0.45">
      <c r="C798" s="98"/>
    </row>
    <row r="799" spans="3:3" ht="17" x14ac:dyDescent="0.45">
      <c r="C799" s="98"/>
    </row>
    <row r="800" spans="3:3" ht="17" x14ac:dyDescent="0.45">
      <c r="C800" s="98"/>
    </row>
    <row r="801" spans="3:3" ht="17" x14ac:dyDescent="0.45">
      <c r="C801" s="98"/>
    </row>
    <row r="802" spans="3:3" ht="17" x14ac:dyDescent="0.45">
      <c r="C802" s="98"/>
    </row>
    <row r="803" spans="3:3" ht="17" x14ac:dyDescent="0.45">
      <c r="C803" s="98"/>
    </row>
    <row r="804" spans="3:3" ht="17" x14ac:dyDescent="0.45">
      <c r="C804" s="98"/>
    </row>
    <row r="805" spans="3:3" ht="17" x14ac:dyDescent="0.45">
      <c r="C805" s="98"/>
    </row>
    <row r="806" spans="3:3" ht="17" x14ac:dyDescent="0.45">
      <c r="C806" s="98"/>
    </row>
    <row r="807" spans="3:3" ht="17" x14ac:dyDescent="0.45">
      <c r="C807" s="98"/>
    </row>
    <row r="808" spans="3:3" ht="17" x14ac:dyDescent="0.45">
      <c r="C808" s="98"/>
    </row>
    <row r="809" spans="3:3" ht="17" x14ac:dyDescent="0.45">
      <c r="C809" s="98"/>
    </row>
    <row r="810" spans="3:3" ht="17" x14ac:dyDescent="0.45">
      <c r="C810" s="98"/>
    </row>
    <row r="811" spans="3:3" ht="17" x14ac:dyDescent="0.45">
      <c r="C811" s="98"/>
    </row>
    <row r="812" spans="3:3" ht="17" x14ac:dyDescent="0.45">
      <c r="C812" s="98"/>
    </row>
    <row r="813" spans="3:3" ht="17" x14ac:dyDescent="0.45">
      <c r="C813" s="98"/>
    </row>
    <row r="814" spans="3:3" ht="17" x14ac:dyDescent="0.45">
      <c r="C814" s="98"/>
    </row>
    <row r="815" spans="3:3" ht="17" x14ac:dyDescent="0.45">
      <c r="C815" s="98"/>
    </row>
    <row r="816" spans="3:3" ht="17" x14ac:dyDescent="0.45">
      <c r="C816" s="98"/>
    </row>
    <row r="817" spans="3:3" ht="17" x14ac:dyDescent="0.45">
      <c r="C817" s="98"/>
    </row>
    <row r="818" spans="3:3" ht="17" x14ac:dyDescent="0.45">
      <c r="C818" s="98"/>
    </row>
    <row r="819" spans="3:3" ht="17" x14ac:dyDescent="0.45">
      <c r="C819" s="98"/>
    </row>
    <row r="820" spans="3:3" ht="17" x14ac:dyDescent="0.45">
      <c r="C820" s="98"/>
    </row>
    <row r="821" spans="3:3" ht="17" x14ac:dyDescent="0.45">
      <c r="C821" s="98"/>
    </row>
    <row r="822" spans="3:3" ht="17" x14ac:dyDescent="0.45">
      <c r="C822" s="98"/>
    </row>
    <row r="823" spans="3:3" ht="17" x14ac:dyDescent="0.45">
      <c r="C823" s="98"/>
    </row>
    <row r="824" spans="3:3" ht="17" x14ac:dyDescent="0.45">
      <c r="C824" s="98"/>
    </row>
    <row r="825" spans="3:3" ht="17" x14ac:dyDescent="0.45">
      <c r="C825" s="98"/>
    </row>
    <row r="826" spans="3:3" ht="17" x14ac:dyDescent="0.45">
      <c r="C826" s="98"/>
    </row>
    <row r="827" spans="3:3" ht="17" x14ac:dyDescent="0.45">
      <c r="C827" s="98"/>
    </row>
    <row r="828" spans="3:3" ht="17" x14ac:dyDescent="0.45">
      <c r="C828" s="98"/>
    </row>
    <row r="829" spans="3:3" ht="17" x14ac:dyDescent="0.45">
      <c r="C829" s="98"/>
    </row>
    <row r="830" spans="3:3" ht="17" x14ac:dyDescent="0.45">
      <c r="C830" s="98"/>
    </row>
    <row r="831" spans="3:3" ht="17" x14ac:dyDescent="0.45">
      <c r="C831" s="98"/>
    </row>
    <row r="832" spans="3:3" ht="17" x14ac:dyDescent="0.45">
      <c r="C832" s="98"/>
    </row>
    <row r="833" spans="3:3" ht="17" x14ac:dyDescent="0.45">
      <c r="C833" s="98"/>
    </row>
    <row r="834" spans="3:3" ht="17" x14ac:dyDescent="0.45">
      <c r="C834" s="98"/>
    </row>
    <row r="835" spans="3:3" ht="17" x14ac:dyDescent="0.45">
      <c r="C835" s="98"/>
    </row>
    <row r="836" spans="3:3" ht="17" x14ac:dyDescent="0.45">
      <c r="C836" s="98"/>
    </row>
    <row r="837" spans="3:3" ht="17" x14ac:dyDescent="0.45">
      <c r="C837" s="98"/>
    </row>
    <row r="838" spans="3:3" ht="17" x14ac:dyDescent="0.45">
      <c r="C838" s="98"/>
    </row>
    <row r="839" spans="3:3" ht="17" x14ac:dyDescent="0.45">
      <c r="C839" s="98"/>
    </row>
    <row r="840" spans="3:3" ht="17" x14ac:dyDescent="0.45">
      <c r="C840" s="98"/>
    </row>
    <row r="841" spans="3:3" ht="17" x14ac:dyDescent="0.45">
      <c r="C841" s="98"/>
    </row>
    <row r="842" spans="3:3" ht="17" x14ac:dyDescent="0.45">
      <c r="C842" s="98"/>
    </row>
    <row r="843" spans="3:3" ht="17" x14ac:dyDescent="0.45">
      <c r="C843" s="98"/>
    </row>
    <row r="844" spans="3:3" ht="17" x14ac:dyDescent="0.45">
      <c r="C844" s="98"/>
    </row>
    <row r="845" spans="3:3" ht="17" x14ac:dyDescent="0.45">
      <c r="C845" s="98"/>
    </row>
    <row r="846" spans="3:3" ht="17" x14ac:dyDescent="0.45">
      <c r="C846" s="98"/>
    </row>
    <row r="847" spans="3:3" ht="17" x14ac:dyDescent="0.45">
      <c r="C847" s="98"/>
    </row>
    <row r="848" spans="3:3" ht="17" x14ac:dyDescent="0.45">
      <c r="C848" s="98"/>
    </row>
    <row r="849" spans="3:3" ht="17" x14ac:dyDescent="0.45">
      <c r="C849" s="98"/>
    </row>
    <row r="850" spans="3:3" ht="17" x14ac:dyDescent="0.45">
      <c r="C850" s="98"/>
    </row>
    <row r="851" spans="3:3" ht="17" x14ac:dyDescent="0.45">
      <c r="C851" s="98"/>
    </row>
    <row r="852" spans="3:3" ht="17" x14ac:dyDescent="0.45">
      <c r="C852" s="98"/>
    </row>
    <row r="853" spans="3:3" ht="17" x14ac:dyDescent="0.45">
      <c r="C853" s="98"/>
    </row>
    <row r="854" spans="3:3" ht="17" x14ac:dyDescent="0.45">
      <c r="C854" s="98"/>
    </row>
    <row r="855" spans="3:3" ht="17" x14ac:dyDescent="0.45">
      <c r="C855" s="98"/>
    </row>
    <row r="856" spans="3:3" ht="17" x14ac:dyDescent="0.45">
      <c r="C856" s="98"/>
    </row>
    <row r="857" spans="3:3" ht="17" x14ac:dyDescent="0.45">
      <c r="C857" s="98"/>
    </row>
    <row r="858" spans="3:3" ht="17" x14ac:dyDescent="0.45">
      <c r="C858" s="98"/>
    </row>
    <row r="859" spans="3:3" ht="17" x14ac:dyDescent="0.45">
      <c r="C859" s="98"/>
    </row>
    <row r="860" spans="3:3" ht="17" x14ac:dyDescent="0.45">
      <c r="C860" s="98"/>
    </row>
    <row r="861" spans="3:3" ht="17" x14ac:dyDescent="0.45">
      <c r="C861" s="98"/>
    </row>
    <row r="862" spans="3:3" ht="17" x14ac:dyDescent="0.45">
      <c r="C862" s="98"/>
    </row>
    <row r="863" spans="3:3" ht="17" x14ac:dyDescent="0.45">
      <c r="C863" s="98"/>
    </row>
    <row r="864" spans="3:3" ht="17" x14ac:dyDescent="0.45">
      <c r="C864" s="98"/>
    </row>
    <row r="865" spans="3:3" ht="17" x14ac:dyDescent="0.45">
      <c r="C865" s="98"/>
    </row>
    <row r="866" spans="3:3" ht="17" x14ac:dyDescent="0.45">
      <c r="C866" s="98"/>
    </row>
    <row r="867" spans="3:3" ht="17" x14ac:dyDescent="0.45">
      <c r="C867" s="98"/>
    </row>
    <row r="868" spans="3:3" ht="17" x14ac:dyDescent="0.45">
      <c r="C868" s="98"/>
    </row>
    <row r="869" spans="3:3" ht="17" x14ac:dyDescent="0.45">
      <c r="C869" s="98"/>
    </row>
    <row r="870" spans="3:3" ht="17" x14ac:dyDescent="0.45">
      <c r="C870" s="98"/>
    </row>
    <row r="871" spans="3:3" ht="17" x14ac:dyDescent="0.45">
      <c r="C871" s="98"/>
    </row>
    <row r="872" spans="3:3" ht="17" x14ac:dyDescent="0.45">
      <c r="C872" s="98"/>
    </row>
    <row r="873" spans="3:3" ht="17" x14ac:dyDescent="0.45">
      <c r="C873" s="98"/>
    </row>
    <row r="874" spans="3:3" ht="17" x14ac:dyDescent="0.45">
      <c r="C874" s="98"/>
    </row>
    <row r="875" spans="3:3" ht="17" x14ac:dyDescent="0.45">
      <c r="C875" s="98"/>
    </row>
    <row r="876" spans="3:3" ht="17" x14ac:dyDescent="0.45">
      <c r="C876" s="98"/>
    </row>
    <row r="877" spans="3:3" ht="17" x14ac:dyDescent="0.45">
      <c r="C877" s="98"/>
    </row>
    <row r="878" spans="3:3" ht="17" x14ac:dyDescent="0.45">
      <c r="C878" s="98"/>
    </row>
    <row r="879" spans="3:3" ht="17" x14ac:dyDescent="0.45">
      <c r="C879" s="98"/>
    </row>
    <row r="880" spans="3:3" ht="17" x14ac:dyDescent="0.45">
      <c r="C880" s="98"/>
    </row>
    <row r="881" spans="3:3" ht="17" x14ac:dyDescent="0.45">
      <c r="C881" s="98"/>
    </row>
    <row r="882" spans="3:3" ht="17" x14ac:dyDescent="0.45">
      <c r="C882" s="98"/>
    </row>
    <row r="883" spans="3:3" ht="17" x14ac:dyDescent="0.45">
      <c r="C883" s="98"/>
    </row>
    <row r="884" spans="3:3" ht="17" x14ac:dyDescent="0.45">
      <c r="C884" s="98"/>
    </row>
    <row r="885" spans="3:3" ht="17" x14ac:dyDescent="0.45">
      <c r="C885" s="98"/>
    </row>
    <row r="886" spans="3:3" ht="17" x14ac:dyDescent="0.45">
      <c r="C886" s="98"/>
    </row>
    <row r="887" spans="3:3" ht="17" x14ac:dyDescent="0.45">
      <c r="C887" s="98"/>
    </row>
    <row r="888" spans="3:3" ht="17" x14ac:dyDescent="0.45">
      <c r="C888" s="98"/>
    </row>
    <row r="889" spans="3:3" ht="17" x14ac:dyDescent="0.45">
      <c r="C889" s="98"/>
    </row>
    <row r="890" spans="3:3" ht="17" x14ac:dyDescent="0.45">
      <c r="C890" s="98"/>
    </row>
    <row r="891" spans="3:3" ht="17" x14ac:dyDescent="0.45">
      <c r="C891" s="98"/>
    </row>
    <row r="892" spans="3:3" ht="17" x14ac:dyDescent="0.45">
      <c r="C892" s="98"/>
    </row>
    <row r="893" spans="3:3" ht="17" x14ac:dyDescent="0.45">
      <c r="C893" s="98"/>
    </row>
    <row r="894" spans="3:3" ht="17" x14ac:dyDescent="0.45">
      <c r="C894" s="98"/>
    </row>
    <row r="895" spans="3:3" ht="17" x14ac:dyDescent="0.45">
      <c r="C895" s="98"/>
    </row>
    <row r="896" spans="3:3" ht="17" x14ac:dyDescent="0.45">
      <c r="C896" s="98"/>
    </row>
    <row r="897" spans="3:3" ht="17" x14ac:dyDescent="0.45">
      <c r="C897" s="98"/>
    </row>
    <row r="898" spans="3:3" ht="17" x14ac:dyDescent="0.45">
      <c r="C898" s="98"/>
    </row>
    <row r="899" spans="3:3" ht="17" x14ac:dyDescent="0.45">
      <c r="C899" s="98"/>
    </row>
    <row r="900" spans="3:3" ht="17" x14ac:dyDescent="0.45">
      <c r="C900" s="98"/>
    </row>
    <row r="901" spans="3:3" ht="17" x14ac:dyDescent="0.45">
      <c r="C901" s="98"/>
    </row>
    <row r="902" spans="3:3" ht="17" x14ac:dyDescent="0.45">
      <c r="C902" s="98"/>
    </row>
    <row r="903" spans="3:3" ht="17" x14ac:dyDescent="0.45">
      <c r="C903" s="98"/>
    </row>
    <row r="904" spans="3:3" ht="17" x14ac:dyDescent="0.45">
      <c r="C904" s="98"/>
    </row>
    <row r="905" spans="3:3" ht="17" x14ac:dyDescent="0.45">
      <c r="C905" s="98"/>
    </row>
    <row r="906" spans="3:3" ht="17" x14ac:dyDescent="0.45">
      <c r="C906" s="98"/>
    </row>
    <row r="907" spans="3:3" ht="17" x14ac:dyDescent="0.45">
      <c r="C907" s="98"/>
    </row>
  </sheetData>
  <mergeCells count="26">
    <mergeCell ref="B18:D18"/>
    <mergeCell ref="AY18:BB18"/>
    <mergeCell ref="B19:C19"/>
    <mergeCell ref="Z9:Z10"/>
    <mergeCell ref="AA9:AA10"/>
    <mergeCell ref="B11:D11"/>
    <mergeCell ref="B12:D12"/>
    <mergeCell ref="B13:D13"/>
    <mergeCell ref="B14:D14"/>
    <mergeCell ref="Q9:Q10"/>
    <mergeCell ref="R9:R10"/>
    <mergeCell ref="S9:T9"/>
    <mergeCell ref="U9:U10"/>
    <mergeCell ref="V9:W9"/>
    <mergeCell ref="X9:Y9"/>
    <mergeCell ref="B15:D15"/>
    <mergeCell ref="B16:D16"/>
    <mergeCell ref="B17:D17"/>
    <mergeCell ref="F1:O7"/>
    <mergeCell ref="B9:B10"/>
    <mergeCell ref="C9:D9"/>
    <mergeCell ref="F9:G9"/>
    <mergeCell ref="H9:I9"/>
    <mergeCell ref="J9:K9"/>
    <mergeCell ref="L9:L10"/>
    <mergeCell ref="M9:O9"/>
  </mergeCells>
  <phoneticPr fontId="3" type="noConversion"/>
  <conditionalFormatting sqref="C1:C18 C908:C1048576 C601:C697">
    <cfRule type="duplicateValues" dxfId="67" priority="23"/>
  </conditionalFormatting>
  <conditionalFormatting sqref="C1:C1048576">
    <cfRule type="duplicateValues" dxfId="66" priority="11"/>
  </conditionalFormatting>
  <conditionalFormatting sqref="C20:C43 C47:C60">
    <cfRule type="duplicateValues" dxfId="65" priority="22"/>
  </conditionalFormatting>
  <conditionalFormatting sqref="C43:C47">
    <cfRule type="duplicateValues" dxfId="64" priority="20"/>
  </conditionalFormatting>
  <conditionalFormatting sqref="C60:C600">
    <cfRule type="duplicateValues" dxfId="63" priority="21"/>
  </conditionalFormatting>
  <conditionalFormatting sqref="C606:C907">
    <cfRule type="duplicateValues" dxfId="62" priority="12"/>
  </conditionalFormatting>
  <conditionalFormatting sqref="D20:E600">
    <cfRule type="containsText" dxfId="61" priority="19" operator="containsText" text="NG">
      <formula>NOT(ISERROR(SEARCH("NG",D20)))</formula>
    </cfRule>
  </conditionalFormatting>
  <conditionalFormatting sqref="D698:E1048576 D10:E10">
    <cfRule type="duplicateValues" dxfId="60" priority="24"/>
  </conditionalFormatting>
  <conditionalFormatting sqref="D698:E1048576">
    <cfRule type="duplicateValues" dxfId="59" priority="25"/>
  </conditionalFormatting>
  <conditionalFormatting sqref="L20:L697">
    <cfRule type="cellIs" dxfId="58" priority="1" operator="lessThan">
      <formula>70.8</formula>
    </cfRule>
    <cfRule type="cellIs" dxfId="57" priority="2" operator="lessThan">
      <formula>$L$11</formula>
    </cfRule>
  </conditionalFormatting>
  <conditionalFormatting sqref="O20:O697">
    <cfRule type="cellIs" dxfId="53" priority="3" operator="lessThan">
      <formula>900</formula>
    </cfRule>
    <cfRule type="cellIs" dxfId="52" priority="4" operator="greaterThan">
      <formula>945</formula>
    </cfRule>
  </conditionalFormatting>
  <conditionalFormatting sqref="Q20:Q697">
    <cfRule type="cellIs" dxfId="51" priority="5" operator="lessThan">
      <formula>1000</formula>
    </cfRule>
  </conditionalFormatting>
  <conditionalFormatting sqref="R20:R697">
    <cfRule type="cellIs" dxfId="56" priority="6" operator="greaterThan">
      <formula>0.005</formula>
    </cfRule>
  </conditionalFormatting>
  <conditionalFormatting sqref="S20:S697">
    <cfRule type="cellIs" dxfId="55" priority="7" operator="lessThan">
      <formula>80</formula>
    </cfRule>
  </conditionalFormatting>
  <conditionalFormatting sqref="T20:T697">
    <cfRule type="cellIs" dxfId="54" priority="8" operator="less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8BCF-D4DB-42ED-9121-9CDDD2B103C0}">
  <dimension ref="B1:BB907"/>
  <sheetViews>
    <sheetView showGridLines="0" zoomScale="70" zoomScaleNormal="70" workbookViewId="0"/>
  </sheetViews>
  <sheetFormatPr defaultColWidth="8.33203125" defaultRowHeight="16" x14ac:dyDescent="0.45"/>
  <cols>
    <col min="1" max="1" width="4.83203125" style="1" customWidth="1"/>
    <col min="2" max="2" width="4.33203125" style="1" bestFit="1" customWidth="1"/>
    <col min="3" max="3" width="49.58203125" style="91" bestFit="1" customWidth="1"/>
    <col min="4" max="5" width="12.5" style="1" customWidth="1"/>
    <col min="6" max="14" width="9.58203125" style="1" customWidth="1"/>
    <col min="15" max="15" width="9.58203125" style="66" customWidth="1"/>
    <col min="16" max="16" width="9.58203125" style="85" customWidth="1"/>
    <col min="17" max="17" width="10.58203125" style="1" customWidth="1"/>
    <col min="18" max="18" width="19.08203125" style="1" bestFit="1" customWidth="1"/>
    <col min="19" max="20" width="10.58203125" style="1" customWidth="1"/>
    <col min="21" max="21" width="10.08203125" style="1" bestFit="1" customWidth="1"/>
    <col min="22" max="22" width="8" style="1" hidden="1" customWidth="1"/>
    <col min="23" max="23" width="10.5" style="1" hidden="1" customWidth="1"/>
    <col min="24" max="26" width="8" style="1" hidden="1" customWidth="1"/>
    <col min="27" max="27" width="13.33203125" style="1" customWidth="1"/>
    <col min="28" max="28" width="14.33203125" style="1" bestFit="1" customWidth="1"/>
    <col min="29" max="47" width="8.33203125" style="1"/>
    <col min="48" max="49" width="8.33203125" style="52" customWidth="1"/>
    <col min="50" max="16384" width="8.33203125" style="1"/>
  </cols>
  <sheetData>
    <row r="1" spans="2:29" ht="15.65" customHeight="1" x14ac:dyDescent="0.45">
      <c r="C1" s="86"/>
      <c r="D1" s="3"/>
      <c r="E1" s="2"/>
      <c r="F1" s="108" t="str">
        <f>R2&amp;"-"&amp;R3&amp;"-"&amp;R4&amp;" Optical Measurement"</f>
        <v>WINE-VDA129BLAC01- Optical Measurement</v>
      </c>
      <c r="G1" s="108"/>
      <c r="H1" s="108"/>
      <c r="I1" s="108"/>
      <c r="J1" s="108"/>
      <c r="K1" s="108"/>
      <c r="L1" s="108"/>
      <c r="M1" s="108"/>
      <c r="N1" s="108"/>
      <c r="O1" s="108"/>
      <c r="P1" s="4"/>
      <c r="Q1" s="4"/>
      <c r="R1" s="4"/>
      <c r="S1" s="2"/>
      <c r="T1" s="2"/>
      <c r="U1" s="2"/>
      <c r="V1" s="2"/>
      <c r="W1" s="2"/>
      <c r="X1" s="2"/>
      <c r="Y1" s="2"/>
      <c r="Z1" s="2"/>
      <c r="AA1" s="2"/>
    </row>
    <row r="2" spans="2:29" ht="15.65" customHeight="1" x14ac:dyDescent="0.45">
      <c r="C2" s="86"/>
      <c r="D2" s="3"/>
      <c r="E2" s="2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5" t="s">
        <v>0</v>
      </c>
      <c r="Q2" s="4"/>
      <c r="R2" s="6" t="s">
        <v>1</v>
      </c>
      <c r="S2" s="7"/>
      <c r="T2" s="2"/>
      <c r="U2" s="2"/>
      <c r="V2" s="2"/>
      <c r="W2" s="2"/>
      <c r="X2" s="2"/>
      <c r="Y2" s="2"/>
      <c r="Z2" s="2"/>
      <c r="AA2" s="2"/>
    </row>
    <row r="3" spans="2:29" ht="15.65" customHeight="1" x14ac:dyDescent="0.45">
      <c r="B3" s="3"/>
      <c r="C3" s="87"/>
      <c r="D3" s="3"/>
      <c r="E3" s="3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5" t="s">
        <v>2</v>
      </c>
      <c r="Q3" s="8"/>
      <c r="R3" s="6" t="s">
        <v>3</v>
      </c>
      <c r="S3" s="9"/>
      <c r="V3" s="10"/>
      <c r="W3" s="10"/>
      <c r="X3" s="10"/>
      <c r="Y3" s="10"/>
      <c r="Z3" s="10"/>
      <c r="AA3" s="10"/>
    </row>
    <row r="4" spans="2:29" ht="15.65" customHeight="1" x14ac:dyDescent="0.45">
      <c r="B4" s="3"/>
      <c r="C4" s="87"/>
      <c r="D4" s="3"/>
      <c r="E4" s="3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5" t="s">
        <v>4</v>
      </c>
      <c r="Q4" s="8"/>
      <c r="R4" s="6"/>
      <c r="S4" s="9"/>
      <c r="V4" s="10"/>
      <c r="W4" s="10"/>
      <c r="X4" s="10"/>
      <c r="Y4" s="10"/>
      <c r="Z4" s="10"/>
      <c r="AA4" s="10"/>
    </row>
    <row r="5" spans="2:29" ht="15.65" customHeight="1" x14ac:dyDescent="0.45">
      <c r="B5" s="3"/>
      <c r="C5" s="87"/>
      <c r="D5" s="3"/>
      <c r="E5" s="3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5" t="s">
        <v>5</v>
      </c>
      <c r="Q5" s="8"/>
      <c r="R5" s="11" t="s">
        <v>927</v>
      </c>
      <c r="S5" s="9"/>
      <c r="V5" s="10"/>
      <c r="W5" s="10"/>
      <c r="X5" s="10"/>
      <c r="Y5" s="10"/>
      <c r="Z5" s="10"/>
      <c r="AA5" s="10"/>
    </row>
    <row r="6" spans="2:29" ht="15.65" customHeight="1" x14ac:dyDescent="0.45">
      <c r="B6" s="3"/>
      <c r="C6" s="87"/>
      <c r="D6" s="3"/>
      <c r="E6" s="3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5" t="s">
        <v>6</v>
      </c>
      <c r="Q6" s="8"/>
      <c r="R6" s="6" t="s">
        <v>7</v>
      </c>
      <c r="S6" s="9"/>
      <c r="V6" s="10"/>
      <c r="W6" s="10"/>
      <c r="X6" s="10"/>
      <c r="Y6" s="10"/>
      <c r="Z6" s="10"/>
      <c r="AA6" s="10"/>
    </row>
    <row r="7" spans="2:29" ht="15.65" customHeight="1" x14ac:dyDescent="0.45">
      <c r="B7" s="3"/>
      <c r="C7" s="87"/>
      <c r="D7" s="3"/>
      <c r="E7" s="3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5" t="s">
        <v>8</v>
      </c>
      <c r="Q7" s="8"/>
      <c r="R7" s="8" t="str">
        <f>COUNTA(C20:C697)&amp;"ea"</f>
        <v>0ea</v>
      </c>
      <c r="V7" s="10"/>
      <c r="W7" s="10"/>
      <c r="X7" s="10"/>
      <c r="Y7" s="10"/>
      <c r="Z7" s="10"/>
      <c r="AA7" s="10"/>
    </row>
    <row r="8" spans="2:29" ht="15.65" customHeight="1" x14ac:dyDescent="0.45">
      <c r="B8" s="3"/>
      <c r="C8" s="8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3"/>
      <c r="T8" s="12"/>
      <c r="U8" s="12"/>
      <c r="V8" s="12"/>
      <c r="W8" s="12"/>
      <c r="X8" s="12"/>
      <c r="Y8" s="12"/>
      <c r="Z8" s="12"/>
      <c r="AA8" s="12"/>
    </row>
    <row r="9" spans="2:29" ht="17.149999999999999" customHeight="1" x14ac:dyDescent="0.45">
      <c r="B9" s="109" t="s">
        <v>9</v>
      </c>
      <c r="C9" s="111" t="s">
        <v>10</v>
      </c>
      <c r="D9" s="112"/>
      <c r="E9" s="15"/>
      <c r="F9" s="113" t="s">
        <v>11</v>
      </c>
      <c r="G9" s="113"/>
      <c r="H9" s="114" t="s">
        <v>12</v>
      </c>
      <c r="I9" s="114"/>
      <c r="J9" s="115" t="s">
        <v>13</v>
      </c>
      <c r="K9" s="115"/>
      <c r="L9" s="116" t="s">
        <v>14</v>
      </c>
      <c r="M9" s="117" t="s">
        <v>15</v>
      </c>
      <c r="N9" s="117"/>
      <c r="O9" s="117"/>
      <c r="P9" s="20" t="s">
        <v>16</v>
      </c>
      <c r="Q9" s="116" t="s">
        <v>17</v>
      </c>
      <c r="R9" s="116" t="s">
        <v>18</v>
      </c>
      <c r="S9" s="111" t="s">
        <v>19</v>
      </c>
      <c r="T9" s="112"/>
      <c r="U9" s="116" t="s">
        <v>20</v>
      </c>
      <c r="V9" s="124" t="s">
        <v>21</v>
      </c>
      <c r="W9" s="125"/>
      <c r="X9" s="126" t="s">
        <v>22</v>
      </c>
      <c r="Y9" s="126"/>
      <c r="Z9" s="116" t="s">
        <v>23</v>
      </c>
      <c r="AA9" s="116" t="s">
        <v>24</v>
      </c>
      <c r="AC9" s="22"/>
    </row>
    <row r="10" spans="2:29" x14ac:dyDescent="0.45">
      <c r="B10" s="110"/>
      <c r="C10" s="89" t="s">
        <v>25</v>
      </c>
      <c r="D10" s="19" t="s">
        <v>26</v>
      </c>
      <c r="E10" s="19" t="s">
        <v>27</v>
      </c>
      <c r="F10" s="16" t="s">
        <v>28</v>
      </c>
      <c r="G10" s="16" t="s">
        <v>29</v>
      </c>
      <c r="H10" s="17" t="s">
        <v>28</v>
      </c>
      <c r="I10" s="17" t="s">
        <v>29</v>
      </c>
      <c r="J10" s="18" t="s">
        <v>28</v>
      </c>
      <c r="K10" s="18" t="s">
        <v>29</v>
      </c>
      <c r="L10" s="109"/>
      <c r="M10" s="24" t="s">
        <v>28</v>
      </c>
      <c r="N10" s="24" t="s">
        <v>29</v>
      </c>
      <c r="O10" s="25" t="s">
        <v>30</v>
      </c>
      <c r="P10" s="26" t="s">
        <v>30</v>
      </c>
      <c r="Q10" s="109"/>
      <c r="R10" s="109"/>
      <c r="S10" s="19" t="s">
        <v>15</v>
      </c>
      <c r="T10" s="19" t="s">
        <v>16</v>
      </c>
      <c r="U10" s="116"/>
      <c r="V10" s="19" t="s">
        <v>31</v>
      </c>
      <c r="W10" s="21" t="s">
        <v>30</v>
      </c>
      <c r="X10" s="14" t="s">
        <v>28</v>
      </c>
      <c r="Y10" s="14" t="s">
        <v>29</v>
      </c>
      <c r="Z10" s="116"/>
      <c r="AA10" s="116"/>
      <c r="AB10" s="22"/>
      <c r="AC10" s="22"/>
    </row>
    <row r="11" spans="2:29" x14ac:dyDescent="0.45">
      <c r="B11" s="121" t="s">
        <v>32</v>
      </c>
      <c r="C11" s="122"/>
      <c r="D11" s="123"/>
      <c r="E11" s="28"/>
      <c r="F11" s="29">
        <f t="shared" ref="F11:K11" si="0">F12-F14</f>
        <v>0.61</v>
      </c>
      <c r="G11" s="29">
        <f t="shared" si="0"/>
        <v>0.32099999999999995</v>
      </c>
      <c r="H11" s="29">
        <f t="shared" si="0"/>
        <v>0.26200000000000001</v>
      </c>
      <c r="I11" s="29">
        <f t="shared" si="0"/>
        <v>0.61699999999999999</v>
      </c>
      <c r="J11" s="29">
        <f t="shared" si="0"/>
        <v>0.12</v>
      </c>
      <c r="K11" s="29">
        <f t="shared" si="0"/>
        <v>0.03</v>
      </c>
      <c r="L11" s="30">
        <v>70.8</v>
      </c>
      <c r="M11" s="31"/>
      <c r="N11" s="31"/>
      <c r="O11" s="30">
        <v>900</v>
      </c>
      <c r="P11" s="32"/>
      <c r="Q11" s="33">
        <v>1000</v>
      </c>
      <c r="R11" s="34"/>
      <c r="S11" s="35">
        <v>80</v>
      </c>
      <c r="T11" s="35">
        <v>50</v>
      </c>
      <c r="U11" s="34"/>
      <c r="V11" s="23"/>
      <c r="W11" s="23"/>
      <c r="X11" s="19"/>
      <c r="Y11" s="19"/>
      <c r="Z11" s="23"/>
      <c r="AA11" s="23"/>
    </row>
    <row r="12" spans="2:29" x14ac:dyDescent="0.45">
      <c r="B12" s="121" t="s">
        <v>33</v>
      </c>
      <c r="C12" s="122"/>
      <c r="D12" s="123"/>
      <c r="E12" s="27"/>
      <c r="F12" s="36">
        <v>0.64</v>
      </c>
      <c r="G12" s="36">
        <v>0.35099999999999998</v>
      </c>
      <c r="H12" s="36">
        <v>0.29199999999999998</v>
      </c>
      <c r="I12" s="36">
        <v>0.64700000000000002</v>
      </c>
      <c r="J12" s="36">
        <v>0.15</v>
      </c>
      <c r="K12" s="36">
        <v>0.06</v>
      </c>
      <c r="L12" s="31"/>
      <c r="M12" s="36">
        <v>0.29299999999999998</v>
      </c>
      <c r="N12" s="36">
        <v>0.32</v>
      </c>
      <c r="O12" s="31"/>
      <c r="P12" s="37"/>
      <c r="Q12" s="34"/>
      <c r="R12" s="34"/>
      <c r="S12" s="34"/>
      <c r="T12" s="34"/>
      <c r="U12" s="38">
        <v>7800</v>
      </c>
      <c r="V12" s="23"/>
      <c r="W12" s="39"/>
      <c r="X12" s="23"/>
      <c r="Y12" s="23"/>
      <c r="Z12" s="23"/>
      <c r="AA12" s="23"/>
    </row>
    <row r="13" spans="2:29" x14ac:dyDescent="0.45">
      <c r="B13" s="121" t="s">
        <v>34</v>
      </c>
      <c r="C13" s="122"/>
      <c r="D13" s="123"/>
      <c r="E13" s="28"/>
      <c r="F13" s="29">
        <f t="shared" ref="F13:K13" si="1">F12+F14</f>
        <v>0.67</v>
      </c>
      <c r="G13" s="29">
        <f t="shared" si="1"/>
        <v>0.38100000000000001</v>
      </c>
      <c r="H13" s="29">
        <f t="shared" si="1"/>
        <v>0.32199999999999995</v>
      </c>
      <c r="I13" s="29">
        <f t="shared" si="1"/>
        <v>0.67700000000000005</v>
      </c>
      <c r="J13" s="29">
        <f t="shared" si="1"/>
        <v>0.18</v>
      </c>
      <c r="K13" s="29">
        <f t="shared" si="1"/>
        <v>0.09</v>
      </c>
      <c r="L13" s="31"/>
      <c r="M13" s="31"/>
      <c r="N13" s="31"/>
      <c r="O13" s="30">
        <v>945</v>
      </c>
      <c r="P13" s="40"/>
      <c r="Q13" s="34"/>
      <c r="R13" s="41">
        <v>5.0000000000000001E-3</v>
      </c>
      <c r="S13" s="34"/>
      <c r="T13" s="34"/>
      <c r="U13" s="34"/>
      <c r="V13" s="23"/>
      <c r="W13" s="39"/>
      <c r="X13" s="23"/>
      <c r="Y13" s="23"/>
      <c r="Z13" s="23"/>
      <c r="AA13" s="23"/>
    </row>
    <row r="14" spans="2:29" x14ac:dyDescent="0.45">
      <c r="B14" s="121" t="s">
        <v>35</v>
      </c>
      <c r="C14" s="122"/>
      <c r="D14" s="123"/>
      <c r="E14" s="28"/>
      <c r="F14" s="41">
        <v>0.03</v>
      </c>
      <c r="G14" s="41">
        <v>0.03</v>
      </c>
      <c r="H14" s="41">
        <v>0.03</v>
      </c>
      <c r="I14" s="41">
        <v>0.03</v>
      </c>
      <c r="J14" s="41">
        <v>0.03</v>
      </c>
      <c r="K14" s="41">
        <v>0.03</v>
      </c>
      <c r="L14" s="31"/>
      <c r="M14" s="31"/>
      <c r="N14" s="31"/>
      <c r="O14" s="31"/>
      <c r="P14" s="40"/>
      <c r="Q14" s="34"/>
      <c r="R14" s="34"/>
      <c r="S14" s="34"/>
      <c r="T14" s="34"/>
      <c r="U14" s="34"/>
      <c r="V14" s="23"/>
      <c r="W14" s="39"/>
      <c r="X14" s="23"/>
      <c r="Y14" s="23"/>
      <c r="Z14" s="23"/>
      <c r="AA14" s="23"/>
    </row>
    <row r="15" spans="2:29" x14ac:dyDescent="0.45">
      <c r="B15" s="127" t="s">
        <v>36</v>
      </c>
      <c r="C15" s="128"/>
      <c r="D15" s="129"/>
      <c r="E15" s="42"/>
      <c r="F15" s="43" t="e">
        <f t="shared" ref="F15:T15" si="2">AVERAGE(F20:F697)</f>
        <v>#DIV/0!</v>
      </c>
      <c r="G15" s="43" t="e">
        <f t="shared" si="2"/>
        <v>#DIV/0!</v>
      </c>
      <c r="H15" s="43" t="e">
        <f t="shared" si="2"/>
        <v>#DIV/0!</v>
      </c>
      <c r="I15" s="43" t="e">
        <f t="shared" si="2"/>
        <v>#DIV/0!</v>
      </c>
      <c r="J15" s="43" t="e">
        <f t="shared" si="2"/>
        <v>#DIV/0!</v>
      </c>
      <c r="K15" s="43" t="e">
        <f t="shared" si="2"/>
        <v>#DIV/0!</v>
      </c>
      <c r="L15" s="43">
        <f t="shared" si="2"/>
        <v>0</v>
      </c>
      <c r="M15" s="43" t="e">
        <f t="shared" si="2"/>
        <v>#DIV/0!</v>
      </c>
      <c r="N15" s="43" t="e">
        <f t="shared" si="2"/>
        <v>#DIV/0!</v>
      </c>
      <c r="O15" s="43" t="e">
        <f t="shared" si="2"/>
        <v>#DIV/0!</v>
      </c>
      <c r="P15" s="43" t="e">
        <f t="shared" si="2"/>
        <v>#DIV/0!</v>
      </c>
      <c r="Q15" s="44" t="e">
        <f t="shared" si="2"/>
        <v>#DIV/0!</v>
      </c>
      <c r="R15" s="43">
        <f t="shared" si="2"/>
        <v>0.4338767105987581</v>
      </c>
      <c r="S15" s="43" t="e">
        <f t="shared" si="2"/>
        <v>#DIV/0!</v>
      </c>
      <c r="T15" s="43" t="e">
        <f t="shared" si="2"/>
        <v>#DIV/0!</v>
      </c>
      <c r="U15" s="43">
        <f t="shared" ref="U15:Z15" si="3">AVERAGE(U20:U76)</f>
        <v>2021.2824107652889</v>
      </c>
      <c r="V15" s="43">
        <f t="shared" si="3"/>
        <v>2021.2824107652905</v>
      </c>
      <c r="W15" s="43">
        <f t="shared" si="3"/>
        <v>2021.2824107652905</v>
      </c>
      <c r="X15" s="43" t="e">
        <f t="shared" si="3"/>
        <v>#DIV/0!</v>
      </c>
      <c r="Y15" s="43" t="e">
        <f t="shared" si="3"/>
        <v>#DIV/0!</v>
      </c>
      <c r="Z15" s="43">
        <f t="shared" si="3"/>
        <v>10395.441632769391</v>
      </c>
      <c r="AA15" s="45"/>
    </row>
    <row r="16" spans="2:29" x14ac:dyDescent="0.45">
      <c r="B16" s="104" t="s">
        <v>37</v>
      </c>
      <c r="C16" s="105"/>
      <c r="D16" s="106"/>
      <c r="E16" s="46"/>
      <c r="F16" s="47" t="e">
        <f t="shared" ref="F16:L16" si="4">F15-F12</f>
        <v>#DIV/0!</v>
      </c>
      <c r="G16" s="47" t="e">
        <f>G15-G12</f>
        <v>#DIV/0!</v>
      </c>
      <c r="H16" s="47" t="e">
        <f t="shared" si="4"/>
        <v>#DIV/0!</v>
      </c>
      <c r="I16" s="47" t="e">
        <f t="shared" si="4"/>
        <v>#DIV/0!</v>
      </c>
      <c r="J16" s="47" t="e">
        <f t="shared" si="4"/>
        <v>#DIV/0!</v>
      </c>
      <c r="K16" s="47" t="e">
        <f t="shared" si="4"/>
        <v>#DIV/0!</v>
      </c>
      <c r="L16" s="47">
        <f t="shared" si="4"/>
        <v>0</v>
      </c>
      <c r="M16" s="47" t="e">
        <f>M15-M12</f>
        <v>#DIV/0!</v>
      </c>
      <c r="N16" s="48" t="e">
        <f>N15-N12</f>
        <v>#DIV/0!</v>
      </c>
      <c r="O16" s="47" t="e">
        <f>O15-O12</f>
        <v>#DIV/0!</v>
      </c>
      <c r="P16" s="47" t="e">
        <f t="shared" ref="P16:Z16" si="5">P15-P12</f>
        <v>#DIV/0!</v>
      </c>
      <c r="Q16" s="49" t="e">
        <f t="shared" si="5"/>
        <v>#DIV/0!</v>
      </c>
      <c r="R16" s="47">
        <f t="shared" si="5"/>
        <v>0.4338767105987581</v>
      </c>
      <c r="S16" s="47" t="e">
        <f t="shared" si="5"/>
        <v>#DIV/0!</v>
      </c>
      <c r="T16" s="47" t="e">
        <f t="shared" si="5"/>
        <v>#DIV/0!</v>
      </c>
      <c r="U16" s="47">
        <f t="shared" si="5"/>
        <v>-5778.7175892347113</v>
      </c>
      <c r="V16" s="47">
        <f t="shared" si="5"/>
        <v>2021.2824107652905</v>
      </c>
      <c r="W16" s="47">
        <f t="shared" si="5"/>
        <v>2021.2824107652905</v>
      </c>
      <c r="X16" s="47" t="e">
        <f t="shared" si="5"/>
        <v>#DIV/0!</v>
      </c>
      <c r="Y16" s="47" t="e">
        <f t="shared" si="5"/>
        <v>#DIV/0!</v>
      </c>
      <c r="Z16" s="47">
        <f t="shared" si="5"/>
        <v>10395.441632769391</v>
      </c>
      <c r="AA16" s="45"/>
    </row>
    <row r="17" spans="2:54" x14ac:dyDescent="0.45">
      <c r="B17" s="107" t="s">
        <v>38</v>
      </c>
      <c r="C17" s="107"/>
      <c r="D17" s="107"/>
      <c r="E17" s="50"/>
      <c r="F17" s="43">
        <f t="shared" ref="F17:T17" si="6">MIN(F20:F697)</f>
        <v>0</v>
      </c>
      <c r="G17" s="43">
        <f t="shared" si="6"/>
        <v>0</v>
      </c>
      <c r="H17" s="43">
        <f t="shared" si="6"/>
        <v>0</v>
      </c>
      <c r="I17" s="43">
        <f t="shared" si="6"/>
        <v>0</v>
      </c>
      <c r="J17" s="43">
        <f t="shared" si="6"/>
        <v>0</v>
      </c>
      <c r="K17" s="43">
        <f t="shared" si="6"/>
        <v>0</v>
      </c>
      <c r="L17" s="43">
        <f t="shared" si="6"/>
        <v>0</v>
      </c>
      <c r="M17" s="43">
        <f t="shared" si="6"/>
        <v>0</v>
      </c>
      <c r="N17" s="43">
        <f t="shared" si="6"/>
        <v>0</v>
      </c>
      <c r="O17" s="43">
        <f t="shared" si="6"/>
        <v>0</v>
      </c>
      <c r="P17" s="43">
        <f t="shared" si="6"/>
        <v>0</v>
      </c>
      <c r="Q17" s="44" t="e">
        <f t="shared" si="6"/>
        <v>#DIV/0!</v>
      </c>
      <c r="R17" s="43">
        <f t="shared" si="6"/>
        <v>0.43387671059875982</v>
      </c>
      <c r="S17" s="43">
        <f t="shared" si="6"/>
        <v>0</v>
      </c>
      <c r="T17" s="43">
        <f t="shared" si="6"/>
        <v>0</v>
      </c>
      <c r="U17" s="43">
        <f t="shared" ref="U17:Z17" si="7">MIN(U20:U76)</f>
        <v>2021.2824107652905</v>
      </c>
      <c r="V17" s="43">
        <f t="shared" si="7"/>
        <v>2021.2824107652905</v>
      </c>
      <c r="W17" s="43">
        <f t="shared" si="7"/>
        <v>2021.2824107652905</v>
      </c>
      <c r="X17" s="43" t="e">
        <f t="shared" si="7"/>
        <v>#DIV/0!</v>
      </c>
      <c r="Y17" s="43" t="e">
        <f t="shared" si="7"/>
        <v>#DIV/0!</v>
      </c>
      <c r="Z17" s="43">
        <f t="shared" si="7"/>
        <v>10395.441632769391</v>
      </c>
      <c r="AA17" s="45"/>
      <c r="AH17" s="51"/>
      <c r="AI17" s="51"/>
    </row>
    <row r="18" spans="2:54" x14ac:dyDescent="0.45">
      <c r="B18" s="107" t="s">
        <v>39</v>
      </c>
      <c r="C18" s="107"/>
      <c r="D18" s="107"/>
      <c r="E18" s="50"/>
      <c r="F18" s="43">
        <f t="shared" ref="F18:T18" si="8">MAX(F20:F697)</f>
        <v>0</v>
      </c>
      <c r="G18" s="43">
        <f t="shared" si="8"/>
        <v>0</v>
      </c>
      <c r="H18" s="43">
        <f t="shared" si="8"/>
        <v>0</v>
      </c>
      <c r="I18" s="43">
        <f t="shared" si="8"/>
        <v>0</v>
      </c>
      <c r="J18" s="43">
        <f t="shared" si="8"/>
        <v>0</v>
      </c>
      <c r="K18" s="43">
        <f t="shared" si="8"/>
        <v>0</v>
      </c>
      <c r="L18" s="43">
        <f t="shared" si="8"/>
        <v>0</v>
      </c>
      <c r="M18" s="43">
        <f t="shared" si="8"/>
        <v>0</v>
      </c>
      <c r="N18" s="43">
        <f t="shared" si="8"/>
        <v>0</v>
      </c>
      <c r="O18" s="43">
        <f t="shared" si="8"/>
        <v>0</v>
      </c>
      <c r="P18" s="43">
        <f t="shared" si="8"/>
        <v>0</v>
      </c>
      <c r="Q18" s="44" t="e">
        <f t="shared" si="8"/>
        <v>#DIV/0!</v>
      </c>
      <c r="R18" s="43">
        <f t="shared" si="8"/>
        <v>0.43387671059875982</v>
      </c>
      <c r="S18" s="43">
        <f t="shared" si="8"/>
        <v>0</v>
      </c>
      <c r="T18" s="43">
        <f t="shared" si="8"/>
        <v>0</v>
      </c>
      <c r="U18" s="43">
        <f t="shared" ref="U18:Z18" si="9">MAX(U20:U76)</f>
        <v>2021.2824107652905</v>
      </c>
      <c r="V18" s="43">
        <f t="shared" si="9"/>
        <v>2021.2824107652905</v>
      </c>
      <c r="W18" s="43">
        <f t="shared" si="9"/>
        <v>2021.2824107652905</v>
      </c>
      <c r="X18" s="43" t="e">
        <f t="shared" si="9"/>
        <v>#DIV/0!</v>
      </c>
      <c r="Y18" s="43" t="e">
        <f t="shared" si="9"/>
        <v>#DIV/0!</v>
      </c>
      <c r="Z18" s="43">
        <f t="shared" si="9"/>
        <v>10395.441632769391</v>
      </c>
      <c r="AA18" s="45"/>
      <c r="AY18" s="118" t="s">
        <v>40</v>
      </c>
      <c r="AZ18" s="118"/>
      <c r="BA18" s="118"/>
      <c r="BB18" s="118"/>
    </row>
    <row r="19" spans="2:54" x14ac:dyDescent="0.45">
      <c r="B19" s="119" t="s">
        <v>41</v>
      </c>
      <c r="C19" s="120"/>
      <c r="D19" s="53" t="s">
        <v>560</v>
      </c>
      <c r="E19" s="53" t="s">
        <v>559</v>
      </c>
      <c r="F19" s="54" t="e">
        <f t="shared" ref="F19:K19" si="10">(1-ABS(((F13+F11)/2)-AVERAGE(F20:F697))/((F13-F11)/2))*((F13-F11)/(STDEV(F20:F697)*6))</f>
        <v>#DIV/0!</v>
      </c>
      <c r="G19" s="54" t="e">
        <f t="shared" si="10"/>
        <v>#DIV/0!</v>
      </c>
      <c r="H19" s="54" t="e">
        <f t="shared" si="10"/>
        <v>#DIV/0!</v>
      </c>
      <c r="I19" s="54" t="e">
        <f t="shared" si="10"/>
        <v>#DIV/0!</v>
      </c>
      <c r="J19" s="54" t="e">
        <f t="shared" si="10"/>
        <v>#DIV/0!</v>
      </c>
      <c r="K19" s="54" t="e">
        <f t="shared" si="10"/>
        <v>#DIV/0!</v>
      </c>
      <c r="L19" s="54" t="e">
        <f>((AVERAGE(L20:L697)-L11)/(3*STDEV(L20:L697)))</f>
        <v>#DIV/0!</v>
      </c>
      <c r="M19" s="54" t="e">
        <f>(1-ABS(((M13+M11)/2)-AVERAGE(M20:M697))/((M13-M11)/2))*((M13-M11)/(STDEV(M20:M697)*6))</f>
        <v>#DIV/0!</v>
      </c>
      <c r="N19" s="54" t="e">
        <f>(1-ABS(((N13+N11)/2)-AVERAGE(N20:N697))/((N13-N11)/2))*((N13-N11)/(STDEV(N20:N697)*6))</f>
        <v>#DIV/0!</v>
      </c>
      <c r="O19" s="54" t="e">
        <f>((AVERAGE(O20:O697)-O11)/(3*STDEV(O20:O697)))</f>
        <v>#DIV/0!</v>
      </c>
      <c r="P19" s="54" t="e">
        <f>(1-ABS(((P13+P11)/2)-AVERAGE(P20:P697))/((P13-P11)/2))*((P13-P11)/(STDEV(P20:P697)*6))</f>
        <v>#DIV/0!</v>
      </c>
      <c r="Q19" s="55" t="e">
        <f>((AVERAGE(Q20:Q697)-Q11)/(3*STDEV(Q20:Q697)))</f>
        <v>#DIV/0!</v>
      </c>
      <c r="R19" s="54">
        <f>(R13-AVERAGE(R20:R697))/(3*STDEV(R20:R697))</f>
        <v>-83013508237325.078</v>
      </c>
      <c r="S19" s="54" t="e">
        <f>((AVERAGE(S20:S697)-S11)/(3*STDEV(S20:S697)))</f>
        <v>#DIV/0!</v>
      </c>
      <c r="T19" s="54" t="e">
        <f>((AVERAGE(T20:T697)-T11)/(3*STDEV(T20:T697)))</f>
        <v>#DIV/0!</v>
      </c>
      <c r="U19" s="54" t="e">
        <f t="shared" ref="U19:Z19" si="11">(1-ABS(((U13+U11)/2)-AVERAGE(U20:U697))/((U13-U11)/2))*((U13-U11)/(STDEV(U20:U697)*6))</f>
        <v>#DIV/0!</v>
      </c>
      <c r="V19" s="54" t="e">
        <f t="shared" si="11"/>
        <v>#DIV/0!</v>
      </c>
      <c r="W19" s="54" t="e">
        <f t="shared" si="11"/>
        <v>#DIV/0!</v>
      </c>
      <c r="X19" s="54" t="e">
        <f t="shared" si="11"/>
        <v>#DIV/0!</v>
      </c>
      <c r="Y19" s="54" t="e">
        <f t="shared" si="11"/>
        <v>#DIV/0!</v>
      </c>
      <c r="Z19" s="54" t="e">
        <f t="shared" si="11"/>
        <v>#DIV/0!</v>
      </c>
      <c r="AA19" s="45"/>
      <c r="AY19" s="1" t="s">
        <v>42</v>
      </c>
      <c r="AZ19" s="1" t="s">
        <v>43</v>
      </c>
      <c r="BA19" s="1" t="s">
        <v>44</v>
      </c>
      <c r="BB19" s="1" t="s">
        <v>45</v>
      </c>
    </row>
    <row r="20" spans="2:54" x14ac:dyDescent="0.45">
      <c r="B20" s="45" t="s">
        <v>46</v>
      </c>
      <c r="C20" s="90"/>
      <c r="D20" s="56"/>
      <c r="E20" s="57"/>
      <c r="F20" s="58"/>
      <c r="G20" s="58"/>
      <c r="H20" s="58"/>
      <c r="I20" s="58"/>
      <c r="J20" s="58"/>
      <c r="K20" s="58"/>
      <c r="L20" s="59">
        <f t="shared" ref="L20:L81" si="12">1/2*((F20*I20+H20*K20+J20*G20)-(G20*H20+I20*J20+K20*F20))/0.1582*100</f>
        <v>0</v>
      </c>
      <c r="M20" s="68"/>
      <c r="N20" s="68"/>
      <c r="O20" s="68"/>
      <c r="P20" s="68"/>
      <c r="Q20" s="99" t="e">
        <f t="shared" ref="Q20:Q81" si="13">O20/P20</f>
        <v>#DIV/0!</v>
      </c>
      <c r="R20" s="100">
        <f t="shared" ref="R20:R81" si="14">SQRT(POWER(M20-$M$12,2)+POWER(N20-$N$12,2))</f>
        <v>0.43387671059875982</v>
      </c>
      <c r="S20" s="83"/>
      <c r="T20" s="83"/>
      <c r="U20" s="101">
        <f t="shared" ref="U20:Z81" si="15">(-449*((M20-0.332)/(N20-0.1858))^3)+(3525*((M20-0.332)/(N20-0.1858))^2)+(-6823.3*(M20-0.332)/(N20-0.1858))+5520.33</f>
        <v>2021.2824107652905</v>
      </c>
      <c r="V20" s="62">
        <f t="shared" si="15"/>
        <v>2021.2824107652905</v>
      </c>
      <c r="W20" s="62">
        <f t="shared" si="15"/>
        <v>2021.2824107652905</v>
      </c>
      <c r="X20" s="62" t="e">
        <f t="shared" si="15"/>
        <v>#DIV/0!</v>
      </c>
      <c r="Y20" s="62" t="e">
        <f t="shared" si="15"/>
        <v>#DIV/0!</v>
      </c>
      <c r="Z20" s="62">
        <f t="shared" si="15"/>
        <v>10395.441632769391</v>
      </c>
      <c r="AA20" s="61"/>
      <c r="AY20" s="66"/>
      <c r="AZ20" s="66"/>
      <c r="BA20" s="66"/>
      <c r="BB20" s="22"/>
    </row>
    <row r="21" spans="2:54" x14ac:dyDescent="0.45">
      <c r="B21" s="45" t="s">
        <v>504</v>
      </c>
      <c r="C21" s="90"/>
      <c r="D21" s="56"/>
      <c r="E21" s="58"/>
      <c r="F21" s="58"/>
      <c r="G21" s="58"/>
      <c r="H21" s="58"/>
      <c r="I21" s="58"/>
      <c r="J21" s="58"/>
      <c r="K21" s="58"/>
      <c r="L21" s="59">
        <f t="shared" si="12"/>
        <v>0</v>
      </c>
      <c r="M21" s="68"/>
      <c r="N21" s="68"/>
      <c r="O21" s="68"/>
      <c r="P21" s="68"/>
      <c r="Q21" s="99" t="e">
        <f t="shared" si="13"/>
        <v>#DIV/0!</v>
      </c>
      <c r="R21" s="100">
        <f t="shared" si="14"/>
        <v>0.43387671059875982</v>
      </c>
      <c r="S21" s="83"/>
      <c r="T21" s="83"/>
      <c r="U21" s="101">
        <f t="shared" si="15"/>
        <v>2021.2824107652905</v>
      </c>
      <c r="V21" s="45"/>
      <c r="W21" s="63"/>
      <c r="X21" s="64"/>
      <c r="Y21" s="64"/>
      <c r="Z21" s="65"/>
      <c r="AA21" s="45"/>
      <c r="AY21" s="66"/>
      <c r="AZ21" s="66"/>
      <c r="BA21" s="66"/>
      <c r="BB21" s="22"/>
    </row>
    <row r="22" spans="2:54" x14ac:dyDescent="0.45">
      <c r="B22" s="45" t="s">
        <v>47</v>
      </c>
      <c r="C22" s="90"/>
      <c r="D22" s="56"/>
      <c r="E22" s="58"/>
      <c r="F22" s="58"/>
      <c r="G22" s="58"/>
      <c r="H22" s="58"/>
      <c r="I22" s="58"/>
      <c r="J22" s="58"/>
      <c r="K22" s="58"/>
      <c r="L22" s="59">
        <f t="shared" si="12"/>
        <v>0</v>
      </c>
      <c r="M22" s="68"/>
      <c r="N22" s="68"/>
      <c r="O22" s="68"/>
      <c r="P22" s="68"/>
      <c r="Q22" s="99" t="e">
        <f t="shared" si="13"/>
        <v>#DIV/0!</v>
      </c>
      <c r="R22" s="100">
        <f t="shared" si="14"/>
        <v>0.43387671059875982</v>
      </c>
      <c r="S22" s="83"/>
      <c r="T22" s="83"/>
      <c r="U22" s="101">
        <f t="shared" si="15"/>
        <v>2021.2824107652905</v>
      </c>
      <c r="V22" s="45"/>
      <c r="W22" s="63"/>
      <c r="X22" s="64"/>
      <c r="Y22" s="64"/>
      <c r="Z22" s="65"/>
      <c r="AA22" s="45"/>
      <c r="AY22" s="66"/>
      <c r="AZ22" s="66"/>
      <c r="BA22" s="66"/>
      <c r="BB22" s="22"/>
    </row>
    <row r="23" spans="2:54" x14ac:dyDescent="0.45">
      <c r="B23" s="45" t="s">
        <v>48</v>
      </c>
      <c r="C23" s="90"/>
      <c r="D23" s="56"/>
      <c r="E23" s="57"/>
      <c r="F23" s="58"/>
      <c r="G23" s="58"/>
      <c r="H23" s="58"/>
      <c r="I23" s="58"/>
      <c r="J23" s="58"/>
      <c r="K23" s="58"/>
      <c r="L23" s="59">
        <f t="shared" si="12"/>
        <v>0</v>
      </c>
      <c r="M23" s="68"/>
      <c r="N23" s="68"/>
      <c r="O23" s="68"/>
      <c r="P23" s="68"/>
      <c r="Q23" s="99" t="e">
        <f t="shared" si="13"/>
        <v>#DIV/0!</v>
      </c>
      <c r="R23" s="100">
        <f t="shared" si="14"/>
        <v>0.43387671059875982</v>
      </c>
      <c r="S23" s="83"/>
      <c r="T23" s="83"/>
      <c r="U23" s="101">
        <f t="shared" si="15"/>
        <v>2021.2824107652905</v>
      </c>
      <c r="V23" s="45"/>
      <c r="W23" s="63"/>
      <c r="X23" s="64"/>
      <c r="Y23" s="64"/>
      <c r="Z23" s="65"/>
      <c r="AA23" s="45"/>
      <c r="AY23" s="66">
        <f t="shared" ref="AY23:AY86" si="16">$L$11</f>
        <v>70.8</v>
      </c>
      <c r="AZ23" s="66">
        <f t="shared" ref="AZ23:AZ86" si="17">$O$11</f>
        <v>900</v>
      </c>
      <c r="BA23" s="66">
        <f t="shared" ref="BA23:BA86" si="18">$Q$11</f>
        <v>1000</v>
      </c>
      <c r="BB23" s="22">
        <f t="shared" ref="BB23:BB86" si="19">$R$13</f>
        <v>5.0000000000000001E-3</v>
      </c>
    </row>
    <row r="24" spans="2:54" x14ac:dyDescent="0.45">
      <c r="B24" s="45" t="s">
        <v>49</v>
      </c>
      <c r="C24" s="90"/>
      <c r="D24" s="56"/>
      <c r="E24" s="58"/>
      <c r="F24" s="58"/>
      <c r="G24" s="58"/>
      <c r="H24" s="58"/>
      <c r="I24" s="58"/>
      <c r="J24" s="58"/>
      <c r="K24" s="58"/>
      <c r="L24" s="59">
        <f t="shared" si="12"/>
        <v>0</v>
      </c>
      <c r="M24" s="68"/>
      <c r="N24" s="68"/>
      <c r="O24" s="68"/>
      <c r="P24" s="68"/>
      <c r="Q24" s="99" t="e">
        <f t="shared" si="13"/>
        <v>#DIV/0!</v>
      </c>
      <c r="R24" s="100">
        <f t="shared" si="14"/>
        <v>0.43387671059875982</v>
      </c>
      <c r="S24" s="83"/>
      <c r="T24" s="83"/>
      <c r="U24" s="101">
        <f t="shared" si="15"/>
        <v>2021.2824107652905</v>
      </c>
      <c r="V24" s="45"/>
      <c r="W24" s="63"/>
      <c r="X24" s="64"/>
      <c r="Y24" s="64"/>
      <c r="Z24" s="65"/>
      <c r="AA24" s="45"/>
      <c r="AY24" s="66">
        <f t="shared" si="16"/>
        <v>70.8</v>
      </c>
      <c r="AZ24" s="66">
        <f t="shared" si="17"/>
        <v>900</v>
      </c>
      <c r="BA24" s="66">
        <f t="shared" si="18"/>
        <v>1000</v>
      </c>
      <c r="BB24" s="22">
        <f t="shared" si="19"/>
        <v>5.0000000000000001E-3</v>
      </c>
    </row>
    <row r="25" spans="2:54" x14ac:dyDescent="0.45">
      <c r="B25" s="45" t="s">
        <v>50</v>
      </c>
      <c r="C25" s="90"/>
      <c r="D25" s="56"/>
      <c r="E25" s="57"/>
      <c r="F25" s="68"/>
      <c r="G25" s="68"/>
      <c r="H25" s="68"/>
      <c r="I25" s="68"/>
      <c r="J25" s="68"/>
      <c r="K25" s="68"/>
      <c r="L25" s="59">
        <f t="shared" si="12"/>
        <v>0</v>
      </c>
      <c r="M25" s="68"/>
      <c r="N25" s="68"/>
      <c r="O25" s="68"/>
      <c r="P25" s="68"/>
      <c r="Q25" s="99" t="e">
        <f t="shared" si="13"/>
        <v>#DIV/0!</v>
      </c>
      <c r="R25" s="100">
        <f t="shared" si="14"/>
        <v>0.43387671059875982</v>
      </c>
      <c r="S25" s="83"/>
      <c r="T25" s="83"/>
      <c r="U25" s="101">
        <f t="shared" si="15"/>
        <v>2021.2824107652905</v>
      </c>
      <c r="V25" s="45"/>
      <c r="W25" s="63"/>
      <c r="X25" s="64"/>
      <c r="Y25" s="64"/>
      <c r="Z25" s="65"/>
      <c r="AA25" s="45"/>
      <c r="AQ25" s="52"/>
      <c r="AR25" s="52"/>
      <c r="AY25" s="66">
        <f t="shared" si="16"/>
        <v>70.8</v>
      </c>
      <c r="AZ25" s="66">
        <f t="shared" si="17"/>
        <v>900</v>
      </c>
      <c r="BA25" s="66">
        <f t="shared" si="18"/>
        <v>1000</v>
      </c>
      <c r="BB25" s="22">
        <f t="shared" si="19"/>
        <v>5.0000000000000001E-3</v>
      </c>
    </row>
    <row r="26" spans="2:54" x14ac:dyDescent="0.45">
      <c r="B26" s="45" t="s">
        <v>51</v>
      </c>
      <c r="C26" s="90"/>
      <c r="D26" s="56"/>
      <c r="E26" s="58"/>
      <c r="F26" s="58"/>
      <c r="G26" s="58"/>
      <c r="H26" s="58"/>
      <c r="I26" s="58"/>
      <c r="J26" s="58"/>
      <c r="K26" s="58"/>
      <c r="L26" s="59">
        <f t="shared" si="12"/>
        <v>0</v>
      </c>
      <c r="M26" s="68"/>
      <c r="N26" s="68"/>
      <c r="O26" s="68"/>
      <c r="P26" s="68"/>
      <c r="Q26" s="99" t="e">
        <f t="shared" si="13"/>
        <v>#DIV/0!</v>
      </c>
      <c r="R26" s="100">
        <f t="shared" si="14"/>
        <v>0.43387671059875982</v>
      </c>
      <c r="S26" s="83"/>
      <c r="T26" s="83"/>
      <c r="U26" s="101">
        <f t="shared" si="15"/>
        <v>2021.2824107652905</v>
      </c>
      <c r="V26" s="45"/>
      <c r="W26" s="63"/>
      <c r="X26" s="64"/>
      <c r="Y26" s="64"/>
      <c r="Z26" s="65"/>
      <c r="AA26" s="45"/>
      <c r="AQ26" s="52"/>
      <c r="AR26" s="52"/>
      <c r="AY26" s="66">
        <f t="shared" si="16"/>
        <v>70.8</v>
      </c>
      <c r="AZ26" s="66">
        <f t="shared" si="17"/>
        <v>900</v>
      </c>
      <c r="BA26" s="66">
        <f t="shared" si="18"/>
        <v>1000</v>
      </c>
      <c r="BB26" s="22">
        <f t="shared" si="19"/>
        <v>5.0000000000000001E-3</v>
      </c>
    </row>
    <row r="27" spans="2:54" x14ac:dyDescent="0.45">
      <c r="B27" s="45" t="s">
        <v>52</v>
      </c>
      <c r="C27" s="90"/>
      <c r="D27" s="56"/>
      <c r="E27" s="57"/>
      <c r="F27" s="68"/>
      <c r="G27" s="68"/>
      <c r="H27" s="68"/>
      <c r="I27" s="68"/>
      <c r="J27" s="68"/>
      <c r="K27" s="68"/>
      <c r="L27" s="59">
        <f t="shared" si="12"/>
        <v>0</v>
      </c>
      <c r="M27" s="68"/>
      <c r="N27" s="68"/>
      <c r="O27" s="68"/>
      <c r="P27" s="68"/>
      <c r="Q27" s="99" t="e">
        <f t="shared" si="13"/>
        <v>#DIV/0!</v>
      </c>
      <c r="R27" s="100">
        <f t="shared" si="14"/>
        <v>0.43387671059875982</v>
      </c>
      <c r="S27" s="83"/>
      <c r="T27" s="83"/>
      <c r="U27" s="101">
        <f t="shared" si="15"/>
        <v>2021.2824107652905</v>
      </c>
      <c r="V27" s="45"/>
      <c r="W27" s="63"/>
      <c r="X27" s="64"/>
      <c r="Y27" s="64"/>
      <c r="Z27" s="65"/>
      <c r="AA27" s="45"/>
      <c r="AQ27" s="52"/>
      <c r="AR27" s="52"/>
      <c r="AY27" s="66">
        <f t="shared" si="16"/>
        <v>70.8</v>
      </c>
      <c r="AZ27" s="66">
        <f t="shared" si="17"/>
        <v>900</v>
      </c>
      <c r="BA27" s="66">
        <f t="shared" si="18"/>
        <v>1000</v>
      </c>
      <c r="BB27" s="22">
        <f t="shared" si="19"/>
        <v>5.0000000000000001E-3</v>
      </c>
    </row>
    <row r="28" spans="2:54" x14ac:dyDescent="0.45">
      <c r="B28" s="45" t="s">
        <v>53</v>
      </c>
      <c r="C28" s="90"/>
      <c r="D28" s="56"/>
      <c r="E28" s="57"/>
      <c r="F28" s="68"/>
      <c r="G28" s="68"/>
      <c r="H28" s="68"/>
      <c r="I28" s="68"/>
      <c r="J28" s="68"/>
      <c r="K28" s="68"/>
      <c r="L28" s="59">
        <f t="shared" si="12"/>
        <v>0</v>
      </c>
      <c r="M28" s="68"/>
      <c r="N28" s="68"/>
      <c r="O28" s="68"/>
      <c r="P28" s="68"/>
      <c r="Q28" s="99" t="e">
        <f t="shared" si="13"/>
        <v>#DIV/0!</v>
      </c>
      <c r="R28" s="100">
        <f t="shared" si="14"/>
        <v>0.43387671059875982</v>
      </c>
      <c r="S28" s="83"/>
      <c r="T28" s="83"/>
      <c r="U28" s="101">
        <f t="shared" si="15"/>
        <v>2021.2824107652905</v>
      </c>
      <c r="V28" s="45"/>
      <c r="W28" s="63"/>
      <c r="X28" s="64"/>
      <c r="Y28" s="64"/>
      <c r="Z28" s="65"/>
      <c r="AA28" s="45"/>
      <c r="AQ28" s="52"/>
      <c r="AR28" s="52"/>
      <c r="AY28" s="66">
        <f t="shared" si="16"/>
        <v>70.8</v>
      </c>
      <c r="AZ28" s="66">
        <f t="shared" si="17"/>
        <v>900</v>
      </c>
      <c r="BA28" s="66">
        <f t="shared" si="18"/>
        <v>1000</v>
      </c>
      <c r="BB28" s="22">
        <f t="shared" si="19"/>
        <v>5.0000000000000001E-3</v>
      </c>
    </row>
    <row r="29" spans="2:54" x14ac:dyDescent="0.45">
      <c r="B29" s="45" t="s">
        <v>54</v>
      </c>
      <c r="C29" s="90"/>
      <c r="D29" s="56"/>
      <c r="E29" s="57"/>
      <c r="F29" s="58"/>
      <c r="G29" s="58"/>
      <c r="H29" s="58"/>
      <c r="I29" s="58"/>
      <c r="J29" s="58"/>
      <c r="K29" s="58"/>
      <c r="L29" s="59">
        <f t="shared" si="12"/>
        <v>0</v>
      </c>
      <c r="M29" s="68"/>
      <c r="N29" s="68"/>
      <c r="O29" s="68"/>
      <c r="P29" s="68"/>
      <c r="Q29" s="99" t="e">
        <f t="shared" si="13"/>
        <v>#DIV/0!</v>
      </c>
      <c r="R29" s="100">
        <f t="shared" si="14"/>
        <v>0.43387671059875982</v>
      </c>
      <c r="S29" s="83"/>
      <c r="T29" s="83"/>
      <c r="U29" s="101">
        <f t="shared" si="15"/>
        <v>2021.2824107652905</v>
      </c>
      <c r="V29" s="45"/>
      <c r="W29" s="63"/>
      <c r="X29" s="64"/>
      <c r="Y29" s="64"/>
      <c r="Z29" s="65"/>
      <c r="AA29" s="45"/>
      <c r="AQ29" s="52"/>
      <c r="AR29" s="52"/>
      <c r="AY29" s="66">
        <f t="shared" si="16"/>
        <v>70.8</v>
      </c>
      <c r="AZ29" s="66">
        <f t="shared" si="17"/>
        <v>900</v>
      </c>
      <c r="BA29" s="66">
        <f t="shared" si="18"/>
        <v>1000</v>
      </c>
      <c r="BB29" s="22">
        <f t="shared" si="19"/>
        <v>5.0000000000000001E-3</v>
      </c>
    </row>
    <row r="30" spans="2:54" x14ac:dyDescent="0.45">
      <c r="B30" s="45" t="s">
        <v>55</v>
      </c>
      <c r="C30" s="90"/>
      <c r="D30" s="56"/>
      <c r="E30" s="57"/>
      <c r="F30" s="58"/>
      <c r="G30" s="58"/>
      <c r="H30" s="58"/>
      <c r="I30" s="58"/>
      <c r="J30" s="58"/>
      <c r="K30" s="58"/>
      <c r="L30" s="59">
        <f t="shared" si="12"/>
        <v>0</v>
      </c>
      <c r="M30" s="68"/>
      <c r="N30" s="68"/>
      <c r="O30" s="68"/>
      <c r="P30" s="68"/>
      <c r="Q30" s="99" t="e">
        <f t="shared" si="13"/>
        <v>#DIV/0!</v>
      </c>
      <c r="R30" s="100">
        <f t="shared" si="14"/>
        <v>0.43387671059875982</v>
      </c>
      <c r="S30" s="83"/>
      <c r="T30" s="83"/>
      <c r="U30" s="101">
        <f t="shared" si="15"/>
        <v>2021.2824107652905</v>
      </c>
      <c r="V30" s="45"/>
      <c r="W30" s="63"/>
      <c r="X30" s="64"/>
      <c r="Y30" s="64"/>
      <c r="Z30" s="65"/>
      <c r="AA30" s="45"/>
      <c r="AQ30" s="69">
        <v>0.61</v>
      </c>
      <c r="AR30" s="69">
        <v>0.32099999999999995</v>
      </c>
      <c r="AY30" s="66">
        <f t="shared" si="16"/>
        <v>70.8</v>
      </c>
      <c r="AZ30" s="66">
        <f t="shared" si="17"/>
        <v>900</v>
      </c>
      <c r="BA30" s="66">
        <f t="shared" si="18"/>
        <v>1000</v>
      </c>
      <c r="BB30" s="22">
        <f t="shared" si="19"/>
        <v>5.0000000000000001E-3</v>
      </c>
    </row>
    <row r="31" spans="2:54" s="74" customFormat="1" x14ac:dyDescent="0.45">
      <c r="B31" s="45" t="s">
        <v>56</v>
      </c>
      <c r="C31" s="90"/>
      <c r="D31" s="56"/>
      <c r="E31" s="57"/>
      <c r="F31" s="58"/>
      <c r="G31" s="58"/>
      <c r="H31" s="58"/>
      <c r="I31" s="58"/>
      <c r="J31" s="58"/>
      <c r="K31" s="58"/>
      <c r="L31" s="59">
        <f t="shared" si="12"/>
        <v>0</v>
      </c>
      <c r="M31" s="68"/>
      <c r="N31" s="68"/>
      <c r="O31" s="68"/>
      <c r="P31" s="68"/>
      <c r="Q31" s="99" t="e">
        <f t="shared" si="13"/>
        <v>#DIV/0!</v>
      </c>
      <c r="R31" s="100">
        <f t="shared" si="14"/>
        <v>0.43387671059875982</v>
      </c>
      <c r="S31" s="83"/>
      <c r="T31" s="83"/>
      <c r="U31" s="101">
        <f t="shared" si="15"/>
        <v>2021.2824107652905</v>
      </c>
      <c r="V31" s="70"/>
      <c r="W31" s="71"/>
      <c r="X31" s="72"/>
      <c r="Y31" s="72"/>
      <c r="Z31" s="73"/>
      <c r="AA31" s="70"/>
      <c r="AH31" s="74">
        <v>0.29799999999999999</v>
      </c>
      <c r="AI31" s="74">
        <v>0.32500000000000001</v>
      </c>
      <c r="AQ31" s="69">
        <v>0.61</v>
      </c>
      <c r="AR31" s="69">
        <v>0.38100000000000001</v>
      </c>
      <c r="AV31" s="52"/>
      <c r="AW31" s="52"/>
      <c r="AY31" s="66">
        <f t="shared" si="16"/>
        <v>70.8</v>
      </c>
      <c r="AZ31" s="66">
        <f t="shared" si="17"/>
        <v>900</v>
      </c>
      <c r="BA31" s="66">
        <f t="shared" si="18"/>
        <v>1000</v>
      </c>
      <c r="BB31" s="22">
        <f t="shared" si="19"/>
        <v>5.0000000000000001E-3</v>
      </c>
    </row>
    <row r="32" spans="2:54" s="74" customFormat="1" x14ac:dyDescent="0.45">
      <c r="B32" s="45" t="s">
        <v>57</v>
      </c>
      <c r="C32" s="90"/>
      <c r="D32" s="56"/>
      <c r="E32" s="57"/>
      <c r="F32" s="58"/>
      <c r="G32" s="58"/>
      <c r="H32" s="58"/>
      <c r="I32" s="58"/>
      <c r="J32" s="58"/>
      <c r="K32" s="58"/>
      <c r="L32" s="59">
        <f t="shared" si="12"/>
        <v>0</v>
      </c>
      <c r="M32" s="68"/>
      <c r="N32" s="68"/>
      <c r="O32" s="68"/>
      <c r="P32" s="68"/>
      <c r="Q32" s="99" t="e">
        <f t="shared" si="13"/>
        <v>#DIV/0!</v>
      </c>
      <c r="R32" s="100">
        <f t="shared" si="14"/>
        <v>0.43387671059875982</v>
      </c>
      <c r="S32" s="83"/>
      <c r="T32" s="83"/>
      <c r="U32" s="101">
        <f t="shared" si="15"/>
        <v>2021.2824107652905</v>
      </c>
      <c r="V32" s="75"/>
      <c r="W32" s="71"/>
      <c r="X32" s="72"/>
      <c r="Y32" s="72"/>
      <c r="Z32" s="73"/>
      <c r="AA32" s="75"/>
      <c r="AH32" s="74">
        <v>0.29799999999999999</v>
      </c>
      <c r="AI32" s="74">
        <v>0.315</v>
      </c>
      <c r="AQ32" s="69">
        <v>0.67</v>
      </c>
      <c r="AR32" s="69">
        <v>0.38100000000000001</v>
      </c>
      <c r="AV32" s="52"/>
      <c r="AW32" s="52"/>
      <c r="AY32" s="66">
        <f t="shared" si="16"/>
        <v>70.8</v>
      </c>
      <c r="AZ32" s="66">
        <f t="shared" si="17"/>
        <v>900</v>
      </c>
      <c r="BA32" s="66">
        <f t="shared" si="18"/>
        <v>1000</v>
      </c>
      <c r="BB32" s="22">
        <f t="shared" si="19"/>
        <v>5.0000000000000001E-3</v>
      </c>
    </row>
    <row r="33" spans="2:54" s="74" customFormat="1" x14ac:dyDescent="0.45">
      <c r="B33" s="45" t="s">
        <v>58</v>
      </c>
      <c r="C33" s="90"/>
      <c r="D33" s="56"/>
      <c r="E33" s="57"/>
      <c r="F33" s="58"/>
      <c r="G33" s="58"/>
      <c r="H33" s="58"/>
      <c r="I33" s="58"/>
      <c r="J33" s="58"/>
      <c r="K33" s="58"/>
      <c r="L33" s="59">
        <f t="shared" si="12"/>
        <v>0</v>
      </c>
      <c r="M33" s="68"/>
      <c r="N33" s="68"/>
      <c r="O33" s="68"/>
      <c r="P33" s="68"/>
      <c r="Q33" s="99" t="e">
        <f t="shared" si="13"/>
        <v>#DIV/0!</v>
      </c>
      <c r="R33" s="100">
        <f t="shared" si="14"/>
        <v>0.43387671059875982</v>
      </c>
      <c r="S33" s="83"/>
      <c r="T33" s="83"/>
      <c r="U33" s="101">
        <f t="shared" si="15"/>
        <v>2021.2824107652905</v>
      </c>
      <c r="V33" s="70"/>
      <c r="W33" s="71"/>
      <c r="X33" s="72"/>
      <c r="Y33" s="72"/>
      <c r="Z33" s="73"/>
      <c r="AA33" s="70"/>
      <c r="AH33" s="74">
        <v>0.28799999999999998</v>
      </c>
      <c r="AI33" s="74">
        <v>0.315</v>
      </c>
      <c r="AQ33" s="69">
        <v>0.67</v>
      </c>
      <c r="AR33" s="69">
        <v>0.32099999999999995</v>
      </c>
      <c r="AV33" s="52"/>
      <c r="AW33" s="52"/>
      <c r="AY33" s="66">
        <f t="shared" si="16"/>
        <v>70.8</v>
      </c>
      <c r="AZ33" s="66">
        <f t="shared" si="17"/>
        <v>900</v>
      </c>
      <c r="BA33" s="66">
        <f t="shared" si="18"/>
        <v>1000</v>
      </c>
      <c r="BB33" s="22">
        <f t="shared" si="19"/>
        <v>5.0000000000000001E-3</v>
      </c>
    </row>
    <row r="34" spans="2:54" s="74" customFormat="1" x14ac:dyDescent="0.45">
      <c r="B34" s="45" t="s">
        <v>59</v>
      </c>
      <c r="C34" s="90"/>
      <c r="D34" s="56"/>
      <c r="E34" s="57"/>
      <c r="F34" s="58"/>
      <c r="G34" s="58"/>
      <c r="H34" s="58"/>
      <c r="I34" s="58"/>
      <c r="J34" s="58"/>
      <c r="K34" s="58"/>
      <c r="L34" s="59">
        <f t="shared" si="12"/>
        <v>0</v>
      </c>
      <c r="M34" s="68"/>
      <c r="N34" s="68"/>
      <c r="O34" s="68"/>
      <c r="P34" s="68"/>
      <c r="Q34" s="99" t="e">
        <f t="shared" si="13"/>
        <v>#DIV/0!</v>
      </c>
      <c r="R34" s="100">
        <f t="shared" si="14"/>
        <v>0.43387671059875982</v>
      </c>
      <c r="S34" s="83"/>
      <c r="T34" s="83"/>
      <c r="U34" s="101">
        <f t="shared" si="15"/>
        <v>2021.2824107652905</v>
      </c>
      <c r="V34" s="70"/>
      <c r="W34" s="71"/>
      <c r="X34" s="72"/>
      <c r="Y34" s="72"/>
      <c r="Z34" s="73"/>
      <c r="AA34" s="70"/>
      <c r="AQ34" s="69">
        <v>0.61</v>
      </c>
      <c r="AR34" s="69">
        <v>0.32099999999999995</v>
      </c>
      <c r="AV34" s="52"/>
      <c r="AW34" s="52"/>
      <c r="AY34" s="66">
        <f t="shared" si="16"/>
        <v>70.8</v>
      </c>
      <c r="AZ34" s="66">
        <f t="shared" si="17"/>
        <v>900</v>
      </c>
      <c r="BA34" s="66">
        <f t="shared" si="18"/>
        <v>1000</v>
      </c>
      <c r="BB34" s="22">
        <f t="shared" si="19"/>
        <v>5.0000000000000001E-3</v>
      </c>
    </row>
    <row r="35" spans="2:54" x14ac:dyDescent="0.45">
      <c r="B35" s="45" t="s">
        <v>60</v>
      </c>
      <c r="C35" s="90"/>
      <c r="D35" s="56"/>
      <c r="E35" s="57"/>
      <c r="F35" s="58"/>
      <c r="G35" s="58"/>
      <c r="H35" s="58"/>
      <c r="I35" s="58"/>
      <c r="J35" s="58"/>
      <c r="K35" s="58"/>
      <c r="L35" s="59">
        <f t="shared" si="12"/>
        <v>0</v>
      </c>
      <c r="M35" s="68"/>
      <c r="N35" s="68"/>
      <c r="O35" s="68"/>
      <c r="P35" s="68"/>
      <c r="Q35" s="99" t="e">
        <f t="shared" si="13"/>
        <v>#DIV/0!</v>
      </c>
      <c r="R35" s="100">
        <f t="shared" si="14"/>
        <v>0.43387671059875982</v>
      </c>
      <c r="S35" s="83"/>
      <c r="T35" s="83"/>
      <c r="U35" s="101">
        <f t="shared" si="15"/>
        <v>2021.2824107652905</v>
      </c>
      <c r="V35" s="76"/>
      <c r="W35" s="77"/>
      <c r="X35" s="78"/>
      <c r="Y35" s="78"/>
      <c r="Z35" s="79"/>
      <c r="AA35" s="76"/>
      <c r="AQ35" s="52"/>
      <c r="AR35" s="52"/>
      <c r="AY35" s="66">
        <f t="shared" si="16"/>
        <v>70.8</v>
      </c>
      <c r="AZ35" s="66">
        <f t="shared" si="17"/>
        <v>900</v>
      </c>
      <c r="BA35" s="66">
        <f t="shared" si="18"/>
        <v>1000</v>
      </c>
      <c r="BB35" s="22">
        <f t="shared" si="19"/>
        <v>5.0000000000000001E-3</v>
      </c>
    </row>
    <row r="36" spans="2:54" x14ac:dyDescent="0.45">
      <c r="B36" s="45" t="s">
        <v>61</v>
      </c>
      <c r="C36" s="90"/>
      <c r="D36" s="56"/>
      <c r="E36" s="57"/>
      <c r="F36" s="58"/>
      <c r="G36" s="58"/>
      <c r="H36" s="58"/>
      <c r="I36" s="58"/>
      <c r="J36" s="58"/>
      <c r="K36" s="58"/>
      <c r="L36" s="59">
        <f t="shared" si="12"/>
        <v>0</v>
      </c>
      <c r="M36" s="68"/>
      <c r="N36" s="68"/>
      <c r="O36" s="68"/>
      <c r="P36" s="68"/>
      <c r="Q36" s="99" t="e">
        <f t="shared" si="13"/>
        <v>#DIV/0!</v>
      </c>
      <c r="R36" s="100">
        <f t="shared" si="14"/>
        <v>0.43387671059875982</v>
      </c>
      <c r="S36" s="83"/>
      <c r="T36" s="83"/>
      <c r="U36" s="101">
        <f t="shared" si="15"/>
        <v>2021.2824107652905</v>
      </c>
      <c r="V36" s="76"/>
      <c r="W36" s="77"/>
      <c r="X36" s="78"/>
      <c r="Y36" s="78"/>
      <c r="Z36" s="79"/>
      <c r="AA36" s="76"/>
      <c r="AQ36" s="52"/>
      <c r="AR36" s="52"/>
      <c r="AY36" s="66">
        <f t="shared" si="16"/>
        <v>70.8</v>
      </c>
      <c r="AZ36" s="66">
        <f t="shared" si="17"/>
        <v>900</v>
      </c>
      <c r="BA36" s="66">
        <f t="shared" si="18"/>
        <v>1000</v>
      </c>
      <c r="BB36" s="22">
        <f t="shared" si="19"/>
        <v>5.0000000000000001E-3</v>
      </c>
    </row>
    <row r="37" spans="2:54" ht="15.75" customHeight="1" x14ac:dyDescent="0.45">
      <c r="B37" s="45" t="s">
        <v>62</v>
      </c>
      <c r="C37" s="90"/>
      <c r="D37" s="56"/>
      <c r="E37" s="57"/>
      <c r="F37" s="58"/>
      <c r="G37" s="58"/>
      <c r="H37" s="58"/>
      <c r="I37" s="58"/>
      <c r="J37" s="58"/>
      <c r="K37" s="58"/>
      <c r="L37" s="59">
        <f t="shared" si="12"/>
        <v>0</v>
      </c>
      <c r="M37" s="68"/>
      <c r="N37" s="68"/>
      <c r="O37" s="68"/>
      <c r="P37" s="68"/>
      <c r="Q37" s="99" t="e">
        <f t="shared" si="13"/>
        <v>#DIV/0!</v>
      </c>
      <c r="R37" s="100">
        <f t="shared" si="14"/>
        <v>0.43387671059875982</v>
      </c>
      <c r="S37" s="83"/>
      <c r="T37" s="83"/>
      <c r="U37" s="101">
        <f t="shared" si="15"/>
        <v>2021.2824107652905</v>
      </c>
      <c r="V37" s="76"/>
      <c r="W37" s="77"/>
      <c r="X37" s="78"/>
      <c r="Y37" s="78"/>
      <c r="Z37" s="79"/>
      <c r="AA37" s="76"/>
      <c r="AY37" s="66">
        <f t="shared" si="16"/>
        <v>70.8</v>
      </c>
      <c r="AZ37" s="66">
        <f t="shared" si="17"/>
        <v>900</v>
      </c>
      <c r="BA37" s="66">
        <f t="shared" si="18"/>
        <v>1000</v>
      </c>
      <c r="BB37" s="22">
        <f t="shared" si="19"/>
        <v>5.0000000000000001E-3</v>
      </c>
    </row>
    <row r="38" spans="2:54" s="74" customFormat="1" x14ac:dyDescent="0.45">
      <c r="B38" s="45" t="s">
        <v>63</v>
      </c>
      <c r="C38" s="90"/>
      <c r="D38" s="56"/>
      <c r="E38" s="57"/>
      <c r="F38" s="58"/>
      <c r="G38" s="58"/>
      <c r="H38" s="58"/>
      <c r="I38" s="58"/>
      <c r="J38" s="58"/>
      <c r="K38" s="58"/>
      <c r="L38" s="59">
        <f t="shared" si="12"/>
        <v>0</v>
      </c>
      <c r="M38" s="68"/>
      <c r="N38" s="68"/>
      <c r="O38" s="68"/>
      <c r="P38" s="68"/>
      <c r="Q38" s="99" t="e">
        <f t="shared" si="13"/>
        <v>#DIV/0!</v>
      </c>
      <c r="R38" s="100">
        <f t="shared" si="14"/>
        <v>0.43387671059875982</v>
      </c>
      <c r="S38" s="83"/>
      <c r="T38" s="83"/>
      <c r="U38" s="101">
        <f t="shared" si="15"/>
        <v>2021.2824107652905</v>
      </c>
      <c r="V38" s="70"/>
      <c r="W38" s="71"/>
      <c r="X38" s="72"/>
      <c r="Y38" s="72"/>
      <c r="Z38" s="73"/>
      <c r="AA38" s="70"/>
      <c r="AV38" s="52"/>
      <c r="AW38" s="52"/>
      <c r="AY38" s="66">
        <f t="shared" si="16"/>
        <v>70.8</v>
      </c>
      <c r="AZ38" s="66">
        <f t="shared" si="17"/>
        <v>900</v>
      </c>
      <c r="BA38" s="66">
        <f t="shared" si="18"/>
        <v>1000</v>
      </c>
      <c r="BB38" s="22">
        <f t="shared" si="19"/>
        <v>5.0000000000000001E-3</v>
      </c>
    </row>
    <row r="39" spans="2:54" x14ac:dyDescent="0.45">
      <c r="B39" s="45" t="s">
        <v>64</v>
      </c>
      <c r="C39" s="90"/>
      <c r="D39" s="56"/>
      <c r="E39" s="57"/>
      <c r="F39" s="58"/>
      <c r="G39" s="58"/>
      <c r="H39" s="58"/>
      <c r="I39" s="58"/>
      <c r="J39" s="58"/>
      <c r="K39" s="58"/>
      <c r="L39" s="59">
        <f t="shared" si="12"/>
        <v>0</v>
      </c>
      <c r="M39" s="68"/>
      <c r="N39" s="68"/>
      <c r="O39" s="68"/>
      <c r="P39" s="68"/>
      <c r="Q39" s="99" t="e">
        <f t="shared" si="13"/>
        <v>#DIV/0!</v>
      </c>
      <c r="R39" s="100">
        <f t="shared" si="14"/>
        <v>0.43387671059875982</v>
      </c>
      <c r="S39" s="83"/>
      <c r="T39" s="83"/>
      <c r="U39" s="101">
        <f t="shared" si="15"/>
        <v>2021.2824107652905</v>
      </c>
      <c r="V39" s="76"/>
      <c r="W39" s="77"/>
      <c r="X39" s="78"/>
      <c r="Y39" s="78"/>
      <c r="Z39" s="79"/>
      <c r="AA39" s="76"/>
      <c r="AY39" s="66">
        <f t="shared" si="16"/>
        <v>70.8</v>
      </c>
      <c r="AZ39" s="66">
        <f t="shared" si="17"/>
        <v>900</v>
      </c>
      <c r="BA39" s="66">
        <f t="shared" si="18"/>
        <v>1000</v>
      </c>
      <c r="BB39" s="22">
        <f t="shared" si="19"/>
        <v>5.0000000000000001E-3</v>
      </c>
    </row>
    <row r="40" spans="2:54" s="74" customFormat="1" x14ac:dyDescent="0.45">
      <c r="B40" s="45" t="s">
        <v>65</v>
      </c>
      <c r="C40" s="90"/>
      <c r="D40" s="56"/>
      <c r="E40" s="57"/>
      <c r="F40" s="68"/>
      <c r="G40" s="68"/>
      <c r="H40" s="68"/>
      <c r="I40" s="68"/>
      <c r="J40" s="68"/>
      <c r="K40" s="68"/>
      <c r="L40" s="59">
        <f t="shared" si="12"/>
        <v>0</v>
      </c>
      <c r="M40" s="68"/>
      <c r="N40" s="68"/>
      <c r="O40" s="68"/>
      <c r="P40" s="68"/>
      <c r="Q40" s="99" t="e">
        <f t="shared" si="13"/>
        <v>#DIV/0!</v>
      </c>
      <c r="R40" s="100">
        <f t="shared" si="14"/>
        <v>0.43387671059875982</v>
      </c>
      <c r="S40" s="83"/>
      <c r="T40" s="83"/>
      <c r="U40" s="101">
        <f t="shared" si="15"/>
        <v>2021.2824107652905</v>
      </c>
      <c r="V40" s="70"/>
      <c r="W40" s="71"/>
      <c r="X40" s="72"/>
      <c r="Y40" s="72"/>
      <c r="Z40" s="73"/>
      <c r="AA40" s="70"/>
      <c r="AV40" s="52"/>
      <c r="AW40" s="52"/>
      <c r="AY40" s="66">
        <f t="shared" si="16"/>
        <v>70.8</v>
      </c>
      <c r="AZ40" s="66">
        <f t="shared" si="17"/>
        <v>900</v>
      </c>
      <c r="BA40" s="66">
        <f t="shared" si="18"/>
        <v>1000</v>
      </c>
      <c r="BB40" s="22">
        <f t="shared" si="19"/>
        <v>5.0000000000000001E-3</v>
      </c>
    </row>
    <row r="41" spans="2:54" s="74" customFormat="1" x14ac:dyDescent="0.45">
      <c r="B41" s="45" t="s">
        <v>66</v>
      </c>
      <c r="C41" s="90"/>
      <c r="D41" s="56"/>
      <c r="E41" s="57"/>
      <c r="F41" s="68"/>
      <c r="G41" s="68"/>
      <c r="H41" s="68"/>
      <c r="I41" s="68"/>
      <c r="J41" s="68"/>
      <c r="K41" s="68"/>
      <c r="L41" s="59">
        <f t="shared" si="12"/>
        <v>0</v>
      </c>
      <c r="M41" s="68"/>
      <c r="N41" s="68"/>
      <c r="O41" s="68"/>
      <c r="P41" s="68"/>
      <c r="Q41" s="99" t="e">
        <f t="shared" si="13"/>
        <v>#DIV/0!</v>
      </c>
      <c r="R41" s="100">
        <f t="shared" si="14"/>
        <v>0.43387671059875982</v>
      </c>
      <c r="S41" s="83"/>
      <c r="T41" s="83"/>
      <c r="U41" s="101">
        <f t="shared" si="15"/>
        <v>2021.2824107652905</v>
      </c>
      <c r="V41" s="70"/>
      <c r="W41" s="71"/>
      <c r="X41" s="72"/>
      <c r="Y41" s="72"/>
      <c r="Z41" s="73"/>
      <c r="AA41" s="70"/>
      <c r="AV41" s="52"/>
      <c r="AW41" s="52"/>
      <c r="AY41" s="66">
        <f t="shared" si="16"/>
        <v>70.8</v>
      </c>
      <c r="AZ41" s="66">
        <f t="shared" si="17"/>
        <v>900</v>
      </c>
      <c r="BA41" s="66">
        <f t="shared" si="18"/>
        <v>1000</v>
      </c>
      <c r="BB41" s="22">
        <f t="shared" si="19"/>
        <v>5.0000000000000001E-3</v>
      </c>
    </row>
    <row r="42" spans="2:54" s="74" customFormat="1" x14ac:dyDescent="0.45">
      <c r="B42" s="45" t="s">
        <v>67</v>
      </c>
      <c r="C42" s="90"/>
      <c r="D42" s="56"/>
      <c r="E42" s="57"/>
      <c r="F42" s="68"/>
      <c r="G42" s="68"/>
      <c r="H42" s="68"/>
      <c r="I42" s="68"/>
      <c r="J42" s="68"/>
      <c r="K42" s="68"/>
      <c r="L42" s="59">
        <f t="shared" si="12"/>
        <v>0</v>
      </c>
      <c r="M42" s="102"/>
      <c r="N42" s="102"/>
      <c r="O42" s="103"/>
      <c r="P42" s="68"/>
      <c r="Q42" s="99" t="e">
        <f t="shared" si="13"/>
        <v>#DIV/0!</v>
      </c>
      <c r="R42" s="100">
        <f t="shared" si="14"/>
        <v>0.43387671059875982</v>
      </c>
      <c r="S42" s="83"/>
      <c r="T42" s="83"/>
      <c r="U42" s="101">
        <f t="shared" si="15"/>
        <v>2021.2824107652905</v>
      </c>
      <c r="V42" s="70"/>
      <c r="W42" s="71"/>
      <c r="X42" s="72"/>
      <c r="Y42" s="72"/>
      <c r="Z42" s="73"/>
      <c r="AA42" s="70"/>
      <c r="AV42" s="52"/>
      <c r="AW42" s="52"/>
      <c r="AY42" s="66">
        <f t="shared" si="16"/>
        <v>70.8</v>
      </c>
      <c r="AZ42" s="66">
        <f t="shared" si="17"/>
        <v>900</v>
      </c>
      <c r="BA42" s="66">
        <f t="shared" si="18"/>
        <v>1000</v>
      </c>
      <c r="BB42" s="22">
        <f t="shared" si="19"/>
        <v>5.0000000000000001E-3</v>
      </c>
    </row>
    <row r="43" spans="2:54" x14ac:dyDescent="0.45">
      <c r="B43" s="45" t="s">
        <v>68</v>
      </c>
      <c r="C43" s="90"/>
      <c r="D43" s="56"/>
      <c r="E43" s="57"/>
      <c r="F43" s="68"/>
      <c r="G43" s="68"/>
      <c r="H43" s="68"/>
      <c r="I43" s="68"/>
      <c r="J43" s="68"/>
      <c r="K43" s="68"/>
      <c r="L43" s="59">
        <f t="shared" si="12"/>
        <v>0</v>
      </c>
      <c r="M43" s="68"/>
      <c r="N43" s="68"/>
      <c r="O43" s="68"/>
      <c r="P43" s="68"/>
      <c r="Q43" s="99" t="e">
        <f t="shared" si="13"/>
        <v>#DIV/0!</v>
      </c>
      <c r="R43" s="100">
        <f t="shared" si="14"/>
        <v>0.43387671059875982</v>
      </c>
      <c r="S43" s="83"/>
      <c r="T43" s="83"/>
      <c r="U43" s="101">
        <f t="shared" si="15"/>
        <v>2021.2824107652905</v>
      </c>
      <c r="V43" s="76"/>
      <c r="W43" s="77"/>
      <c r="X43" s="78"/>
      <c r="Y43" s="78"/>
      <c r="Z43" s="79"/>
      <c r="AA43" s="76"/>
      <c r="AY43" s="66">
        <f t="shared" si="16"/>
        <v>70.8</v>
      </c>
      <c r="AZ43" s="66">
        <f t="shared" si="17"/>
        <v>900</v>
      </c>
      <c r="BA43" s="66">
        <f t="shared" si="18"/>
        <v>1000</v>
      </c>
      <c r="BB43" s="22">
        <f t="shared" si="19"/>
        <v>5.0000000000000001E-3</v>
      </c>
    </row>
    <row r="44" spans="2:54" x14ac:dyDescent="0.45">
      <c r="B44" s="45" t="s">
        <v>69</v>
      </c>
      <c r="C44" s="90"/>
      <c r="D44" s="56"/>
      <c r="E44" s="57"/>
      <c r="F44" s="68"/>
      <c r="G44" s="68"/>
      <c r="H44" s="68"/>
      <c r="I44" s="68"/>
      <c r="J44" s="68"/>
      <c r="K44" s="68"/>
      <c r="L44" s="59">
        <f t="shared" si="12"/>
        <v>0</v>
      </c>
      <c r="M44" s="68"/>
      <c r="N44" s="68"/>
      <c r="O44" s="68"/>
      <c r="P44" s="68"/>
      <c r="Q44" s="99" t="e">
        <f t="shared" si="13"/>
        <v>#DIV/0!</v>
      </c>
      <c r="R44" s="100">
        <f t="shared" si="14"/>
        <v>0.43387671059875982</v>
      </c>
      <c r="S44" s="83"/>
      <c r="T44" s="83"/>
      <c r="U44" s="101">
        <f t="shared" si="15"/>
        <v>2021.2824107652905</v>
      </c>
      <c r="V44" s="76"/>
      <c r="W44" s="77"/>
      <c r="X44" s="78"/>
      <c r="Y44" s="78"/>
      <c r="Z44" s="79"/>
      <c r="AA44" s="76"/>
      <c r="AQ44" s="52"/>
      <c r="AR44" s="52"/>
      <c r="AY44" s="66">
        <f t="shared" si="16"/>
        <v>70.8</v>
      </c>
      <c r="AZ44" s="66">
        <f t="shared" si="17"/>
        <v>900</v>
      </c>
      <c r="BA44" s="66">
        <f t="shared" si="18"/>
        <v>1000</v>
      </c>
      <c r="BB44" s="22">
        <f t="shared" si="19"/>
        <v>5.0000000000000001E-3</v>
      </c>
    </row>
    <row r="45" spans="2:54" x14ac:dyDescent="0.45">
      <c r="B45" s="45" t="s">
        <v>70</v>
      </c>
      <c r="C45" s="90"/>
      <c r="D45" s="56"/>
      <c r="E45" s="57"/>
      <c r="F45" s="68"/>
      <c r="G45" s="68"/>
      <c r="H45" s="68"/>
      <c r="I45" s="68"/>
      <c r="J45" s="68"/>
      <c r="K45" s="68"/>
      <c r="L45" s="59">
        <f t="shared" si="12"/>
        <v>0</v>
      </c>
      <c r="M45" s="68"/>
      <c r="N45" s="68"/>
      <c r="O45" s="68"/>
      <c r="P45" s="68"/>
      <c r="Q45" s="99" t="e">
        <f t="shared" si="13"/>
        <v>#DIV/0!</v>
      </c>
      <c r="R45" s="100">
        <f t="shared" si="14"/>
        <v>0.43387671059875982</v>
      </c>
      <c r="S45" s="83"/>
      <c r="T45" s="83"/>
      <c r="U45" s="101">
        <f t="shared" si="15"/>
        <v>2021.2824107652905</v>
      </c>
      <c r="V45" s="76"/>
      <c r="W45" s="77"/>
      <c r="X45" s="78"/>
      <c r="Y45" s="78"/>
      <c r="Z45" s="79"/>
      <c r="AA45" s="76"/>
      <c r="AQ45" s="52"/>
      <c r="AR45" s="52"/>
      <c r="AY45" s="66">
        <f t="shared" si="16"/>
        <v>70.8</v>
      </c>
      <c r="AZ45" s="66">
        <f t="shared" si="17"/>
        <v>900</v>
      </c>
      <c r="BA45" s="66">
        <f t="shared" si="18"/>
        <v>1000</v>
      </c>
      <c r="BB45" s="22">
        <f t="shared" si="19"/>
        <v>5.0000000000000001E-3</v>
      </c>
    </row>
    <row r="46" spans="2:54" s="74" customFormat="1" x14ac:dyDescent="0.45">
      <c r="B46" s="45" t="s">
        <v>71</v>
      </c>
      <c r="C46" s="90"/>
      <c r="D46" s="56"/>
      <c r="E46" s="57"/>
      <c r="F46" s="68"/>
      <c r="G46" s="68"/>
      <c r="H46" s="68"/>
      <c r="I46" s="68"/>
      <c r="J46" s="68"/>
      <c r="K46" s="68"/>
      <c r="L46" s="59">
        <f t="shared" si="12"/>
        <v>0</v>
      </c>
      <c r="M46" s="68"/>
      <c r="N46" s="68"/>
      <c r="O46" s="68"/>
      <c r="P46" s="68"/>
      <c r="Q46" s="99" t="e">
        <f t="shared" si="13"/>
        <v>#DIV/0!</v>
      </c>
      <c r="R46" s="100">
        <f t="shared" si="14"/>
        <v>0.43387671059875982</v>
      </c>
      <c r="S46" s="83"/>
      <c r="T46" s="83"/>
      <c r="U46" s="101">
        <f t="shared" si="15"/>
        <v>2021.2824107652905</v>
      </c>
      <c r="V46" s="70"/>
      <c r="W46" s="71"/>
      <c r="X46" s="72"/>
      <c r="Y46" s="72"/>
      <c r="Z46" s="73"/>
      <c r="AA46" s="70"/>
      <c r="AQ46" s="52"/>
      <c r="AR46" s="52"/>
      <c r="AV46" s="52"/>
      <c r="AW46" s="52"/>
      <c r="AY46" s="66">
        <f t="shared" si="16"/>
        <v>70.8</v>
      </c>
      <c r="AZ46" s="66">
        <f t="shared" si="17"/>
        <v>900</v>
      </c>
      <c r="BA46" s="66">
        <f t="shared" si="18"/>
        <v>1000</v>
      </c>
      <c r="BB46" s="22">
        <f t="shared" si="19"/>
        <v>5.0000000000000001E-3</v>
      </c>
    </row>
    <row r="47" spans="2:54" s="74" customFormat="1" x14ac:dyDescent="0.45">
      <c r="B47" s="45" t="s">
        <v>72</v>
      </c>
      <c r="C47" s="90"/>
      <c r="D47" s="56"/>
      <c r="E47" s="80"/>
      <c r="F47" s="68"/>
      <c r="G47" s="68"/>
      <c r="H47" s="68"/>
      <c r="I47" s="68"/>
      <c r="J47" s="68"/>
      <c r="K47" s="68"/>
      <c r="L47" s="59">
        <f t="shared" si="12"/>
        <v>0</v>
      </c>
      <c r="M47" s="68"/>
      <c r="N47" s="68"/>
      <c r="O47" s="68"/>
      <c r="P47" s="68"/>
      <c r="Q47" s="99" t="e">
        <f t="shared" si="13"/>
        <v>#DIV/0!</v>
      </c>
      <c r="R47" s="100">
        <f t="shared" si="14"/>
        <v>0.43387671059875982</v>
      </c>
      <c r="S47" s="83"/>
      <c r="T47" s="83"/>
      <c r="U47" s="101">
        <f t="shared" si="15"/>
        <v>2021.2824107652905</v>
      </c>
      <c r="V47" s="70"/>
      <c r="W47" s="71"/>
      <c r="X47" s="72"/>
      <c r="Y47" s="72"/>
      <c r="Z47" s="73"/>
      <c r="AA47" s="70"/>
      <c r="AQ47" s="52"/>
      <c r="AR47" s="52"/>
      <c r="AV47" s="52"/>
      <c r="AW47" s="52"/>
      <c r="AY47" s="66">
        <f t="shared" si="16"/>
        <v>70.8</v>
      </c>
      <c r="AZ47" s="66">
        <f t="shared" si="17"/>
        <v>900</v>
      </c>
      <c r="BA47" s="66">
        <f t="shared" si="18"/>
        <v>1000</v>
      </c>
      <c r="BB47" s="22">
        <f t="shared" si="19"/>
        <v>5.0000000000000001E-3</v>
      </c>
    </row>
    <row r="48" spans="2:54" x14ac:dyDescent="0.45">
      <c r="B48" s="45" t="s">
        <v>73</v>
      </c>
      <c r="C48" s="90"/>
      <c r="D48" s="56"/>
      <c r="E48" s="57"/>
      <c r="F48" s="68"/>
      <c r="G48" s="68"/>
      <c r="H48" s="68"/>
      <c r="I48" s="68"/>
      <c r="J48" s="68"/>
      <c r="K48" s="68"/>
      <c r="L48" s="59">
        <f t="shared" si="12"/>
        <v>0</v>
      </c>
      <c r="M48" s="103"/>
      <c r="N48" s="103"/>
      <c r="O48" s="103"/>
      <c r="P48" s="68"/>
      <c r="Q48" s="99" t="e">
        <f t="shared" si="13"/>
        <v>#DIV/0!</v>
      </c>
      <c r="R48" s="100">
        <f t="shared" si="14"/>
        <v>0.43387671059875982</v>
      </c>
      <c r="S48" s="83"/>
      <c r="T48" s="83"/>
      <c r="U48" s="101">
        <f t="shared" si="15"/>
        <v>2021.2824107652905</v>
      </c>
      <c r="V48" s="76"/>
      <c r="W48" s="77"/>
      <c r="X48" s="78"/>
      <c r="Y48" s="78"/>
      <c r="Z48" s="79"/>
      <c r="AA48" s="76"/>
      <c r="AH48" s="96">
        <f>H11</f>
        <v>0.26200000000000001</v>
      </c>
      <c r="AI48" s="96">
        <f>I11</f>
        <v>0.61699999999999999</v>
      </c>
      <c r="AQ48" s="96">
        <f>J11</f>
        <v>0.12</v>
      </c>
      <c r="AR48" s="96">
        <f>K11</f>
        <v>0.03</v>
      </c>
      <c r="AY48" s="66">
        <f t="shared" si="16"/>
        <v>70.8</v>
      </c>
      <c r="AZ48" s="66">
        <f t="shared" si="17"/>
        <v>900</v>
      </c>
      <c r="BA48" s="66">
        <f t="shared" si="18"/>
        <v>1000</v>
      </c>
      <c r="BB48" s="22">
        <f t="shared" si="19"/>
        <v>5.0000000000000001E-3</v>
      </c>
    </row>
    <row r="49" spans="2:54" x14ac:dyDescent="0.45">
      <c r="B49" s="45" t="s">
        <v>74</v>
      </c>
      <c r="C49" s="90"/>
      <c r="D49" s="56"/>
      <c r="E49" s="57"/>
      <c r="F49" s="68"/>
      <c r="G49" s="68"/>
      <c r="H49" s="68"/>
      <c r="I49" s="68"/>
      <c r="J49" s="68"/>
      <c r="K49" s="68"/>
      <c r="L49" s="59">
        <f t="shared" si="12"/>
        <v>0</v>
      </c>
      <c r="M49" s="68"/>
      <c r="N49" s="68"/>
      <c r="O49" s="68"/>
      <c r="P49" s="68"/>
      <c r="Q49" s="99" t="e">
        <f t="shared" si="13"/>
        <v>#DIV/0!</v>
      </c>
      <c r="R49" s="100">
        <f t="shared" si="14"/>
        <v>0.43387671059875982</v>
      </c>
      <c r="S49" s="83"/>
      <c r="T49" s="83"/>
      <c r="U49" s="101">
        <f t="shared" si="15"/>
        <v>2021.2824107652905</v>
      </c>
      <c r="V49" s="45"/>
      <c r="W49" s="63"/>
      <c r="X49" s="64"/>
      <c r="Y49" s="64"/>
      <c r="Z49" s="65"/>
      <c r="AA49" s="45"/>
      <c r="AH49" s="81">
        <f>H11</f>
        <v>0.26200000000000001</v>
      </c>
      <c r="AI49" s="81">
        <f>I13</f>
        <v>0.67700000000000005</v>
      </c>
      <c r="AQ49" s="82">
        <f>J11</f>
        <v>0.12</v>
      </c>
      <c r="AR49" s="82">
        <f>K13</f>
        <v>0.09</v>
      </c>
      <c r="AY49" s="66">
        <f t="shared" si="16"/>
        <v>70.8</v>
      </c>
      <c r="AZ49" s="66">
        <f t="shared" si="17"/>
        <v>900</v>
      </c>
      <c r="BA49" s="66">
        <f t="shared" si="18"/>
        <v>1000</v>
      </c>
      <c r="BB49" s="22">
        <f t="shared" si="19"/>
        <v>5.0000000000000001E-3</v>
      </c>
    </row>
    <row r="50" spans="2:54" x14ac:dyDescent="0.45">
      <c r="B50" s="45" t="s">
        <v>75</v>
      </c>
      <c r="C50" s="90"/>
      <c r="D50" s="56"/>
      <c r="E50" s="80"/>
      <c r="F50" s="68"/>
      <c r="G50" s="68"/>
      <c r="H50" s="68"/>
      <c r="I50" s="68"/>
      <c r="J50" s="68"/>
      <c r="K50" s="68"/>
      <c r="L50" s="59">
        <f t="shared" si="12"/>
        <v>0</v>
      </c>
      <c r="M50" s="93"/>
      <c r="N50" s="93"/>
      <c r="O50" s="93"/>
      <c r="P50" s="93"/>
      <c r="Q50" s="99" t="e">
        <f t="shared" si="13"/>
        <v>#DIV/0!</v>
      </c>
      <c r="R50" s="100">
        <f t="shared" si="14"/>
        <v>0.43387671059875982</v>
      </c>
      <c r="S50" s="83"/>
      <c r="T50" s="83"/>
      <c r="U50" s="101">
        <f t="shared" si="15"/>
        <v>2021.2824107652905</v>
      </c>
      <c r="V50" s="45"/>
      <c r="W50" s="63"/>
      <c r="X50" s="64"/>
      <c r="Y50" s="64"/>
      <c r="Z50" s="65"/>
      <c r="AA50" s="45"/>
      <c r="AH50" s="81">
        <f>H13</f>
        <v>0.32199999999999995</v>
      </c>
      <c r="AI50" s="81">
        <f>I13</f>
        <v>0.67700000000000005</v>
      </c>
      <c r="AQ50" s="82">
        <f>J13</f>
        <v>0.18</v>
      </c>
      <c r="AR50" s="82">
        <f>K13</f>
        <v>0.09</v>
      </c>
      <c r="AY50" s="66">
        <f t="shared" si="16"/>
        <v>70.8</v>
      </c>
      <c r="AZ50" s="66">
        <f t="shared" si="17"/>
        <v>900</v>
      </c>
      <c r="BA50" s="66">
        <f t="shared" si="18"/>
        <v>1000</v>
      </c>
      <c r="BB50" s="22">
        <f t="shared" si="19"/>
        <v>5.0000000000000001E-3</v>
      </c>
    </row>
    <row r="51" spans="2:54" x14ac:dyDescent="0.45">
      <c r="B51" s="45" t="s">
        <v>76</v>
      </c>
      <c r="C51" s="90"/>
      <c r="D51" s="56"/>
      <c r="E51" s="57"/>
      <c r="F51" s="68"/>
      <c r="G51" s="68"/>
      <c r="H51" s="68"/>
      <c r="I51" s="68"/>
      <c r="J51" s="68"/>
      <c r="K51" s="68"/>
      <c r="L51" s="59">
        <f t="shared" si="12"/>
        <v>0</v>
      </c>
      <c r="M51" s="93"/>
      <c r="N51" s="93"/>
      <c r="O51" s="93"/>
      <c r="P51" s="93"/>
      <c r="Q51" s="99" t="e">
        <f t="shared" si="13"/>
        <v>#DIV/0!</v>
      </c>
      <c r="R51" s="100">
        <f t="shared" si="14"/>
        <v>0.43387671059875982</v>
      </c>
      <c r="S51" s="83"/>
      <c r="T51" s="83"/>
      <c r="U51" s="101">
        <f t="shared" si="15"/>
        <v>2021.2824107652905</v>
      </c>
      <c r="V51" s="45"/>
      <c r="W51" s="63"/>
      <c r="X51" s="64"/>
      <c r="Y51" s="64"/>
      <c r="Z51" s="65"/>
      <c r="AA51" s="45"/>
      <c r="AH51" s="81">
        <f>H13</f>
        <v>0.32199999999999995</v>
      </c>
      <c r="AI51" s="81">
        <f>I11</f>
        <v>0.61699999999999999</v>
      </c>
      <c r="AQ51" s="82">
        <f>J13</f>
        <v>0.18</v>
      </c>
      <c r="AR51" s="82">
        <f>K11</f>
        <v>0.03</v>
      </c>
      <c r="AY51" s="66">
        <f t="shared" si="16"/>
        <v>70.8</v>
      </c>
      <c r="AZ51" s="66">
        <f t="shared" si="17"/>
        <v>900</v>
      </c>
      <c r="BA51" s="66">
        <f t="shared" si="18"/>
        <v>1000</v>
      </c>
      <c r="BB51" s="22">
        <f t="shared" si="19"/>
        <v>5.0000000000000001E-3</v>
      </c>
    </row>
    <row r="52" spans="2:54" x14ac:dyDescent="0.45">
      <c r="B52" s="45" t="s">
        <v>77</v>
      </c>
      <c r="C52" s="90"/>
      <c r="D52" s="56"/>
      <c r="E52" s="57"/>
      <c r="F52" s="68"/>
      <c r="G52" s="68"/>
      <c r="H52" s="68"/>
      <c r="I52" s="68"/>
      <c r="J52" s="68"/>
      <c r="K52" s="68"/>
      <c r="L52" s="59">
        <f t="shared" si="12"/>
        <v>0</v>
      </c>
      <c r="M52" s="93"/>
      <c r="N52" s="93"/>
      <c r="O52" s="93"/>
      <c r="P52" s="93"/>
      <c r="Q52" s="99" t="e">
        <f t="shared" si="13"/>
        <v>#DIV/0!</v>
      </c>
      <c r="R52" s="100">
        <f t="shared" si="14"/>
        <v>0.43387671059875982</v>
      </c>
      <c r="S52" s="83"/>
      <c r="T52" s="83"/>
      <c r="U52" s="101">
        <f t="shared" si="15"/>
        <v>2021.2824107652905</v>
      </c>
      <c r="V52" s="45"/>
      <c r="W52" s="63"/>
      <c r="X52" s="64"/>
      <c r="Y52" s="64"/>
      <c r="Z52" s="65"/>
      <c r="AA52" s="45"/>
      <c r="AH52" s="81">
        <f>H11</f>
        <v>0.26200000000000001</v>
      </c>
      <c r="AI52" s="81">
        <f>I11</f>
        <v>0.61699999999999999</v>
      </c>
      <c r="AQ52" s="82">
        <f>J11</f>
        <v>0.12</v>
      </c>
      <c r="AR52" s="82">
        <f>K11</f>
        <v>0.03</v>
      </c>
      <c r="AY52" s="66">
        <f t="shared" si="16"/>
        <v>70.8</v>
      </c>
      <c r="AZ52" s="66">
        <f t="shared" si="17"/>
        <v>900</v>
      </c>
      <c r="BA52" s="66">
        <f t="shared" si="18"/>
        <v>1000</v>
      </c>
      <c r="BB52" s="22">
        <f t="shared" si="19"/>
        <v>5.0000000000000001E-3</v>
      </c>
    </row>
    <row r="53" spans="2:54" s="74" customFormat="1" x14ac:dyDescent="0.45">
      <c r="B53" s="45" t="s">
        <v>78</v>
      </c>
      <c r="C53" s="90"/>
      <c r="D53" s="56"/>
      <c r="E53" s="80"/>
      <c r="F53" s="68"/>
      <c r="G53" s="68"/>
      <c r="H53" s="68"/>
      <c r="I53" s="68"/>
      <c r="J53" s="68"/>
      <c r="K53" s="68"/>
      <c r="L53" s="59">
        <f t="shared" si="12"/>
        <v>0</v>
      </c>
      <c r="M53" s="93"/>
      <c r="N53" s="93"/>
      <c r="O53" s="93"/>
      <c r="P53" s="93"/>
      <c r="Q53" s="99" t="e">
        <f t="shared" si="13"/>
        <v>#DIV/0!</v>
      </c>
      <c r="R53" s="100">
        <f t="shared" si="14"/>
        <v>0.43387671059875982</v>
      </c>
      <c r="S53" s="83"/>
      <c r="T53" s="83"/>
      <c r="U53" s="101">
        <f t="shared" si="15"/>
        <v>2021.2824107652905</v>
      </c>
      <c r="V53" s="70"/>
      <c r="W53" s="71"/>
      <c r="X53" s="72"/>
      <c r="Y53" s="72"/>
      <c r="Z53" s="73"/>
      <c r="AA53" s="70"/>
      <c r="AI53" s="74" t="s">
        <v>79</v>
      </c>
      <c r="AQ53" s="52"/>
      <c r="AR53" s="52" t="s">
        <v>79</v>
      </c>
      <c r="AV53" s="52"/>
      <c r="AW53" s="52"/>
      <c r="AY53" s="66">
        <f t="shared" si="16"/>
        <v>70.8</v>
      </c>
      <c r="AZ53" s="66">
        <f t="shared" si="17"/>
        <v>900</v>
      </c>
      <c r="BA53" s="66">
        <f t="shared" si="18"/>
        <v>1000</v>
      </c>
      <c r="BB53" s="22">
        <f t="shared" si="19"/>
        <v>5.0000000000000001E-3</v>
      </c>
    </row>
    <row r="54" spans="2:54" s="74" customFormat="1" x14ac:dyDescent="0.45">
      <c r="B54" s="45" t="s">
        <v>80</v>
      </c>
      <c r="C54" s="90"/>
      <c r="D54" s="90"/>
      <c r="E54" s="92"/>
      <c r="F54" s="93"/>
      <c r="G54" s="93"/>
      <c r="H54" s="93"/>
      <c r="I54" s="93"/>
      <c r="J54" s="93"/>
      <c r="K54" s="93"/>
      <c r="L54" s="59">
        <f t="shared" si="12"/>
        <v>0</v>
      </c>
      <c r="M54" s="93"/>
      <c r="N54" s="93"/>
      <c r="O54" s="93"/>
      <c r="P54" s="93"/>
      <c r="Q54" s="99" t="e">
        <f t="shared" si="13"/>
        <v>#DIV/0!</v>
      </c>
      <c r="R54" s="100">
        <f t="shared" si="14"/>
        <v>0.43387671059875982</v>
      </c>
      <c r="S54" s="83"/>
      <c r="T54" s="83"/>
      <c r="U54" s="101">
        <f t="shared" si="15"/>
        <v>2021.2824107652905</v>
      </c>
      <c r="V54" s="70"/>
      <c r="W54" s="71"/>
      <c r="X54" s="72"/>
      <c r="Y54" s="72"/>
      <c r="Z54" s="73"/>
      <c r="AA54" s="70"/>
      <c r="AQ54" s="52"/>
      <c r="AR54" s="52"/>
      <c r="AV54" s="52"/>
      <c r="AW54" s="52"/>
      <c r="AY54" s="66">
        <f t="shared" si="16"/>
        <v>70.8</v>
      </c>
      <c r="AZ54" s="66">
        <f t="shared" si="17"/>
        <v>900</v>
      </c>
      <c r="BA54" s="66">
        <f t="shared" si="18"/>
        <v>1000</v>
      </c>
      <c r="BB54" s="22">
        <f t="shared" si="19"/>
        <v>5.0000000000000001E-3</v>
      </c>
    </row>
    <row r="55" spans="2:54" s="52" customFormat="1" x14ac:dyDescent="0.45">
      <c r="B55" s="45" t="s">
        <v>81</v>
      </c>
      <c r="C55" s="90"/>
      <c r="D55" s="90"/>
      <c r="E55" s="92"/>
      <c r="F55" s="95"/>
      <c r="G55" s="95"/>
      <c r="H55" s="95"/>
      <c r="I55" s="95"/>
      <c r="J55" s="95"/>
      <c r="K55" s="95"/>
      <c r="L55" s="59">
        <f t="shared" si="12"/>
        <v>0</v>
      </c>
      <c r="M55" s="95"/>
      <c r="N55" s="95"/>
      <c r="O55" s="95"/>
      <c r="P55" s="95"/>
      <c r="Q55" s="99" t="e">
        <f t="shared" si="13"/>
        <v>#DIV/0!</v>
      </c>
      <c r="R55" s="100">
        <f t="shared" si="14"/>
        <v>0.43387671059875982</v>
      </c>
      <c r="S55" s="83"/>
      <c r="T55" s="83"/>
      <c r="U55" s="101">
        <f t="shared" si="15"/>
        <v>2021.2824107652905</v>
      </c>
      <c r="V55" s="76"/>
      <c r="W55" s="77"/>
      <c r="X55" s="78"/>
      <c r="Y55" s="78"/>
      <c r="Z55" s="79"/>
      <c r="AA55" s="76"/>
      <c r="AY55" s="66">
        <f t="shared" si="16"/>
        <v>70.8</v>
      </c>
      <c r="AZ55" s="66">
        <f t="shared" si="17"/>
        <v>900</v>
      </c>
      <c r="BA55" s="66">
        <f t="shared" si="18"/>
        <v>1000</v>
      </c>
      <c r="BB55" s="22">
        <f t="shared" si="19"/>
        <v>5.0000000000000001E-3</v>
      </c>
    </row>
    <row r="56" spans="2:54" s="74" customFormat="1" x14ac:dyDescent="0.45">
      <c r="B56" s="45" t="s">
        <v>505</v>
      </c>
      <c r="C56" s="90"/>
      <c r="D56" s="90"/>
      <c r="E56" s="92"/>
      <c r="F56" s="93"/>
      <c r="G56" s="93"/>
      <c r="H56" s="93"/>
      <c r="I56" s="93"/>
      <c r="J56" s="93"/>
      <c r="K56" s="93"/>
      <c r="L56" s="59">
        <f t="shared" si="12"/>
        <v>0</v>
      </c>
      <c r="M56" s="93"/>
      <c r="N56" s="93"/>
      <c r="O56" s="93"/>
      <c r="P56" s="93"/>
      <c r="Q56" s="99" t="e">
        <f t="shared" si="13"/>
        <v>#DIV/0!</v>
      </c>
      <c r="R56" s="100">
        <f t="shared" si="14"/>
        <v>0.43387671059875982</v>
      </c>
      <c r="S56" s="83"/>
      <c r="T56" s="83"/>
      <c r="U56" s="101">
        <f t="shared" si="15"/>
        <v>2021.2824107652905</v>
      </c>
      <c r="V56" s="75"/>
      <c r="W56" s="71"/>
      <c r="X56" s="72"/>
      <c r="Y56" s="72"/>
      <c r="Z56" s="73"/>
      <c r="AA56" s="75"/>
      <c r="AV56" s="52"/>
      <c r="AW56" s="52"/>
      <c r="AY56" s="66">
        <f t="shared" si="16"/>
        <v>70.8</v>
      </c>
      <c r="AZ56" s="66">
        <f t="shared" si="17"/>
        <v>900</v>
      </c>
      <c r="BA56" s="66">
        <f t="shared" si="18"/>
        <v>1000</v>
      </c>
      <c r="BB56" s="22">
        <f t="shared" si="19"/>
        <v>5.0000000000000001E-3</v>
      </c>
    </row>
    <row r="57" spans="2:54" s="74" customFormat="1" x14ac:dyDescent="0.45">
      <c r="B57" s="45" t="s">
        <v>506</v>
      </c>
      <c r="C57" s="90"/>
      <c r="D57" s="90"/>
      <c r="E57" s="92"/>
      <c r="F57" s="93"/>
      <c r="G57" s="93"/>
      <c r="H57" s="93"/>
      <c r="I57" s="93"/>
      <c r="J57" s="93"/>
      <c r="K57" s="93"/>
      <c r="L57" s="59">
        <f t="shared" si="12"/>
        <v>0</v>
      </c>
      <c r="M57" s="93"/>
      <c r="N57" s="93"/>
      <c r="O57" s="93"/>
      <c r="P57" s="93"/>
      <c r="Q57" s="99" t="e">
        <f t="shared" si="13"/>
        <v>#DIV/0!</v>
      </c>
      <c r="R57" s="100">
        <f t="shared" si="14"/>
        <v>0.43387671059875982</v>
      </c>
      <c r="S57" s="83"/>
      <c r="T57" s="83"/>
      <c r="U57" s="101">
        <f t="shared" si="15"/>
        <v>2021.2824107652905</v>
      </c>
      <c r="V57" s="75"/>
      <c r="W57" s="71"/>
      <c r="X57" s="72"/>
      <c r="Y57" s="72"/>
      <c r="Z57" s="73"/>
      <c r="AA57" s="75"/>
      <c r="AV57" s="52"/>
      <c r="AW57" s="52"/>
      <c r="AY57" s="66">
        <f t="shared" si="16"/>
        <v>70.8</v>
      </c>
      <c r="AZ57" s="66">
        <f t="shared" si="17"/>
        <v>900</v>
      </c>
      <c r="BA57" s="66">
        <f t="shared" si="18"/>
        <v>1000</v>
      </c>
      <c r="BB57" s="22">
        <f t="shared" si="19"/>
        <v>5.0000000000000001E-3</v>
      </c>
    </row>
    <row r="58" spans="2:54" s="52" customFormat="1" ht="15" customHeight="1" x14ac:dyDescent="0.45">
      <c r="B58" s="45" t="s">
        <v>507</v>
      </c>
      <c r="C58" s="90"/>
      <c r="D58" s="90"/>
      <c r="E58" s="92"/>
      <c r="F58" s="93"/>
      <c r="G58" s="93"/>
      <c r="H58" s="93"/>
      <c r="I58" s="93"/>
      <c r="J58" s="93"/>
      <c r="K58" s="93"/>
      <c r="L58" s="59">
        <f t="shared" si="12"/>
        <v>0</v>
      </c>
      <c r="M58" s="93"/>
      <c r="N58" s="93"/>
      <c r="O58" s="93"/>
      <c r="P58" s="93"/>
      <c r="Q58" s="99" t="e">
        <f t="shared" si="13"/>
        <v>#DIV/0!</v>
      </c>
      <c r="R58" s="100">
        <f t="shared" si="14"/>
        <v>0.43387671059875982</v>
      </c>
      <c r="S58" s="83"/>
      <c r="T58" s="83"/>
      <c r="U58" s="101">
        <f t="shared" si="15"/>
        <v>2021.2824107652905</v>
      </c>
      <c r="V58" s="76"/>
      <c r="W58" s="77"/>
      <c r="X58" s="78"/>
      <c r="Y58" s="78"/>
      <c r="Z58" s="79"/>
      <c r="AA58" s="76"/>
      <c r="AY58" s="66">
        <f t="shared" si="16"/>
        <v>70.8</v>
      </c>
      <c r="AZ58" s="66">
        <f t="shared" si="17"/>
        <v>900</v>
      </c>
      <c r="BA58" s="66">
        <f t="shared" si="18"/>
        <v>1000</v>
      </c>
      <c r="BB58" s="22">
        <f t="shared" si="19"/>
        <v>5.0000000000000001E-3</v>
      </c>
    </row>
    <row r="59" spans="2:54" s="74" customFormat="1" x14ac:dyDescent="0.45">
      <c r="B59" s="45" t="s">
        <v>508</v>
      </c>
      <c r="C59" s="90"/>
      <c r="D59" s="90"/>
      <c r="E59" s="92"/>
      <c r="F59" s="93"/>
      <c r="G59" s="93"/>
      <c r="H59" s="93"/>
      <c r="I59" s="93"/>
      <c r="J59" s="93"/>
      <c r="K59" s="93"/>
      <c r="L59" s="59">
        <f t="shared" si="12"/>
        <v>0</v>
      </c>
      <c r="M59" s="93"/>
      <c r="N59" s="93"/>
      <c r="O59" s="93"/>
      <c r="P59" s="93"/>
      <c r="Q59" s="99" t="e">
        <f t="shared" si="13"/>
        <v>#DIV/0!</v>
      </c>
      <c r="R59" s="100">
        <f t="shared" si="14"/>
        <v>0.43387671059875982</v>
      </c>
      <c r="S59" s="83"/>
      <c r="T59" s="83"/>
      <c r="U59" s="101">
        <f t="shared" si="15"/>
        <v>2021.2824107652905</v>
      </c>
      <c r="V59" s="75"/>
      <c r="W59" s="71"/>
      <c r="X59" s="72"/>
      <c r="Y59" s="72"/>
      <c r="Z59" s="73"/>
      <c r="AA59" s="75"/>
      <c r="AV59" s="52"/>
      <c r="AW59" s="52"/>
      <c r="AY59" s="66">
        <f t="shared" si="16"/>
        <v>70.8</v>
      </c>
      <c r="AZ59" s="66">
        <f t="shared" si="17"/>
        <v>900</v>
      </c>
      <c r="BA59" s="66">
        <f t="shared" si="18"/>
        <v>1000</v>
      </c>
      <c r="BB59" s="22">
        <f t="shared" si="19"/>
        <v>5.0000000000000001E-3</v>
      </c>
    </row>
    <row r="60" spans="2:54" s="74" customFormat="1" x14ac:dyDescent="0.45">
      <c r="B60" s="45" t="s">
        <v>509</v>
      </c>
      <c r="C60" s="90"/>
      <c r="D60" s="90"/>
      <c r="E60" s="92"/>
      <c r="F60" s="93"/>
      <c r="G60" s="93"/>
      <c r="H60" s="93"/>
      <c r="I60" s="93"/>
      <c r="J60" s="93"/>
      <c r="K60" s="93"/>
      <c r="L60" s="59">
        <f t="shared" si="12"/>
        <v>0</v>
      </c>
      <c r="M60" s="93"/>
      <c r="N60" s="93"/>
      <c r="O60" s="93"/>
      <c r="P60" s="93"/>
      <c r="Q60" s="99" t="e">
        <f t="shared" si="13"/>
        <v>#DIV/0!</v>
      </c>
      <c r="R60" s="100">
        <f t="shared" si="14"/>
        <v>0.43387671059875982</v>
      </c>
      <c r="S60" s="83"/>
      <c r="T60" s="83"/>
      <c r="U60" s="101">
        <f t="shared" si="15"/>
        <v>2021.2824107652905</v>
      </c>
      <c r="V60" s="75"/>
      <c r="W60" s="71"/>
      <c r="X60" s="72"/>
      <c r="Y60" s="72"/>
      <c r="Z60" s="73"/>
      <c r="AA60" s="75"/>
      <c r="AV60" s="52"/>
      <c r="AW60" s="52"/>
      <c r="AY60" s="66">
        <f t="shared" si="16"/>
        <v>70.8</v>
      </c>
      <c r="AZ60" s="66">
        <f t="shared" si="17"/>
        <v>900</v>
      </c>
      <c r="BA60" s="66">
        <f t="shared" si="18"/>
        <v>1000</v>
      </c>
      <c r="BB60" s="22">
        <f t="shared" si="19"/>
        <v>5.0000000000000001E-3</v>
      </c>
    </row>
    <row r="61" spans="2:54" x14ac:dyDescent="0.45">
      <c r="B61" s="45" t="s">
        <v>510</v>
      </c>
      <c r="C61" s="90"/>
      <c r="D61" s="90"/>
      <c r="E61" s="94"/>
      <c r="F61" s="93"/>
      <c r="G61" s="93"/>
      <c r="H61" s="93"/>
      <c r="I61" s="93"/>
      <c r="J61" s="93"/>
      <c r="K61" s="93"/>
      <c r="L61" s="59">
        <f t="shared" si="12"/>
        <v>0</v>
      </c>
      <c r="M61" s="93"/>
      <c r="N61" s="93"/>
      <c r="O61" s="93"/>
      <c r="P61" s="93"/>
      <c r="Q61" s="99" t="e">
        <f t="shared" si="13"/>
        <v>#DIV/0!</v>
      </c>
      <c r="R61" s="100">
        <f t="shared" si="14"/>
        <v>0.43387671059875982</v>
      </c>
      <c r="S61" s="83"/>
      <c r="T61" s="83"/>
      <c r="U61" s="101">
        <f t="shared" si="15"/>
        <v>2021.2824107652905</v>
      </c>
      <c r="V61" s="45"/>
      <c r="W61" s="63"/>
      <c r="X61" s="64"/>
      <c r="Y61" s="64"/>
      <c r="Z61" s="65"/>
      <c r="AA61" s="45"/>
      <c r="AY61" s="66">
        <f t="shared" si="16"/>
        <v>70.8</v>
      </c>
      <c r="AZ61" s="66">
        <f t="shared" si="17"/>
        <v>900</v>
      </c>
      <c r="BA61" s="66">
        <f t="shared" si="18"/>
        <v>1000</v>
      </c>
      <c r="BB61" s="22">
        <f t="shared" si="19"/>
        <v>5.0000000000000001E-3</v>
      </c>
    </row>
    <row r="62" spans="2:54" x14ac:dyDescent="0.45">
      <c r="B62" s="45" t="s">
        <v>511</v>
      </c>
      <c r="C62" s="90"/>
      <c r="D62" s="90"/>
      <c r="E62" s="92"/>
      <c r="F62" s="93"/>
      <c r="G62" s="93"/>
      <c r="H62" s="93"/>
      <c r="I62" s="93"/>
      <c r="J62" s="93"/>
      <c r="K62" s="93"/>
      <c r="L62" s="59">
        <f t="shared" si="12"/>
        <v>0</v>
      </c>
      <c r="M62" s="93"/>
      <c r="N62" s="93"/>
      <c r="O62" s="93"/>
      <c r="P62" s="93"/>
      <c r="Q62" s="99" t="e">
        <f t="shared" si="13"/>
        <v>#DIV/0!</v>
      </c>
      <c r="R62" s="100">
        <f t="shared" si="14"/>
        <v>0.43387671059875982</v>
      </c>
      <c r="S62" s="83"/>
      <c r="T62" s="83"/>
      <c r="U62" s="101">
        <f t="shared" si="15"/>
        <v>2021.2824107652905</v>
      </c>
      <c r="V62" s="45"/>
      <c r="W62" s="63"/>
      <c r="X62" s="64"/>
      <c r="Y62" s="64"/>
      <c r="Z62" s="65"/>
      <c r="AA62" s="45"/>
      <c r="AY62" s="66">
        <f t="shared" si="16"/>
        <v>70.8</v>
      </c>
      <c r="AZ62" s="66">
        <f t="shared" si="17"/>
        <v>900</v>
      </c>
      <c r="BA62" s="66">
        <f t="shared" si="18"/>
        <v>1000</v>
      </c>
      <c r="BB62" s="22">
        <f t="shared" si="19"/>
        <v>5.0000000000000001E-3</v>
      </c>
    </row>
    <row r="63" spans="2:54" x14ac:dyDescent="0.45">
      <c r="B63" s="45" t="s">
        <v>512</v>
      </c>
      <c r="C63" s="90"/>
      <c r="D63" s="90"/>
      <c r="E63" s="92"/>
      <c r="F63" s="93"/>
      <c r="G63" s="93"/>
      <c r="H63" s="93"/>
      <c r="I63" s="93"/>
      <c r="J63" s="93"/>
      <c r="K63" s="93"/>
      <c r="L63" s="59">
        <f t="shared" si="12"/>
        <v>0</v>
      </c>
      <c r="M63" s="93"/>
      <c r="N63" s="93"/>
      <c r="O63" s="93"/>
      <c r="P63" s="93"/>
      <c r="Q63" s="99" t="e">
        <f t="shared" si="13"/>
        <v>#DIV/0!</v>
      </c>
      <c r="R63" s="100">
        <f t="shared" si="14"/>
        <v>0.43387671059875982</v>
      </c>
      <c r="S63" s="83"/>
      <c r="T63" s="83"/>
      <c r="U63" s="101">
        <f t="shared" si="15"/>
        <v>2021.2824107652905</v>
      </c>
      <c r="V63" s="45"/>
      <c r="W63" s="63"/>
      <c r="X63" s="64"/>
      <c r="Y63" s="64"/>
      <c r="Z63" s="65"/>
      <c r="AA63" s="45"/>
      <c r="AY63" s="66">
        <f t="shared" si="16"/>
        <v>70.8</v>
      </c>
      <c r="AZ63" s="66">
        <f t="shared" si="17"/>
        <v>900</v>
      </c>
      <c r="BA63" s="66">
        <f t="shared" si="18"/>
        <v>1000</v>
      </c>
      <c r="BB63" s="22">
        <f t="shared" si="19"/>
        <v>5.0000000000000001E-3</v>
      </c>
    </row>
    <row r="64" spans="2:54" x14ac:dyDescent="0.45">
      <c r="B64" s="45" t="s">
        <v>513</v>
      </c>
      <c r="C64" s="90"/>
      <c r="D64" s="90"/>
      <c r="E64" s="94"/>
      <c r="F64" s="93"/>
      <c r="G64" s="93"/>
      <c r="H64" s="93"/>
      <c r="I64" s="93"/>
      <c r="J64" s="93"/>
      <c r="K64" s="93"/>
      <c r="L64" s="59">
        <f t="shared" si="12"/>
        <v>0</v>
      </c>
      <c r="M64" s="93"/>
      <c r="N64" s="93"/>
      <c r="O64" s="93"/>
      <c r="P64" s="93"/>
      <c r="Q64" s="99" t="e">
        <f t="shared" si="13"/>
        <v>#DIV/0!</v>
      </c>
      <c r="R64" s="100">
        <f t="shared" si="14"/>
        <v>0.43387671059875982</v>
      </c>
      <c r="S64" s="83"/>
      <c r="T64" s="83"/>
      <c r="U64" s="101">
        <f t="shared" si="15"/>
        <v>2021.2824107652905</v>
      </c>
      <c r="V64" s="45"/>
      <c r="W64" s="63"/>
      <c r="X64" s="64"/>
      <c r="Y64" s="64"/>
      <c r="Z64" s="65"/>
      <c r="AA64" s="45"/>
      <c r="AY64" s="66">
        <f t="shared" si="16"/>
        <v>70.8</v>
      </c>
      <c r="AZ64" s="66">
        <f t="shared" si="17"/>
        <v>900</v>
      </c>
      <c r="BA64" s="66">
        <f t="shared" si="18"/>
        <v>1000</v>
      </c>
      <c r="BB64" s="22">
        <f t="shared" si="19"/>
        <v>5.0000000000000001E-3</v>
      </c>
    </row>
    <row r="65" spans="2:54" x14ac:dyDescent="0.45">
      <c r="B65" s="45" t="s">
        <v>514</v>
      </c>
      <c r="C65" s="90"/>
      <c r="D65" s="90"/>
      <c r="E65" s="92"/>
      <c r="F65" s="93"/>
      <c r="G65" s="93"/>
      <c r="H65" s="93"/>
      <c r="I65" s="93"/>
      <c r="J65" s="93"/>
      <c r="K65" s="93"/>
      <c r="L65" s="59">
        <f t="shared" si="12"/>
        <v>0</v>
      </c>
      <c r="M65" s="93"/>
      <c r="N65" s="93"/>
      <c r="O65" s="93"/>
      <c r="P65" s="93"/>
      <c r="Q65" s="99" t="e">
        <f t="shared" si="13"/>
        <v>#DIV/0!</v>
      </c>
      <c r="R65" s="100">
        <f t="shared" si="14"/>
        <v>0.43387671059875982</v>
      </c>
      <c r="S65" s="83"/>
      <c r="T65" s="83"/>
      <c r="U65" s="101">
        <f t="shared" si="15"/>
        <v>2021.2824107652905</v>
      </c>
      <c r="V65" s="45"/>
      <c r="W65" s="63"/>
      <c r="X65" s="64"/>
      <c r="Y65" s="64"/>
      <c r="Z65" s="65"/>
      <c r="AA65" s="45"/>
      <c r="AY65" s="66">
        <f t="shared" si="16"/>
        <v>70.8</v>
      </c>
      <c r="AZ65" s="66">
        <f t="shared" si="17"/>
        <v>900</v>
      </c>
      <c r="BA65" s="66">
        <f t="shared" si="18"/>
        <v>1000</v>
      </c>
      <c r="BB65" s="22">
        <f t="shared" si="19"/>
        <v>5.0000000000000001E-3</v>
      </c>
    </row>
    <row r="66" spans="2:54" x14ac:dyDescent="0.45">
      <c r="B66" s="45" t="s">
        <v>515</v>
      </c>
      <c r="C66" s="90"/>
      <c r="D66" s="56"/>
      <c r="E66" s="57"/>
      <c r="F66" s="68"/>
      <c r="G66" s="68"/>
      <c r="H66" s="68"/>
      <c r="I66" s="68"/>
      <c r="J66" s="68"/>
      <c r="K66" s="68"/>
      <c r="L66" s="59">
        <f t="shared" si="12"/>
        <v>0</v>
      </c>
      <c r="M66" s="68"/>
      <c r="N66" s="68"/>
      <c r="O66" s="68"/>
      <c r="P66" s="68"/>
      <c r="Q66" s="99" t="e">
        <f t="shared" si="13"/>
        <v>#DIV/0!</v>
      </c>
      <c r="R66" s="100">
        <f t="shared" si="14"/>
        <v>0.43387671059875982</v>
      </c>
      <c r="S66" s="83"/>
      <c r="T66" s="83"/>
      <c r="U66" s="101">
        <f t="shared" si="15"/>
        <v>2021.2824107652905</v>
      </c>
      <c r="V66" s="45"/>
      <c r="W66" s="63"/>
      <c r="X66" s="64"/>
      <c r="Y66" s="64"/>
      <c r="Z66" s="65"/>
      <c r="AA66" s="45"/>
      <c r="AY66" s="66">
        <f t="shared" si="16"/>
        <v>70.8</v>
      </c>
      <c r="AZ66" s="66">
        <f t="shared" si="17"/>
        <v>900</v>
      </c>
      <c r="BA66" s="66">
        <f t="shared" si="18"/>
        <v>1000</v>
      </c>
      <c r="BB66" s="22">
        <f t="shared" si="19"/>
        <v>5.0000000000000001E-3</v>
      </c>
    </row>
    <row r="67" spans="2:54" x14ac:dyDescent="0.45">
      <c r="B67" s="45" t="s">
        <v>516</v>
      </c>
      <c r="C67" s="90"/>
      <c r="D67" s="56"/>
      <c r="E67" s="84"/>
      <c r="F67" s="58"/>
      <c r="G67" s="58"/>
      <c r="H67" s="58"/>
      <c r="I67" s="58"/>
      <c r="J67" s="58"/>
      <c r="K67" s="58"/>
      <c r="L67" s="59">
        <f t="shared" si="12"/>
        <v>0</v>
      </c>
      <c r="M67" s="68"/>
      <c r="N67" s="68"/>
      <c r="O67" s="68"/>
      <c r="P67" s="68"/>
      <c r="Q67" s="99" t="e">
        <f t="shared" si="13"/>
        <v>#DIV/0!</v>
      </c>
      <c r="R67" s="100">
        <f t="shared" si="14"/>
        <v>0.43387671059875982</v>
      </c>
      <c r="S67" s="83"/>
      <c r="T67" s="83"/>
      <c r="U67" s="101">
        <f t="shared" si="15"/>
        <v>2021.2824107652905</v>
      </c>
      <c r="V67" s="45"/>
      <c r="W67" s="63"/>
      <c r="X67" s="64"/>
      <c r="Y67" s="64"/>
      <c r="Z67" s="65"/>
      <c r="AA67" s="45"/>
      <c r="AY67" s="66">
        <f t="shared" si="16"/>
        <v>70.8</v>
      </c>
      <c r="AZ67" s="66">
        <f t="shared" si="17"/>
        <v>900</v>
      </c>
      <c r="BA67" s="66">
        <f t="shared" si="18"/>
        <v>1000</v>
      </c>
      <c r="BB67" s="22">
        <f t="shared" si="19"/>
        <v>5.0000000000000001E-3</v>
      </c>
    </row>
    <row r="68" spans="2:54" x14ac:dyDescent="0.45">
      <c r="B68" s="45" t="s">
        <v>517</v>
      </c>
      <c r="C68" s="90"/>
      <c r="D68" s="56"/>
      <c r="E68" s="84"/>
      <c r="F68" s="58"/>
      <c r="G68" s="58"/>
      <c r="H68" s="58"/>
      <c r="I68" s="58"/>
      <c r="J68" s="58"/>
      <c r="K68" s="58"/>
      <c r="L68" s="59">
        <f t="shared" si="12"/>
        <v>0</v>
      </c>
      <c r="M68" s="68"/>
      <c r="N68" s="68"/>
      <c r="O68" s="68"/>
      <c r="P68" s="68"/>
      <c r="Q68" s="99" t="e">
        <f t="shared" si="13"/>
        <v>#DIV/0!</v>
      </c>
      <c r="R68" s="100">
        <f t="shared" si="14"/>
        <v>0.43387671059875982</v>
      </c>
      <c r="S68" s="83"/>
      <c r="T68" s="83"/>
      <c r="U68" s="101">
        <f t="shared" si="15"/>
        <v>2021.2824107652905</v>
      </c>
      <c r="V68" s="45"/>
      <c r="W68" s="63"/>
      <c r="X68" s="64"/>
      <c r="Y68" s="64"/>
      <c r="Z68" s="65"/>
      <c r="AA68" s="45"/>
      <c r="AY68" s="66">
        <f t="shared" si="16"/>
        <v>70.8</v>
      </c>
      <c r="AZ68" s="66">
        <f t="shared" si="17"/>
        <v>900</v>
      </c>
      <c r="BA68" s="66">
        <f t="shared" si="18"/>
        <v>1000</v>
      </c>
      <c r="BB68" s="22">
        <f t="shared" si="19"/>
        <v>5.0000000000000001E-3</v>
      </c>
    </row>
    <row r="69" spans="2:54" x14ac:dyDescent="0.45">
      <c r="B69" s="45" t="s">
        <v>518</v>
      </c>
      <c r="C69" s="90"/>
      <c r="D69" s="56"/>
      <c r="E69" s="84"/>
      <c r="F69" s="58"/>
      <c r="G69" s="58"/>
      <c r="H69" s="58"/>
      <c r="I69" s="58"/>
      <c r="J69" s="58"/>
      <c r="K69" s="58"/>
      <c r="L69" s="59">
        <f t="shared" si="12"/>
        <v>0</v>
      </c>
      <c r="M69" s="68"/>
      <c r="N69" s="68"/>
      <c r="O69" s="68"/>
      <c r="P69" s="68"/>
      <c r="Q69" s="99" t="e">
        <f t="shared" si="13"/>
        <v>#DIV/0!</v>
      </c>
      <c r="R69" s="100">
        <f t="shared" si="14"/>
        <v>0.43387671059875982</v>
      </c>
      <c r="S69" s="83"/>
      <c r="T69" s="83"/>
      <c r="U69" s="101">
        <f t="shared" si="15"/>
        <v>2021.2824107652905</v>
      </c>
      <c r="V69" s="45"/>
      <c r="W69" s="63"/>
      <c r="X69" s="64"/>
      <c r="Y69" s="64"/>
      <c r="Z69" s="65"/>
      <c r="AA69" s="45"/>
      <c r="AY69" s="66">
        <f t="shared" si="16"/>
        <v>70.8</v>
      </c>
      <c r="AZ69" s="66">
        <f t="shared" si="17"/>
        <v>900</v>
      </c>
      <c r="BA69" s="66">
        <f t="shared" si="18"/>
        <v>1000</v>
      </c>
      <c r="BB69" s="22">
        <f t="shared" si="19"/>
        <v>5.0000000000000001E-3</v>
      </c>
    </row>
    <row r="70" spans="2:54" x14ac:dyDescent="0.45">
      <c r="B70" s="45" t="s">
        <v>519</v>
      </c>
      <c r="C70" s="90"/>
      <c r="D70" s="56"/>
      <c r="E70" s="80"/>
      <c r="F70" s="58"/>
      <c r="G70" s="58"/>
      <c r="H70" s="58"/>
      <c r="I70" s="58"/>
      <c r="J70" s="58"/>
      <c r="K70" s="58"/>
      <c r="L70" s="59">
        <f t="shared" si="12"/>
        <v>0</v>
      </c>
      <c r="M70" s="68"/>
      <c r="N70" s="68"/>
      <c r="O70" s="68"/>
      <c r="P70" s="68"/>
      <c r="Q70" s="99" t="e">
        <f t="shared" si="13"/>
        <v>#DIV/0!</v>
      </c>
      <c r="R70" s="100">
        <f t="shared" si="14"/>
        <v>0.43387671059875982</v>
      </c>
      <c r="S70" s="83"/>
      <c r="T70" s="83"/>
      <c r="U70" s="101">
        <f t="shared" si="15"/>
        <v>2021.2824107652905</v>
      </c>
      <c r="V70" s="45"/>
      <c r="W70" s="63"/>
      <c r="X70" s="64"/>
      <c r="Y70" s="64"/>
      <c r="Z70" s="65"/>
      <c r="AA70" s="45"/>
      <c r="AY70" s="66">
        <f t="shared" si="16"/>
        <v>70.8</v>
      </c>
      <c r="AZ70" s="66">
        <f t="shared" si="17"/>
        <v>900</v>
      </c>
      <c r="BA70" s="66">
        <f t="shared" si="18"/>
        <v>1000</v>
      </c>
      <c r="BB70" s="22">
        <f t="shared" si="19"/>
        <v>5.0000000000000001E-3</v>
      </c>
    </row>
    <row r="71" spans="2:54" x14ac:dyDescent="0.45">
      <c r="B71" s="45" t="s">
        <v>520</v>
      </c>
      <c r="C71" s="90"/>
      <c r="D71" s="56"/>
      <c r="E71" s="84"/>
      <c r="F71" s="68"/>
      <c r="G71" s="68"/>
      <c r="H71" s="68"/>
      <c r="I71" s="68"/>
      <c r="J71" s="68"/>
      <c r="K71" s="68"/>
      <c r="L71" s="59">
        <f t="shared" si="12"/>
        <v>0</v>
      </c>
      <c r="M71" s="68"/>
      <c r="N71" s="68"/>
      <c r="O71" s="68"/>
      <c r="P71" s="68"/>
      <c r="Q71" s="99" t="e">
        <f t="shared" si="13"/>
        <v>#DIV/0!</v>
      </c>
      <c r="R71" s="100">
        <f t="shared" si="14"/>
        <v>0.43387671059875982</v>
      </c>
      <c r="S71" s="83"/>
      <c r="T71" s="83"/>
      <c r="U71" s="101">
        <f t="shared" si="15"/>
        <v>2021.2824107652905</v>
      </c>
      <c r="V71" s="45"/>
      <c r="W71" s="63"/>
      <c r="X71" s="64"/>
      <c r="Y71" s="64"/>
      <c r="Z71" s="65"/>
      <c r="AA71" s="45"/>
      <c r="AY71" s="66">
        <f t="shared" si="16"/>
        <v>70.8</v>
      </c>
      <c r="AZ71" s="66">
        <f t="shared" si="17"/>
        <v>900</v>
      </c>
      <c r="BA71" s="66">
        <f t="shared" si="18"/>
        <v>1000</v>
      </c>
      <c r="BB71" s="22">
        <f t="shared" si="19"/>
        <v>5.0000000000000001E-3</v>
      </c>
    </row>
    <row r="72" spans="2:54" x14ac:dyDescent="0.45">
      <c r="B72" s="45" t="s">
        <v>521</v>
      </c>
      <c r="C72" s="90"/>
      <c r="D72" s="56"/>
      <c r="E72" s="57"/>
      <c r="F72" s="58"/>
      <c r="G72" s="58"/>
      <c r="H72" s="58"/>
      <c r="I72" s="58"/>
      <c r="J72" s="58"/>
      <c r="K72" s="58"/>
      <c r="L72" s="59">
        <f t="shared" si="12"/>
        <v>0</v>
      </c>
      <c r="M72" s="68"/>
      <c r="N72" s="68"/>
      <c r="O72" s="68"/>
      <c r="P72" s="68"/>
      <c r="Q72" s="99" t="e">
        <f t="shared" si="13"/>
        <v>#DIV/0!</v>
      </c>
      <c r="R72" s="100">
        <f t="shared" si="14"/>
        <v>0.43387671059875982</v>
      </c>
      <c r="S72" s="83"/>
      <c r="T72" s="83"/>
      <c r="U72" s="101">
        <f t="shared" si="15"/>
        <v>2021.2824107652905</v>
      </c>
      <c r="V72" s="45"/>
      <c r="W72" s="63"/>
      <c r="X72" s="64"/>
      <c r="Y72" s="64"/>
      <c r="Z72" s="65"/>
      <c r="AA72" s="45"/>
      <c r="AY72" s="66">
        <f t="shared" si="16"/>
        <v>70.8</v>
      </c>
      <c r="AZ72" s="66">
        <f t="shared" si="17"/>
        <v>900</v>
      </c>
      <c r="BA72" s="66">
        <f t="shared" si="18"/>
        <v>1000</v>
      </c>
      <c r="BB72" s="22">
        <f t="shared" si="19"/>
        <v>5.0000000000000001E-3</v>
      </c>
    </row>
    <row r="73" spans="2:54" x14ac:dyDescent="0.45">
      <c r="B73" s="45" t="s">
        <v>522</v>
      </c>
      <c r="C73" s="90"/>
      <c r="D73" s="56"/>
      <c r="E73" s="84"/>
      <c r="F73" s="58"/>
      <c r="G73" s="58"/>
      <c r="H73" s="58"/>
      <c r="I73" s="58"/>
      <c r="J73" s="58"/>
      <c r="K73" s="58"/>
      <c r="L73" s="59">
        <f t="shared" si="12"/>
        <v>0</v>
      </c>
      <c r="M73" s="68"/>
      <c r="N73" s="68"/>
      <c r="O73" s="68"/>
      <c r="P73" s="68"/>
      <c r="Q73" s="99" t="e">
        <f t="shared" si="13"/>
        <v>#DIV/0!</v>
      </c>
      <c r="R73" s="100">
        <f t="shared" si="14"/>
        <v>0.43387671059875982</v>
      </c>
      <c r="S73" s="83"/>
      <c r="T73" s="83"/>
      <c r="U73" s="101">
        <f t="shared" si="15"/>
        <v>2021.2824107652905</v>
      </c>
      <c r="V73" s="45"/>
      <c r="W73" s="63"/>
      <c r="X73" s="64"/>
      <c r="Y73" s="64"/>
      <c r="Z73" s="65"/>
      <c r="AA73" s="45"/>
      <c r="AY73" s="66">
        <f t="shared" si="16"/>
        <v>70.8</v>
      </c>
      <c r="AZ73" s="66">
        <f t="shared" si="17"/>
        <v>900</v>
      </c>
      <c r="BA73" s="66">
        <f t="shared" si="18"/>
        <v>1000</v>
      </c>
      <c r="BB73" s="22">
        <f t="shared" si="19"/>
        <v>5.0000000000000001E-3</v>
      </c>
    </row>
    <row r="74" spans="2:54" x14ac:dyDescent="0.45">
      <c r="B74" s="45" t="s">
        <v>523</v>
      </c>
      <c r="C74" s="90"/>
      <c r="D74" s="56"/>
      <c r="E74" s="80"/>
      <c r="F74" s="58"/>
      <c r="G74" s="58"/>
      <c r="H74" s="58"/>
      <c r="I74" s="58"/>
      <c r="J74" s="58"/>
      <c r="K74" s="58"/>
      <c r="L74" s="59">
        <f t="shared" si="12"/>
        <v>0</v>
      </c>
      <c r="M74" s="68"/>
      <c r="N74" s="68"/>
      <c r="O74" s="68"/>
      <c r="P74" s="68"/>
      <c r="Q74" s="99" t="e">
        <f t="shared" si="13"/>
        <v>#DIV/0!</v>
      </c>
      <c r="R74" s="100">
        <f t="shared" si="14"/>
        <v>0.43387671059875982</v>
      </c>
      <c r="S74" s="83"/>
      <c r="T74" s="83"/>
      <c r="U74" s="101">
        <f t="shared" si="15"/>
        <v>2021.2824107652905</v>
      </c>
      <c r="V74" s="45"/>
      <c r="W74" s="63"/>
      <c r="X74" s="64"/>
      <c r="Y74" s="64"/>
      <c r="Z74" s="65"/>
      <c r="AA74" s="45"/>
      <c r="AY74" s="66">
        <f t="shared" si="16"/>
        <v>70.8</v>
      </c>
      <c r="AZ74" s="66">
        <f t="shared" si="17"/>
        <v>900</v>
      </c>
      <c r="BA74" s="66">
        <f t="shared" si="18"/>
        <v>1000</v>
      </c>
      <c r="BB74" s="22">
        <f t="shared" si="19"/>
        <v>5.0000000000000001E-3</v>
      </c>
    </row>
    <row r="75" spans="2:54" x14ac:dyDescent="0.45">
      <c r="B75" s="45" t="s">
        <v>524</v>
      </c>
      <c r="C75" s="90"/>
      <c r="D75" s="56"/>
      <c r="E75" s="84"/>
      <c r="F75" s="58"/>
      <c r="G75" s="58"/>
      <c r="H75" s="58"/>
      <c r="I75" s="58"/>
      <c r="J75" s="58"/>
      <c r="K75" s="58"/>
      <c r="L75" s="59">
        <f t="shared" si="12"/>
        <v>0</v>
      </c>
      <c r="M75" s="68"/>
      <c r="N75" s="68"/>
      <c r="O75" s="68"/>
      <c r="P75" s="68"/>
      <c r="Q75" s="99" t="e">
        <f t="shared" si="13"/>
        <v>#DIV/0!</v>
      </c>
      <c r="R75" s="100">
        <f t="shared" si="14"/>
        <v>0.43387671059875982</v>
      </c>
      <c r="S75" s="83"/>
      <c r="T75" s="83"/>
      <c r="U75" s="101">
        <f t="shared" si="15"/>
        <v>2021.2824107652905</v>
      </c>
      <c r="V75" s="45"/>
      <c r="W75" s="63"/>
      <c r="X75" s="64"/>
      <c r="Y75" s="64"/>
      <c r="Z75" s="65"/>
      <c r="AA75" s="45"/>
      <c r="AY75" s="66">
        <f t="shared" si="16"/>
        <v>70.8</v>
      </c>
      <c r="AZ75" s="66">
        <f t="shared" si="17"/>
        <v>900</v>
      </c>
      <c r="BA75" s="66">
        <f t="shared" si="18"/>
        <v>1000</v>
      </c>
      <c r="BB75" s="22">
        <f t="shared" si="19"/>
        <v>5.0000000000000001E-3</v>
      </c>
    </row>
    <row r="76" spans="2:54" x14ac:dyDescent="0.45">
      <c r="B76" s="45" t="s">
        <v>525</v>
      </c>
      <c r="C76" s="90"/>
      <c r="D76" s="56"/>
      <c r="E76" s="57"/>
      <c r="F76" s="58"/>
      <c r="G76" s="58"/>
      <c r="H76" s="58"/>
      <c r="I76" s="58"/>
      <c r="J76" s="58"/>
      <c r="K76" s="58"/>
      <c r="L76" s="59">
        <f t="shared" si="12"/>
        <v>0</v>
      </c>
      <c r="M76" s="68"/>
      <c r="N76" s="68"/>
      <c r="O76" s="68"/>
      <c r="P76" s="68"/>
      <c r="Q76" s="99" t="e">
        <f t="shared" si="13"/>
        <v>#DIV/0!</v>
      </c>
      <c r="R76" s="100">
        <f t="shared" si="14"/>
        <v>0.43387671059875982</v>
      </c>
      <c r="S76" s="83"/>
      <c r="T76" s="83"/>
      <c r="U76" s="101">
        <f t="shared" si="15"/>
        <v>2021.2824107652905</v>
      </c>
      <c r="V76" s="45"/>
      <c r="W76" s="63"/>
      <c r="X76" s="64"/>
      <c r="Y76" s="64"/>
      <c r="Z76" s="65"/>
      <c r="AA76" s="45"/>
      <c r="AY76" s="66">
        <f t="shared" si="16"/>
        <v>70.8</v>
      </c>
      <c r="AZ76" s="66">
        <f t="shared" si="17"/>
        <v>900</v>
      </c>
      <c r="BA76" s="66">
        <f t="shared" si="18"/>
        <v>1000</v>
      </c>
      <c r="BB76" s="22">
        <f t="shared" si="19"/>
        <v>5.0000000000000001E-3</v>
      </c>
    </row>
    <row r="77" spans="2:54" x14ac:dyDescent="0.45">
      <c r="B77" s="45" t="s">
        <v>526</v>
      </c>
      <c r="C77" s="90"/>
      <c r="D77" s="56"/>
      <c r="E77" s="80"/>
      <c r="F77" s="58"/>
      <c r="G77" s="58"/>
      <c r="H77" s="58"/>
      <c r="I77" s="58"/>
      <c r="J77" s="58"/>
      <c r="K77" s="58"/>
      <c r="L77" s="59">
        <f t="shared" si="12"/>
        <v>0</v>
      </c>
      <c r="M77" s="68"/>
      <c r="N77" s="68"/>
      <c r="O77" s="68"/>
      <c r="P77" s="68"/>
      <c r="Q77" s="99" t="e">
        <f t="shared" si="13"/>
        <v>#DIV/0!</v>
      </c>
      <c r="R77" s="100">
        <f t="shared" si="14"/>
        <v>0.43387671059875982</v>
      </c>
      <c r="S77" s="83"/>
      <c r="T77" s="83"/>
      <c r="U77" s="101">
        <f t="shared" si="15"/>
        <v>2021.2824107652905</v>
      </c>
      <c r="V77" s="45"/>
      <c r="W77" s="45"/>
      <c r="X77" s="64"/>
      <c r="Y77" s="64"/>
      <c r="Z77" s="65"/>
      <c r="AA77" s="45"/>
      <c r="AY77" s="66">
        <f t="shared" si="16"/>
        <v>70.8</v>
      </c>
      <c r="AZ77" s="66">
        <f t="shared" si="17"/>
        <v>900</v>
      </c>
      <c r="BA77" s="66">
        <f t="shared" si="18"/>
        <v>1000</v>
      </c>
      <c r="BB77" s="22">
        <f t="shared" si="19"/>
        <v>5.0000000000000001E-3</v>
      </c>
    </row>
    <row r="78" spans="2:54" x14ac:dyDescent="0.45">
      <c r="B78" s="45" t="s">
        <v>527</v>
      </c>
      <c r="C78" s="90"/>
      <c r="D78" s="56"/>
      <c r="E78" s="57"/>
      <c r="F78" s="58"/>
      <c r="G78" s="58"/>
      <c r="H78" s="58"/>
      <c r="I78" s="58"/>
      <c r="J78" s="58"/>
      <c r="K78" s="58"/>
      <c r="L78" s="59">
        <f t="shared" si="12"/>
        <v>0</v>
      </c>
      <c r="M78" s="68"/>
      <c r="N78" s="68"/>
      <c r="O78" s="68"/>
      <c r="P78" s="68"/>
      <c r="Q78" s="99" t="e">
        <f t="shared" si="13"/>
        <v>#DIV/0!</v>
      </c>
      <c r="R78" s="100">
        <f t="shared" si="14"/>
        <v>0.43387671059875982</v>
      </c>
      <c r="S78" s="83"/>
      <c r="T78" s="83"/>
      <c r="U78" s="101">
        <f t="shared" si="15"/>
        <v>2021.2824107652905</v>
      </c>
      <c r="V78" s="45"/>
      <c r="W78" s="45"/>
      <c r="X78" s="64"/>
      <c r="Y78" s="64"/>
      <c r="Z78" s="65"/>
      <c r="AA78" s="45"/>
      <c r="AY78" s="66">
        <f t="shared" si="16"/>
        <v>70.8</v>
      </c>
      <c r="AZ78" s="66">
        <f t="shared" si="17"/>
        <v>900</v>
      </c>
      <c r="BA78" s="66">
        <f t="shared" si="18"/>
        <v>1000</v>
      </c>
      <c r="BB78" s="22">
        <f t="shared" si="19"/>
        <v>5.0000000000000001E-3</v>
      </c>
    </row>
    <row r="79" spans="2:54" x14ac:dyDescent="0.45">
      <c r="B79" s="45" t="s">
        <v>528</v>
      </c>
      <c r="C79" s="90"/>
      <c r="D79" s="56"/>
      <c r="E79" s="84"/>
      <c r="F79" s="58"/>
      <c r="G79" s="58"/>
      <c r="H79" s="58"/>
      <c r="I79" s="58"/>
      <c r="J79" s="58"/>
      <c r="K79" s="58"/>
      <c r="L79" s="59">
        <f t="shared" si="12"/>
        <v>0</v>
      </c>
      <c r="M79" s="68"/>
      <c r="N79" s="68"/>
      <c r="O79" s="68"/>
      <c r="P79" s="68"/>
      <c r="Q79" s="99" t="e">
        <f t="shared" si="13"/>
        <v>#DIV/0!</v>
      </c>
      <c r="R79" s="100">
        <f t="shared" si="14"/>
        <v>0.43387671059875982</v>
      </c>
      <c r="S79" s="83"/>
      <c r="T79" s="83"/>
      <c r="U79" s="101">
        <f t="shared" si="15"/>
        <v>2021.2824107652905</v>
      </c>
      <c r="V79" s="45"/>
      <c r="W79" s="45"/>
      <c r="X79" s="64"/>
      <c r="Y79" s="64"/>
      <c r="Z79" s="65"/>
      <c r="AA79" s="45"/>
      <c r="AY79" s="66">
        <f t="shared" si="16"/>
        <v>70.8</v>
      </c>
      <c r="AZ79" s="66">
        <f t="shared" si="17"/>
        <v>900</v>
      </c>
      <c r="BA79" s="66">
        <f t="shared" si="18"/>
        <v>1000</v>
      </c>
      <c r="BB79" s="22">
        <f t="shared" si="19"/>
        <v>5.0000000000000001E-3</v>
      </c>
    </row>
    <row r="80" spans="2:54" x14ac:dyDescent="0.45">
      <c r="B80" s="45" t="s">
        <v>529</v>
      </c>
      <c r="C80" s="90"/>
      <c r="D80" s="56"/>
      <c r="E80" s="57"/>
      <c r="F80" s="58"/>
      <c r="G80" s="58"/>
      <c r="H80" s="58"/>
      <c r="I80" s="58"/>
      <c r="J80" s="58"/>
      <c r="K80" s="58"/>
      <c r="L80" s="59">
        <f t="shared" si="12"/>
        <v>0</v>
      </c>
      <c r="M80" s="68"/>
      <c r="N80" s="68"/>
      <c r="O80" s="68"/>
      <c r="P80" s="68"/>
      <c r="Q80" s="99" t="e">
        <f t="shared" si="13"/>
        <v>#DIV/0!</v>
      </c>
      <c r="R80" s="100">
        <f t="shared" si="14"/>
        <v>0.43387671059875982</v>
      </c>
      <c r="S80" s="83"/>
      <c r="T80" s="83"/>
      <c r="U80" s="101">
        <f t="shared" si="15"/>
        <v>2021.2824107652905</v>
      </c>
      <c r="V80" s="45"/>
      <c r="W80" s="45"/>
      <c r="X80" s="64"/>
      <c r="Y80" s="64"/>
      <c r="Z80" s="65"/>
      <c r="AA80" s="45"/>
      <c r="AY80" s="66">
        <f t="shared" si="16"/>
        <v>70.8</v>
      </c>
      <c r="AZ80" s="66">
        <f t="shared" si="17"/>
        <v>900</v>
      </c>
      <c r="BA80" s="66">
        <f t="shared" si="18"/>
        <v>1000</v>
      </c>
      <c r="BB80" s="22">
        <f t="shared" si="19"/>
        <v>5.0000000000000001E-3</v>
      </c>
    </row>
    <row r="81" spans="2:54" x14ac:dyDescent="0.45">
      <c r="B81" s="45" t="s">
        <v>530</v>
      </c>
      <c r="C81" s="90"/>
      <c r="D81" s="56"/>
      <c r="E81" s="84"/>
      <c r="F81" s="58"/>
      <c r="G81" s="58"/>
      <c r="H81" s="58"/>
      <c r="I81" s="58"/>
      <c r="J81" s="58"/>
      <c r="K81" s="58"/>
      <c r="L81" s="59">
        <f t="shared" si="12"/>
        <v>0</v>
      </c>
      <c r="M81" s="68"/>
      <c r="N81" s="68"/>
      <c r="O81" s="68"/>
      <c r="P81" s="68"/>
      <c r="Q81" s="99" t="e">
        <f t="shared" si="13"/>
        <v>#DIV/0!</v>
      </c>
      <c r="R81" s="100">
        <f t="shared" si="14"/>
        <v>0.43387671059875982</v>
      </c>
      <c r="S81" s="83"/>
      <c r="T81" s="83"/>
      <c r="U81" s="101">
        <f t="shared" si="15"/>
        <v>2021.2824107652905</v>
      </c>
      <c r="V81" s="59" t="e">
        <f t="shared" ref="V81:V144" si="20">1/2*((P81*S81+R81*U81+T81*Q81)-(Q81*R81+S81*T81+U81*P81))/0.1582*100</f>
        <v>#DIV/0!</v>
      </c>
      <c r="W81" s="68"/>
      <c r="X81" s="68"/>
      <c r="Y81" s="68"/>
      <c r="Z81" s="68"/>
      <c r="AA81" s="45"/>
      <c r="AY81" s="66">
        <f t="shared" si="16"/>
        <v>70.8</v>
      </c>
      <c r="AZ81" s="66">
        <f t="shared" si="17"/>
        <v>900</v>
      </c>
      <c r="BA81" s="66">
        <f t="shared" si="18"/>
        <v>1000</v>
      </c>
      <c r="BB81" s="22">
        <f t="shared" si="19"/>
        <v>5.0000000000000001E-3</v>
      </c>
    </row>
    <row r="82" spans="2:54" x14ac:dyDescent="0.45">
      <c r="B82" s="45" t="s">
        <v>531</v>
      </c>
      <c r="C82" s="90"/>
      <c r="D82" s="56"/>
      <c r="E82" s="80"/>
      <c r="F82" s="58"/>
      <c r="G82" s="58"/>
      <c r="H82" s="58"/>
      <c r="I82" s="58"/>
      <c r="J82" s="58"/>
      <c r="K82" s="58"/>
      <c r="L82" s="59">
        <f t="shared" ref="L82:L145" si="21">1/2*((F82*I82+H82*K82+J82*G82)-(G82*H82+I82*J82+K82*F82))/0.1582*100</f>
        <v>0</v>
      </c>
      <c r="M82" s="68"/>
      <c r="N82" s="68"/>
      <c r="O82" s="68"/>
      <c r="P82" s="68"/>
      <c r="Q82" s="99" t="e">
        <f t="shared" ref="Q82:Q145" si="22">O82/P82</f>
        <v>#DIV/0!</v>
      </c>
      <c r="R82" s="100">
        <f t="shared" ref="R82:R145" si="23">SQRT(POWER(M82-$M$12,2)+POWER(N82-$N$12,2))</f>
        <v>0.43387671059875982</v>
      </c>
      <c r="S82" s="83"/>
      <c r="T82" s="83"/>
      <c r="U82" s="101">
        <f t="shared" ref="U82:U145" si="24">(-449*((M82-0.332)/(N82-0.1858))^3)+(3525*((M82-0.332)/(N82-0.1858))^2)+(-6823.3*(M82-0.332)/(N82-0.1858))+5520.33</f>
        <v>2021.2824107652905</v>
      </c>
      <c r="V82" s="59" t="e">
        <f t="shared" si="20"/>
        <v>#DIV/0!</v>
      </c>
      <c r="W82" s="68"/>
      <c r="X82" s="68"/>
      <c r="Y82" s="68"/>
      <c r="Z82" s="68"/>
      <c r="AA82" s="45"/>
      <c r="AY82" s="66">
        <f t="shared" si="16"/>
        <v>70.8</v>
      </c>
      <c r="AZ82" s="66">
        <f t="shared" si="17"/>
        <v>900</v>
      </c>
      <c r="BA82" s="66">
        <f t="shared" si="18"/>
        <v>1000</v>
      </c>
      <c r="BB82" s="22">
        <f t="shared" si="19"/>
        <v>5.0000000000000001E-3</v>
      </c>
    </row>
    <row r="83" spans="2:54" ht="16" customHeight="1" x14ac:dyDescent="0.45">
      <c r="B83" s="45" t="s">
        <v>532</v>
      </c>
      <c r="C83" s="90"/>
      <c r="D83" s="56"/>
      <c r="E83" s="84"/>
      <c r="F83" s="58"/>
      <c r="G83" s="58"/>
      <c r="H83" s="58"/>
      <c r="I83" s="58"/>
      <c r="J83" s="58"/>
      <c r="K83" s="58"/>
      <c r="L83" s="59">
        <f t="shared" si="21"/>
        <v>0</v>
      </c>
      <c r="M83" s="68"/>
      <c r="N83" s="68"/>
      <c r="O83" s="68"/>
      <c r="P83" s="68"/>
      <c r="Q83" s="99" t="e">
        <f t="shared" si="22"/>
        <v>#DIV/0!</v>
      </c>
      <c r="R83" s="100">
        <f t="shared" si="23"/>
        <v>0.43387671059875982</v>
      </c>
      <c r="S83" s="83"/>
      <c r="T83" s="83"/>
      <c r="U83" s="101">
        <f t="shared" si="24"/>
        <v>2021.2824107652905</v>
      </c>
      <c r="V83" s="59" t="e">
        <f t="shared" si="20"/>
        <v>#DIV/0!</v>
      </c>
      <c r="W83" s="68"/>
      <c r="X83" s="68"/>
      <c r="Y83" s="68"/>
      <c r="Z83" s="68"/>
      <c r="AA83" s="45"/>
      <c r="AY83" s="66">
        <f t="shared" si="16"/>
        <v>70.8</v>
      </c>
      <c r="AZ83" s="66">
        <f t="shared" si="17"/>
        <v>900</v>
      </c>
      <c r="BA83" s="66">
        <f t="shared" si="18"/>
        <v>1000</v>
      </c>
      <c r="BB83" s="22">
        <f t="shared" si="19"/>
        <v>5.0000000000000001E-3</v>
      </c>
    </row>
    <row r="84" spans="2:54" ht="16" customHeight="1" x14ac:dyDescent="0.45">
      <c r="B84" s="45" t="s">
        <v>533</v>
      </c>
      <c r="C84" s="90"/>
      <c r="D84" s="56"/>
      <c r="E84" s="57"/>
      <c r="F84" s="58"/>
      <c r="G84" s="58"/>
      <c r="H84" s="58"/>
      <c r="I84" s="58"/>
      <c r="J84" s="58"/>
      <c r="K84" s="58"/>
      <c r="L84" s="59">
        <f t="shared" si="21"/>
        <v>0</v>
      </c>
      <c r="M84" s="68"/>
      <c r="N84" s="68"/>
      <c r="O84" s="68"/>
      <c r="P84" s="68"/>
      <c r="Q84" s="99" t="e">
        <f t="shared" si="22"/>
        <v>#DIV/0!</v>
      </c>
      <c r="R84" s="100">
        <f t="shared" si="23"/>
        <v>0.43387671059875982</v>
      </c>
      <c r="S84" s="83"/>
      <c r="T84" s="83"/>
      <c r="U84" s="101">
        <f t="shared" si="24"/>
        <v>2021.2824107652905</v>
      </c>
      <c r="V84" s="59" t="e">
        <f t="shared" si="20"/>
        <v>#DIV/0!</v>
      </c>
      <c r="W84" s="68"/>
      <c r="X84" s="68"/>
      <c r="Y84" s="68"/>
      <c r="Z84" s="68"/>
      <c r="AA84" s="45"/>
      <c r="AY84" s="66">
        <f t="shared" si="16"/>
        <v>70.8</v>
      </c>
      <c r="AZ84" s="66">
        <f t="shared" si="17"/>
        <v>900</v>
      </c>
      <c r="BA84" s="66">
        <f t="shared" si="18"/>
        <v>1000</v>
      </c>
      <c r="BB84" s="22">
        <f t="shared" si="19"/>
        <v>5.0000000000000001E-3</v>
      </c>
    </row>
    <row r="85" spans="2:54" ht="16" customHeight="1" x14ac:dyDescent="0.45">
      <c r="B85" s="45" t="s">
        <v>534</v>
      </c>
      <c r="C85" s="90"/>
      <c r="D85" s="67"/>
      <c r="E85" s="57"/>
      <c r="F85" s="68"/>
      <c r="G85" s="68"/>
      <c r="H85" s="68"/>
      <c r="I85" s="68"/>
      <c r="J85" s="68"/>
      <c r="K85" s="68"/>
      <c r="L85" s="59">
        <f t="shared" si="21"/>
        <v>0</v>
      </c>
      <c r="M85" s="68"/>
      <c r="N85" s="68"/>
      <c r="O85" s="68"/>
      <c r="P85" s="68"/>
      <c r="Q85" s="99" t="e">
        <f t="shared" si="22"/>
        <v>#DIV/0!</v>
      </c>
      <c r="R85" s="100">
        <f t="shared" si="23"/>
        <v>0.43387671059875982</v>
      </c>
      <c r="S85" s="83"/>
      <c r="T85" s="83"/>
      <c r="U85" s="101">
        <f t="shared" si="24"/>
        <v>2021.2824107652905</v>
      </c>
      <c r="V85" s="59" t="e">
        <f t="shared" si="20"/>
        <v>#DIV/0!</v>
      </c>
      <c r="W85" s="68"/>
      <c r="X85" s="68"/>
      <c r="Y85" s="68"/>
      <c r="Z85" s="68"/>
      <c r="AA85" s="45"/>
      <c r="AY85" s="66">
        <f t="shared" si="16"/>
        <v>70.8</v>
      </c>
      <c r="AZ85" s="66">
        <f t="shared" si="17"/>
        <v>900</v>
      </c>
      <c r="BA85" s="66">
        <f t="shared" si="18"/>
        <v>1000</v>
      </c>
      <c r="BB85" s="22">
        <f t="shared" si="19"/>
        <v>5.0000000000000001E-3</v>
      </c>
    </row>
    <row r="86" spans="2:54" ht="16" customHeight="1" x14ac:dyDescent="0.45">
      <c r="B86" s="45" t="s">
        <v>535</v>
      </c>
      <c r="C86" s="90"/>
      <c r="D86" s="56"/>
      <c r="E86" s="84"/>
      <c r="F86" s="58"/>
      <c r="G86" s="58"/>
      <c r="H86" s="58"/>
      <c r="I86" s="58"/>
      <c r="J86" s="58"/>
      <c r="K86" s="58"/>
      <c r="L86" s="59">
        <f t="shared" si="21"/>
        <v>0</v>
      </c>
      <c r="M86" s="68"/>
      <c r="N86" s="68"/>
      <c r="O86" s="68"/>
      <c r="P86" s="68"/>
      <c r="Q86" s="99" t="e">
        <f t="shared" si="22"/>
        <v>#DIV/0!</v>
      </c>
      <c r="R86" s="100">
        <f t="shared" si="23"/>
        <v>0.43387671059875982</v>
      </c>
      <c r="S86" s="83"/>
      <c r="T86" s="83"/>
      <c r="U86" s="101">
        <f t="shared" si="24"/>
        <v>2021.2824107652905</v>
      </c>
      <c r="V86" s="59" t="e">
        <f t="shared" si="20"/>
        <v>#DIV/0!</v>
      </c>
      <c r="W86" s="68"/>
      <c r="X86" s="68"/>
      <c r="Y86" s="68"/>
      <c r="Z86" s="68"/>
      <c r="AA86" s="45"/>
      <c r="AY86" s="66">
        <f t="shared" si="16"/>
        <v>70.8</v>
      </c>
      <c r="AZ86" s="66">
        <f t="shared" si="17"/>
        <v>900</v>
      </c>
      <c r="BA86" s="66">
        <f t="shared" si="18"/>
        <v>1000</v>
      </c>
      <c r="BB86" s="22">
        <f t="shared" si="19"/>
        <v>5.0000000000000001E-3</v>
      </c>
    </row>
    <row r="87" spans="2:54" x14ac:dyDescent="0.45">
      <c r="B87" s="45" t="s">
        <v>536</v>
      </c>
      <c r="C87" s="90"/>
      <c r="D87" s="56"/>
      <c r="E87" s="84"/>
      <c r="F87" s="58"/>
      <c r="G87" s="58"/>
      <c r="H87" s="58"/>
      <c r="I87" s="58"/>
      <c r="J87" s="58"/>
      <c r="K87" s="58"/>
      <c r="L87" s="59">
        <f t="shared" si="21"/>
        <v>0</v>
      </c>
      <c r="M87" s="68"/>
      <c r="N87" s="68"/>
      <c r="O87" s="68"/>
      <c r="P87" s="68"/>
      <c r="Q87" s="99" t="e">
        <f t="shared" si="22"/>
        <v>#DIV/0!</v>
      </c>
      <c r="R87" s="100">
        <f t="shared" si="23"/>
        <v>0.43387671059875982</v>
      </c>
      <c r="S87" s="83"/>
      <c r="T87" s="83"/>
      <c r="U87" s="101">
        <f t="shared" si="24"/>
        <v>2021.2824107652905</v>
      </c>
      <c r="V87" s="59" t="e">
        <f t="shared" si="20"/>
        <v>#DIV/0!</v>
      </c>
      <c r="W87" s="68"/>
      <c r="X87" s="68"/>
      <c r="Y87" s="68"/>
      <c r="Z87" s="68"/>
      <c r="AA87" s="45"/>
      <c r="AY87" s="66">
        <f t="shared" ref="AY87:AY96" si="25">$L$11</f>
        <v>70.8</v>
      </c>
      <c r="AZ87" s="66">
        <f t="shared" ref="AZ87:AZ96" si="26">$O$11</f>
        <v>900</v>
      </c>
      <c r="BA87" s="66">
        <f t="shared" ref="BA87:BA96" si="27">$Q$11</f>
        <v>1000</v>
      </c>
      <c r="BB87" s="22">
        <f t="shared" ref="BB87:BB96" si="28">$R$13</f>
        <v>5.0000000000000001E-3</v>
      </c>
    </row>
    <row r="88" spans="2:54" x14ac:dyDescent="0.45">
      <c r="B88" s="45" t="s">
        <v>537</v>
      </c>
      <c r="C88" s="90"/>
      <c r="D88" s="56"/>
      <c r="E88" s="80"/>
      <c r="F88" s="58"/>
      <c r="G88" s="58"/>
      <c r="H88" s="58"/>
      <c r="I88" s="58"/>
      <c r="J88" s="58"/>
      <c r="K88" s="58"/>
      <c r="L88" s="59">
        <f t="shared" si="21"/>
        <v>0</v>
      </c>
      <c r="M88" s="68"/>
      <c r="N88" s="68"/>
      <c r="O88" s="68"/>
      <c r="P88" s="68"/>
      <c r="Q88" s="99" t="e">
        <f t="shared" si="22"/>
        <v>#DIV/0!</v>
      </c>
      <c r="R88" s="100">
        <f t="shared" si="23"/>
        <v>0.43387671059875982</v>
      </c>
      <c r="S88" s="83"/>
      <c r="T88" s="83"/>
      <c r="U88" s="101">
        <f t="shared" si="24"/>
        <v>2021.2824107652905</v>
      </c>
      <c r="V88" s="59" t="e">
        <f t="shared" si="20"/>
        <v>#DIV/0!</v>
      </c>
      <c r="W88" s="68"/>
      <c r="X88" s="68"/>
      <c r="Y88" s="68"/>
      <c r="Z88" s="68"/>
      <c r="AA88" s="45"/>
      <c r="AY88" s="66">
        <f t="shared" si="25"/>
        <v>70.8</v>
      </c>
      <c r="AZ88" s="66">
        <f t="shared" si="26"/>
        <v>900</v>
      </c>
      <c r="BA88" s="66">
        <f t="shared" si="27"/>
        <v>1000</v>
      </c>
      <c r="BB88" s="22">
        <f t="shared" si="28"/>
        <v>5.0000000000000001E-3</v>
      </c>
    </row>
    <row r="89" spans="2:54" x14ac:dyDescent="0.45">
      <c r="B89" s="45" t="s">
        <v>538</v>
      </c>
      <c r="C89" s="90"/>
      <c r="D89" s="56"/>
      <c r="E89" s="80"/>
      <c r="F89" s="58"/>
      <c r="G89" s="58"/>
      <c r="H89" s="58"/>
      <c r="I89" s="58"/>
      <c r="J89" s="58"/>
      <c r="K89" s="58"/>
      <c r="L89" s="59">
        <f t="shared" si="21"/>
        <v>0</v>
      </c>
      <c r="M89" s="68"/>
      <c r="N89" s="68"/>
      <c r="O89" s="68"/>
      <c r="P89" s="68"/>
      <c r="Q89" s="99" t="e">
        <f t="shared" si="22"/>
        <v>#DIV/0!</v>
      </c>
      <c r="R89" s="100">
        <f t="shared" si="23"/>
        <v>0.43387671059875982</v>
      </c>
      <c r="S89" s="83"/>
      <c r="T89" s="83"/>
      <c r="U89" s="101">
        <f t="shared" si="24"/>
        <v>2021.2824107652905</v>
      </c>
      <c r="V89" s="59" t="e">
        <f t="shared" si="20"/>
        <v>#DIV/0!</v>
      </c>
      <c r="W89" s="68"/>
      <c r="X89" s="68"/>
      <c r="Y89" s="68"/>
      <c r="Z89" s="68"/>
      <c r="AA89" s="45"/>
      <c r="AY89" s="66">
        <f t="shared" si="25"/>
        <v>70.8</v>
      </c>
      <c r="AZ89" s="66">
        <f t="shared" si="26"/>
        <v>900</v>
      </c>
      <c r="BA89" s="66">
        <f t="shared" si="27"/>
        <v>1000</v>
      </c>
      <c r="BB89" s="22">
        <f t="shared" si="28"/>
        <v>5.0000000000000001E-3</v>
      </c>
    </row>
    <row r="90" spans="2:54" x14ac:dyDescent="0.45">
      <c r="B90" s="45" t="s">
        <v>539</v>
      </c>
      <c r="C90" s="90"/>
      <c r="D90" s="56"/>
      <c r="E90" s="80"/>
      <c r="F90" s="68"/>
      <c r="G90" s="68"/>
      <c r="H90" s="68"/>
      <c r="I90" s="68"/>
      <c r="J90" s="68"/>
      <c r="K90" s="68"/>
      <c r="L90" s="59">
        <f t="shared" si="21"/>
        <v>0</v>
      </c>
      <c r="M90" s="68"/>
      <c r="N90" s="68"/>
      <c r="O90" s="68"/>
      <c r="P90" s="68"/>
      <c r="Q90" s="99" t="e">
        <f t="shared" si="22"/>
        <v>#DIV/0!</v>
      </c>
      <c r="R90" s="100">
        <f t="shared" si="23"/>
        <v>0.43387671059875982</v>
      </c>
      <c r="S90" s="83"/>
      <c r="T90" s="83"/>
      <c r="U90" s="101">
        <f t="shared" si="24"/>
        <v>2021.2824107652905</v>
      </c>
      <c r="V90" s="59" t="e">
        <f t="shared" si="20"/>
        <v>#DIV/0!</v>
      </c>
      <c r="W90" s="68"/>
      <c r="X90" s="68"/>
      <c r="Y90" s="68"/>
      <c r="Z90" s="68"/>
      <c r="AA90" s="45"/>
      <c r="AY90" s="66">
        <f t="shared" si="25"/>
        <v>70.8</v>
      </c>
      <c r="AZ90" s="66">
        <f t="shared" si="26"/>
        <v>900</v>
      </c>
      <c r="BA90" s="66">
        <f t="shared" si="27"/>
        <v>1000</v>
      </c>
      <c r="BB90" s="22">
        <f t="shared" si="28"/>
        <v>5.0000000000000001E-3</v>
      </c>
    </row>
    <row r="91" spans="2:54" x14ac:dyDescent="0.45">
      <c r="B91" s="45" t="s">
        <v>540</v>
      </c>
      <c r="C91" s="90"/>
      <c r="D91" s="56"/>
      <c r="E91" s="80"/>
      <c r="F91" s="58"/>
      <c r="G91" s="58"/>
      <c r="H91" s="58"/>
      <c r="I91" s="58"/>
      <c r="J91" s="58"/>
      <c r="K91" s="58"/>
      <c r="L91" s="59">
        <f t="shared" si="21"/>
        <v>0</v>
      </c>
      <c r="M91" s="68"/>
      <c r="N91" s="68"/>
      <c r="O91" s="68"/>
      <c r="P91" s="68"/>
      <c r="Q91" s="99" t="e">
        <f t="shared" si="22"/>
        <v>#DIV/0!</v>
      </c>
      <c r="R91" s="100">
        <f t="shared" si="23"/>
        <v>0.43387671059875982</v>
      </c>
      <c r="S91" s="83"/>
      <c r="T91" s="83"/>
      <c r="U91" s="101">
        <f t="shared" si="24"/>
        <v>2021.2824107652905</v>
      </c>
      <c r="V91" s="59" t="e">
        <f t="shared" si="20"/>
        <v>#DIV/0!</v>
      </c>
      <c r="W91" s="68"/>
      <c r="X91" s="68"/>
      <c r="Y91" s="68"/>
      <c r="Z91" s="68"/>
      <c r="AA91" s="45"/>
      <c r="AY91" s="66">
        <f t="shared" si="25"/>
        <v>70.8</v>
      </c>
      <c r="AZ91" s="66">
        <f t="shared" si="26"/>
        <v>900</v>
      </c>
      <c r="BA91" s="66">
        <f t="shared" si="27"/>
        <v>1000</v>
      </c>
      <c r="BB91" s="22">
        <f t="shared" si="28"/>
        <v>5.0000000000000001E-3</v>
      </c>
    </row>
    <row r="92" spans="2:54" x14ac:dyDescent="0.45">
      <c r="B92" s="45" t="s">
        <v>541</v>
      </c>
      <c r="C92" s="90"/>
      <c r="D92" s="56"/>
      <c r="E92" s="57"/>
      <c r="F92" s="58"/>
      <c r="G92" s="58"/>
      <c r="H92" s="58"/>
      <c r="I92" s="58"/>
      <c r="J92" s="58"/>
      <c r="K92" s="58"/>
      <c r="L92" s="59">
        <f t="shared" si="21"/>
        <v>0</v>
      </c>
      <c r="M92" s="68"/>
      <c r="N92" s="68"/>
      <c r="O92" s="68"/>
      <c r="P92" s="68"/>
      <c r="Q92" s="99" t="e">
        <f t="shared" si="22"/>
        <v>#DIV/0!</v>
      </c>
      <c r="R92" s="100">
        <f t="shared" si="23"/>
        <v>0.43387671059875982</v>
      </c>
      <c r="S92" s="83"/>
      <c r="T92" s="83"/>
      <c r="U92" s="101">
        <f t="shared" si="24"/>
        <v>2021.2824107652905</v>
      </c>
      <c r="V92" s="59" t="e">
        <f t="shared" si="20"/>
        <v>#DIV/0!</v>
      </c>
      <c r="W92" s="68"/>
      <c r="X92" s="68"/>
      <c r="Y92" s="68"/>
      <c r="Z92" s="68"/>
      <c r="AA92" s="45"/>
      <c r="AY92" s="66">
        <f t="shared" si="25"/>
        <v>70.8</v>
      </c>
      <c r="AZ92" s="66">
        <f t="shared" si="26"/>
        <v>900</v>
      </c>
      <c r="BA92" s="66">
        <f t="shared" si="27"/>
        <v>1000</v>
      </c>
      <c r="BB92" s="22">
        <f t="shared" si="28"/>
        <v>5.0000000000000001E-3</v>
      </c>
    </row>
    <row r="93" spans="2:54" x14ac:dyDescent="0.45">
      <c r="B93" s="45" t="s">
        <v>542</v>
      </c>
      <c r="C93" s="90"/>
      <c r="D93" s="56"/>
      <c r="E93" s="84"/>
      <c r="F93" s="58"/>
      <c r="G93" s="58"/>
      <c r="H93" s="58"/>
      <c r="I93" s="58"/>
      <c r="J93" s="58"/>
      <c r="K93" s="58"/>
      <c r="L93" s="59">
        <f t="shared" si="21"/>
        <v>0</v>
      </c>
      <c r="M93" s="68"/>
      <c r="N93" s="68"/>
      <c r="O93" s="68"/>
      <c r="P93" s="68"/>
      <c r="Q93" s="99" t="e">
        <f t="shared" si="22"/>
        <v>#DIV/0!</v>
      </c>
      <c r="R93" s="100">
        <f t="shared" si="23"/>
        <v>0.43387671059875982</v>
      </c>
      <c r="S93" s="83"/>
      <c r="T93" s="83"/>
      <c r="U93" s="101">
        <f t="shared" si="24"/>
        <v>2021.2824107652905</v>
      </c>
      <c r="V93" s="59" t="e">
        <f t="shared" si="20"/>
        <v>#DIV/0!</v>
      </c>
      <c r="W93" s="68"/>
      <c r="X93" s="68"/>
      <c r="Y93" s="68"/>
      <c r="Z93" s="68"/>
      <c r="AA93" s="45"/>
      <c r="AY93" s="66">
        <f t="shared" si="25"/>
        <v>70.8</v>
      </c>
      <c r="AZ93" s="66">
        <f t="shared" si="26"/>
        <v>900</v>
      </c>
      <c r="BA93" s="66">
        <f t="shared" si="27"/>
        <v>1000</v>
      </c>
      <c r="BB93" s="22">
        <f t="shared" si="28"/>
        <v>5.0000000000000001E-3</v>
      </c>
    </row>
    <row r="94" spans="2:54" x14ac:dyDescent="0.45">
      <c r="B94" s="45" t="s">
        <v>543</v>
      </c>
      <c r="C94" s="90"/>
      <c r="D94" s="56"/>
      <c r="E94" s="57"/>
      <c r="F94" s="58"/>
      <c r="G94" s="58"/>
      <c r="H94" s="58"/>
      <c r="I94" s="58"/>
      <c r="J94" s="58"/>
      <c r="K94" s="58"/>
      <c r="L94" s="59">
        <f t="shared" si="21"/>
        <v>0</v>
      </c>
      <c r="M94" s="68"/>
      <c r="N94" s="68"/>
      <c r="O94" s="68"/>
      <c r="P94" s="68"/>
      <c r="Q94" s="99" t="e">
        <f t="shared" si="22"/>
        <v>#DIV/0!</v>
      </c>
      <c r="R94" s="100">
        <f t="shared" si="23"/>
        <v>0.43387671059875982</v>
      </c>
      <c r="S94" s="83"/>
      <c r="T94" s="83"/>
      <c r="U94" s="101">
        <f t="shared" si="24"/>
        <v>2021.2824107652905</v>
      </c>
      <c r="V94" s="59" t="e">
        <f t="shared" si="20"/>
        <v>#DIV/0!</v>
      </c>
      <c r="W94" s="68"/>
      <c r="X94" s="68"/>
      <c r="Y94" s="68"/>
      <c r="Z94" s="68"/>
      <c r="AA94" s="45"/>
      <c r="AY94" s="66">
        <f t="shared" si="25"/>
        <v>70.8</v>
      </c>
      <c r="AZ94" s="66">
        <f t="shared" si="26"/>
        <v>900</v>
      </c>
      <c r="BA94" s="66">
        <f t="shared" si="27"/>
        <v>1000</v>
      </c>
      <c r="BB94" s="22">
        <f t="shared" si="28"/>
        <v>5.0000000000000001E-3</v>
      </c>
    </row>
    <row r="95" spans="2:54" x14ac:dyDescent="0.45">
      <c r="B95" s="45" t="s">
        <v>544</v>
      </c>
      <c r="C95" s="90"/>
      <c r="D95" s="56"/>
      <c r="E95" s="80"/>
      <c r="F95" s="58"/>
      <c r="G95" s="58"/>
      <c r="H95" s="58"/>
      <c r="I95" s="58"/>
      <c r="J95" s="58"/>
      <c r="K95" s="58"/>
      <c r="L95" s="59">
        <f t="shared" si="21"/>
        <v>0</v>
      </c>
      <c r="M95" s="68"/>
      <c r="N95" s="68"/>
      <c r="O95" s="68"/>
      <c r="P95" s="68"/>
      <c r="Q95" s="99" t="e">
        <f t="shared" si="22"/>
        <v>#DIV/0!</v>
      </c>
      <c r="R95" s="100">
        <f t="shared" si="23"/>
        <v>0.43387671059875982</v>
      </c>
      <c r="S95" s="83"/>
      <c r="T95" s="83"/>
      <c r="U95" s="101">
        <f t="shared" si="24"/>
        <v>2021.2824107652905</v>
      </c>
      <c r="V95" s="59" t="e">
        <f t="shared" si="20"/>
        <v>#DIV/0!</v>
      </c>
      <c r="W95" s="68"/>
      <c r="X95" s="68"/>
      <c r="Y95" s="68"/>
      <c r="Z95" s="68"/>
      <c r="AA95" s="45"/>
      <c r="AY95" s="66">
        <f t="shared" si="25"/>
        <v>70.8</v>
      </c>
      <c r="AZ95" s="66">
        <f t="shared" si="26"/>
        <v>900</v>
      </c>
      <c r="BA95" s="66">
        <f t="shared" si="27"/>
        <v>1000</v>
      </c>
      <c r="BB95" s="22">
        <f t="shared" si="28"/>
        <v>5.0000000000000001E-3</v>
      </c>
    </row>
    <row r="96" spans="2:54" x14ac:dyDescent="0.45">
      <c r="B96" s="45" t="s">
        <v>545</v>
      </c>
      <c r="C96" s="90"/>
      <c r="D96" s="56"/>
      <c r="E96" s="57"/>
      <c r="F96" s="58"/>
      <c r="G96" s="58"/>
      <c r="H96" s="58"/>
      <c r="I96" s="58"/>
      <c r="J96" s="58"/>
      <c r="K96" s="58"/>
      <c r="L96" s="59">
        <f t="shared" si="21"/>
        <v>0</v>
      </c>
      <c r="M96" s="68"/>
      <c r="N96" s="68"/>
      <c r="O96" s="68"/>
      <c r="P96" s="68"/>
      <c r="Q96" s="99" t="e">
        <f t="shared" si="22"/>
        <v>#DIV/0!</v>
      </c>
      <c r="R96" s="100">
        <f t="shared" si="23"/>
        <v>0.43387671059875982</v>
      </c>
      <c r="S96" s="83"/>
      <c r="T96" s="83"/>
      <c r="U96" s="101">
        <f t="shared" si="24"/>
        <v>2021.2824107652905</v>
      </c>
      <c r="V96" s="59" t="e">
        <f t="shared" si="20"/>
        <v>#DIV/0!</v>
      </c>
      <c r="W96" s="68"/>
      <c r="X96" s="68"/>
      <c r="Y96" s="68"/>
      <c r="Z96" s="68"/>
      <c r="AA96" s="45"/>
      <c r="AY96" s="66">
        <f t="shared" si="25"/>
        <v>70.8</v>
      </c>
      <c r="AZ96" s="66">
        <f t="shared" si="26"/>
        <v>900</v>
      </c>
      <c r="BA96" s="66">
        <f t="shared" si="27"/>
        <v>1000</v>
      </c>
      <c r="BB96" s="22">
        <f t="shared" si="28"/>
        <v>5.0000000000000001E-3</v>
      </c>
    </row>
    <row r="97" spans="2:54" x14ac:dyDescent="0.45">
      <c r="B97" s="45" t="s">
        <v>546</v>
      </c>
      <c r="C97" s="90"/>
      <c r="D97" s="56"/>
      <c r="E97" s="84"/>
      <c r="F97" s="58"/>
      <c r="G97" s="58"/>
      <c r="H97" s="58"/>
      <c r="I97" s="58"/>
      <c r="J97" s="58"/>
      <c r="K97" s="58"/>
      <c r="L97" s="59">
        <f t="shared" si="21"/>
        <v>0</v>
      </c>
      <c r="M97" s="68"/>
      <c r="N97" s="68"/>
      <c r="O97" s="68"/>
      <c r="P97" s="68"/>
      <c r="Q97" s="99" t="e">
        <f t="shared" si="22"/>
        <v>#DIV/0!</v>
      </c>
      <c r="R97" s="100">
        <f t="shared" si="23"/>
        <v>0.43387671059875982</v>
      </c>
      <c r="S97" s="83"/>
      <c r="T97" s="83"/>
      <c r="U97" s="101">
        <f t="shared" si="24"/>
        <v>2021.2824107652905</v>
      </c>
      <c r="V97" s="59" t="e">
        <f t="shared" si="20"/>
        <v>#DIV/0!</v>
      </c>
      <c r="W97" s="68"/>
      <c r="X97" s="68"/>
      <c r="Y97" s="68"/>
      <c r="Z97" s="68"/>
      <c r="AA97" s="45"/>
      <c r="AY97" s="66"/>
      <c r="AZ97" s="66"/>
      <c r="BA97" s="66"/>
      <c r="BB97" s="22"/>
    </row>
    <row r="98" spans="2:54" x14ac:dyDescent="0.45">
      <c r="B98" s="45" t="s">
        <v>547</v>
      </c>
      <c r="C98" s="90"/>
      <c r="D98" s="56"/>
      <c r="E98" s="80"/>
      <c r="F98" s="58"/>
      <c r="G98" s="58"/>
      <c r="H98" s="58"/>
      <c r="I98" s="58"/>
      <c r="J98" s="58"/>
      <c r="K98" s="58"/>
      <c r="L98" s="59">
        <f t="shared" si="21"/>
        <v>0</v>
      </c>
      <c r="M98" s="68"/>
      <c r="N98" s="68"/>
      <c r="O98" s="68"/>
      <c r="P98" s="68"/>
      <c r="Q98" s="99" t="e">
        <f t="shared" si="22"/>
        <v>#DIV/0!</v>
      </c>
      <c r="R98" s="100">
        <f t="shared" si="23"/>
        <v>0.43387671059875982</v>
      </c>
      <c r="S98" s="83"/>
      <c r="T98" s="83"/>
      <c r="U98" s="101">
        <f t="shared" si="24"/>
        <v>2021.2824107652905</v>
      </c>
      <c r="V98" s="59" t="e">
        <f t="shared" si="20"/>
        <v>#DIV/0!</v>
      </c>
      <c r="W98" s="68"/>
      <c r="X98" s="68"/>
      <c r="Y98" s="68"/>
      <c r="Z98" s="68"/>
      <c r="AA98" s="45"/>
      <c r="AY98" s="66"/>
      <c r="AZ98" s="66"/>
      <c r="BA98" s="66"/>
      <c r="BB98" s="22"/>
    </row>
    <row r="99" spans="2:54" ht="16" customHeight="1" x14ac:dyDescent="0.45">
      <c r="B99" s="45" t="s">
        <v>548</v>
      </c>
      <c r="C99" s="90"/>
      <c r="D99" s="56"/>
      <c r="E99" s="57"/>
      <c r="F99" s="58"/>
      <c r="G99" s="58"/>
      <c r="H99" s="58"/>
      <c r="I99" s="58"/>
      <c r="J99" s="58"/>
      <c r="K99" s="58"/>
      <c r="L99" s="59">
        <f t="shared" si="21"/>
        <v>0</v>
      </c>
      <c r="M99" s="68"/>
      <c r="N99" s="68"/>
      <c r="O99" s="68"/>
      <c r="P99" s="68"/>
      <c r="Q99" s="99" t="e">
        <f t="shared" si="22"/>
        <v>#DIV/0!</v>
      </c>
      <c r="R99" s="100">
        <f t="shared" si="23"/>
        <v>0.43387671059875982</v>
      </c>
      <c r="S99" s="83"/>
      <c r="T99" s="83"/>
      <c r="U99" s="101">
        <f t="shared" si="24"/>
        <v>2021.2824107652905</v>
      </c>
      <c r="V99" s="59" t="e">
        <f t="shared" si="20"/>
        <v>#DIV/0!</v>
      </c>
      <c r="W99" s="68"/>
      <c r="X99" s="68"/>
      <c r="Y99" s="68"/>
      <c r="Z99" s="68"/>
      <c r="AA99" s="45"/>
      <c r="AY99" s="66"/>
      <c r="AZ99" s="66"/>
      <c r="BA99" s="66"/>
      <c r="BB99" s="22"/>
    </row>
    <row r="100" spans="2:54" ht="16" customHeight="1" x14ac:dyDescent="0.45">
      <c r="B100" s="45" t="s">
        <v>549</v>
      </c>
      <c r="C100" s="90"/>
      <c r="D100" s="56"/>
      <c r="E100" s="57"/>
      <c r="F100" s="58"/>
      <c r="G100" s="58"/>
      <c r="H100" s="58"/>
      <c r="I100" s="58"/>
      <c r="J100" s="58"/>
      <c r="K100" s="58"/>
      <c r="L100" s="59">
        <f t="shared" si="21"/>
        <v>0</v>
      </c>
      <c r="M100" s="68"/>
      <c r="N100" s="68"/>
      <c r="O100" s="68"/>
      <c r="P100" s="68"/>
      <c r="Q100" s="99" t="e">
        <f t="shared" si="22"/>
        <v>#DIV/0!</v>
      </c>
      <c r="R100" s="100">
        <f t="shared" si="23"/>
        <v>0.43387671059875982</v>
      </c>
      <c r="S100" s="83"/>
      <c r="T100" s="83"/>
      <c r="U100" s="101">
        <f t="shared" si="24"/>
        <v>2021.2824107652905</v>
      </c>
      <c r="V100" s="59" t="e">
        <f t="shared" si="20"/>
        <v>#DIV/0!</v>
      </c>
      <c r="W100" s="68"/>
      <c r="X100" s="68"/>
      <c r="Y100" s="68"/>
      <c r="Z100" s="68"/>
      <c r="AA100" s="45"/>
      <c r="AY100" s="66"/>
      <c r="AZ100" s="66"/>
      <c r="BA100" s="66"/>
      <c r="BB100" s="22"/>
    </row>
    <row r="101" spans="2:54" ht="16" customHeight="1" x14ac:dyDescent="0.45">
      <c r="B101" s="45" t="s">
        <v>550</v>
      </c>
      <c r="C101" s="90"/>
      <c r="D101" s="56"/>
      <c r="E101" s="57"/>
      <c r="F101" s="58"/>
      <c r="G101" s="58"/>
      <c r="H101" s="58"/>
      <c r="I101" s="58"/>
      <c r="J101" s="58"/>
      <c r="K101" s="58"/>
      <c r="L101" s="59">
        <f t="shared" si="21"/>
        <v>0</v>
      </c>
      <c r="M101" s="68"/>
      <c r="N101" s="68"/>
      <c r="O101" s="68"/>
      <c r="P101" s="68"/>
      <c r="Q101" s="99" t="e">
        <f t="shared" si="22"/>
        <v>#DIV/0!</v>
      </c>
      <c r="R101" s="100">
        <f t="shared" si="23"/>
        <v>0.43387671059875982</v>
      </c>
      <c r="S101" s="83"/>
      <c r="T101" s="83"/>
      <c r="U101" s="101">
        <f t="shared" si="24"/>
        <v>2021.2824107652905</v>
      </c>
      <c r="V101" s="59" t="e">
        <f t="shared" si="20"/>
        <v>#DIV/0!</v>
      </c>
      <c r="W101" s="68"/>
      <c r="X101" s="68"/>
      <c r="Y101" s="68"/>
      <c r="Z101" s="68"/>
      <c r="AA101" s="45"/>
      <c r="AY101" s="66"/>
      <c r="AZ101" s="66"/>
      <c r="BA101" s="66"/>
      <c r="BB101" s="22"/>
    </row>
    <row r="102" spans="2:54" x14ac:dyDescent="0.45">
      <c r="B102" s="45" t="s">
        <v>551</v>
      </c>
      <c r="C102" s="90"/>
      <c r="D102" s="56"/>
      <c r="E102" s="57"/>
      <c r="F102" s="58"/>
      <c r="G102" s="58"/>
      <c r="H102" s="58"/>
      <c r="I102" s="58"/>
      <c r="J102" s="58"/>
      <c r="K102" s="58"/>
      <c r="L102" s="59">
        <f t="shared" si="21"/>
        <v>0</v>
      </c>
      <c r="M102" s="68"/>
      <c r="N102" s="68"/>
      <c r="O102" s="68"/>
      <c r="P102" s="68"/>
      <c r="Q102" s="99" t="e">
        <f t="shared" si="22"/>
        <v>#DIV/0!</v>
      </c>
      <c r="R102" s="100">
        <f t="shared" si="23"/>
        <v>0.43387671059875982</v>
      </c>
      <c r="S102" s="83"/>
      <c r="T102" s="83"/>
      <c r="U102" s="101">
        <f t="shared" si="24"/>
        <v>2021.2824107652905</v>
      </c>
      <c r="V102" s="59" t="e">
        <f t="shared" si="20"/>
        <v>#DIV/0!</v>
      </c>
      <c r="W102" s="68"/>
      <c r="X102" s="68"/>
      <c r="Y102" s="68"/>
      <c r="Z102" s="68"/>
      <c r="AA102" s="45"/>
      <c r="AY102" s="66"/>
      <c r="AZ102" s="66"/>
      <c r="BA102" s="66"/>
      <c r="BB102" s="22"/>
    </row>
    <row r="103" spans="2:54" x14ac:dyDescent="0.45">
      <c r="B103" s="45" t="s">
        <v>552</v>
      </c>
      <c r="C103" s="90"/>
      <c r="D103" s="56"/>
      <c r="E103" s="57"/>
      <c r="F103" s="58"/>
      <c r="G103" s="58"/>
      <c r="H103" s="58"/>
      <c r="I103" s="58"/>
      <c r="J103" s="58"/>
      <c r="K103" s="58"/>
      <c r="L103" s="59">
        <f t="shared" si="21"/>
        <v>0</v>
      </c>
      <c r="M103" s="68"/>
      <c r="N103" s="68"/>
      <c r="O103" s="68"/>
      <c r="P103" s="68"/>
      <c r="Q103" s="99" t="e">
        <f t="shared" si="22"/>
        <v>#DIV/0!</v>
      </c>
      <c r="R103" s="100">
        <f t="shared" si="23"/>
        <v>0.43387671059875982</v>
      </c>
      <c r="S103" s="83"/>
      <c r="T103" s="83"/>
      <c r="U103" s="101">
        <f t="shared" si="24"/>
        <v>2021.2824107652905</v>
      </c>
      <c r="V103" s="59" t="e">
        <f t="shared" si="20"/>
        <v>#DIV/0!</v>
      </c>
      <c r="W103" s="68"/>
      <c r="X103" s="68"/>
      <c r="Y103" s="68"/>
      <c r="Z103" s="68"/>
      <c r="AA103" s="45"/>
      <c r="AY103" s="66"/>
      <c r="AZ103" s="66"/>
      <c r="BA103" s="66"/>
      <c r="BB103" s="22"/>
    </row>
    <row r="104" spans="2:54" x14ac:dyDescent="0.45">
      <c r="B104" s="45" t="s">
        <v>553</v>
      </c>
      <c r="C104" s="90"/>
      <c r="D104" s="56"/>
      <c r="E104" s="57"/>
      <c r="F104" s="58"/>
      <c r="G104" s="58"/>
      <c r="H104" s="58"/>
      <c r="I104" s="58"/>
      <c r="J104" s="58"/>
      <c r="K104" s="58"/>
      <c r="L104" s="59">
        <f t="shared" si="21"/>
        <v>0</v>
      </c>
      <c r="M104" s="68"/>
      <c r="N104" s="68"/>
      <c r="O104" s="68"/>
      <c r="P104" s="68"/>
      <c r="Q104" s="99" t="e">
        <f t="shared" si="22"/>
        <v>#DIV/0!</v>
      </c>
      <c r="R104" s="100">
        <f t="shared" si="23"/>
        <v>0.43387671059875982</v>
      </c>
      <c r="S104" s="83"/>
      <c r="T104" s="83"/>
      <c r="U104" s="101">
        <f t="shared" si="24"/>
        <v>2021.2824107652905</v>
      </c>
      <c r="V104" s="59" t="e">
        <f t="shared" si="20"/>
        <v>#DIV/0!</v>
      </c>
      <c r="W104" s="68"/>
      <c r="X104" s="68"/>
      <c r="Y104" s="68"/>
      <c r="Z104" s="68"/>
      <c r="AA104" s="45"/>
      <c r="AY104" s="66"/>
      <c r="AZ104" s="66"/>
      <c r="BA104" s="66"/>
      <c r="BB104" s="22"/>
    </row>
    <row r="105" spans="2:54" x14ac:dyDescent="0.45">
      <c r="B105" s="45" t="s">
        <v>554</v>
      </c>
      <c r="C105" s="90"/>
      <c r="D105" s="56"/>
      <c r="E105" s="57"/>
      <c r="F105" s="58"/>
      <c r="G105" s="58"/>
      <c r="H105" s="58"/>
      <c r="I105" s="58"/>
      <c r="J105" s="58"/>
      <c r="K105" s="58"/>
      <c r="L105" s="59">
        <f t="shared" si="21"/>
        <v>0</v>
      </c>
      <c r="M105" s="68"/>
      <c r="N105" s="68"/>
      <c r="O105" s="68"/>
      <c r="P105" s="68"/>
      <c r="Q105" s="99" t="e">
        <f t="shared" si="22"/>
        <v>#DIV/0!</v>
      </c>
      <c r="R105" s="100">
        <f t="shared" si="23"/>
        <v>0.43387671059875982</v>
      </c>
      <c r="S105" s="83"/>
      <c r="T105" s="83"/>
      <c r="U105" s="101">
        <f t="shared" si="24"/>
        <v>2021.2824107652905</v>
      </c>
      <c r="V105" s="59" t="e">
        <f t="shared" si="20"/>
        <v>#DIV/0!</v>
      </c>
      <c r="W105" s="68"/>
      <c r="X105" s="68"/>
      <c r="Y105" s="68"/>
      <c r="Z105" s="68"/>
      <c r="AA105" s="45"/>
      <c r="AY105" s="66"/>
      <c r="AZ105" s="66"/>
      <c r="BA105" s="66"/>
      <c r="BB105" s="22"/>
    </row>
    <row r="106" spans="2:54" x14ac:dyDescent="0.45">
      <c r="B106" s="45" t="s">
        <v>555</v>
      </c>
      <c r="C106" s="90"/>
      <c r="D106" s="56"/>
      <c r="E106" s="57"/>
      <c r="F106" s="58"/>
      <c r="G106" s="58"/>
      <c r="H106" s="58"/>
      <c r="I106" s="58"/>
      <c r="J106" s="58"/>
      <c r="K106" s="58"/>
      <c r="L106" s="59">
        <f t="shared" si="21"/>
        <v>0</v>
      </c>
      <c r="M106" s="68"/>
      <c r="N106" s="68"/>
      <c r="O106" s="68"/>
      <c r="P106" s="68"/>
      <c r="Q106" s="99" t="e">
        <f t="shared" si="22"/>
        <v>#DIV/0!</v>
      </c>
      <c r="R106" s="100">
        <f t="shared" si="23"/>
        <v>0.43387671059875982</v>
      </c>
      <c r="S106" s="83"/>
      <c r="T106" s="83"/>
      <c r="U106" s="101">
        <f t="shared" si="24"/>
        <v>2021.2824107652905</v>
      </c>
      <c r="V106" s="59" t="e">
        <f t="shared" si="20"/>
        <v>#DIV/0!</v>
      </c>
      <c r="W106" s="68"/>
      <c r="X106" s="68"/>
      <c r="Y106" s="68"/>
      <c r="Z106" s="68"/>
      <c r="AA106" s="45"/>
      <c r="AY106" s="66"/>
      <c r="AZ106" s="66"/>
      <c r="BA106" s="66"/>
      <c r="BB106" s="22"/>
    </row>
    <row r="107" spans="2:54" x14ac:dyDescent="0.45">
      <c r="B107" s="45" t="s">
        <v>556</v>
      </c>
      <c r="C107" s="90"/>
      <c r="D107" s="56"/>
      <c r="E107" s="57"/>
      <c r="F107" s="58"/>
      <c r="G107" s="58"/>
      <c r="H107" s="58"/>
      <c r="I107" s="58"/>
      <c r="J107" s="58"/>
      <c r="K107" s="58"/>
      <c r="L107" s="59">
        <f t="shared" si="21"/>
        <v>0</v>
      </c>
      <c r="M107" s="68"/>
      <c r="N107" s="68"/>
      <c r="O107" s="68"/>
      <c r="P107" s="68"/>
      <c r="Q107" s="99" t="e">
        <f t="shared" si="22"/>
        <v>#DIV/0!</v>
      </c>
      <c r="R107" s="100">
        <f t="shared" si="23"/>
        <v>0.43387671059875982</v>
      </c>
      <c r="S107" s="83"/>
      <c r="T107" s="83"/>
      <c r="U107" s="101">
        <f t="shared" si="24"/>
        <v>2021.2824107652905</v>
      </c>
      <c r="V107" s="59" t="e">
        <f t="shared" si="20"/>
        <v>#DIV/0!</v>
      </c>
      <c r="W107" s="68"/>
      <c r="X107" s="68"/>
      <c r="Y107" s="68"/>
      <c r="Z107" s="68"/>
      <c r="AA107" s="45"/>
      <c r="AY107" s="66"/>
      <c r="AZ107" s="66"/>
      <c r="BA107" s="66"/>
      <c r="BB107" s="22"/>
    </row>
    <row r="108" spans="2:54" x14ac:dyDescent="0.45">
      <c r="B108" s="45" t="s">
        <v>557</v>
      </c>
      <c r="C108" s="90"/>
      <c r="D108" s="56"/>
      <c r="E108" s="57"/>
      <c r="F108" s="58"/>
      <c r="G108" s="58"/>
      <c r="H108" s="58"/>
      <c r="I108" s="58"/>
      <c r="J108" s="58"/>
      <c r="K108" s="58"/>
      <c r="L108" s="59">
        <f t="shared" si="21"/>
        <v>0</v>
      </c>
      <c r="M108" s="68"/>
      <c r="N108" s="68"/>
      <c r="O108" s="68"/>
      <c r="P108" s="68"/>
      <c r="Q108" s="99" t="e">
        <f t="shared" si="22"/>
        <v>#DIV/0!</v>
      </c>
      <c r="R108" s="100">
        <f t="shared" si="23"/>
        <v>0.43387671059875982</v>
      </c>
      <c r="S108" s="83"/>
      <c r="T108" s="83"/>
      <c r="U108" s="101">
        <f t="shared" si="24"/>
        <v>2021.2824107652905</v>
      </c>
      <c r="V108" s="59" t="e">
        <f t="shared" si="20"/>
        <v>#DIV/0!</v>
      </c>
      <c r="W108" s="68"/>
      <c r="X108" s="68"/>
      <c r="Y108" s="68"/>
      <c r="Z108" s="68"/>
      <c r="AA108" s="45"/>
      <c r="AY108" s="66"/>
      <c r="AZ108" s="66"/>
      <c r="BA108" s="66"/>
      <c r="BB108" s="22"/>
    </row>
    <row r="109" spans="2:54" x14ac:dyDescent="0.45">
      <c r="B109" s="45" t="s">
        <v>558</v>
      </c>
      <c r="C109" s="90"/>
      <c r="D109" s="56"/>
      <c r="E109" s="57"/>
      <c r="F109" s="58"/>
      <c r="G109" s="58"/>
      <c r="H109" s="58"/>
      <c r="I109" s="58"/>
      <c r="J109" s="58"/>
      <c r="K109" s="58"/>
      <c r="L109" s="59">
        <f t="shared" si="21"/>
        <v>0</v>
      </c>
      <c r="M109" s="68"/>
      <c r="N109" s="68"/>
      <c r="O109" s="68"/>
      <c r="P109" s="68"/>
      <c r="Q109" s="99" t="e">
        <f t="shared" si="22"/>
        <v>#DIV/0!</v>
      </c>
      <c r="R109" s="100">
        <f t="shared" si="23"/>
        <v>0.43387671059875982</v>
      </c>
      <c r="S109" s="83"/>
      <c r="T109" s="83"/>
      <c r="U109" s="101">
        <f t="shared" si="24"/>
        <v>2021.2824107652905</v>
      </c>
      <c r="V109" s="59" t="e">
        <f t="shared" si="20"/>
        <v>#DIV/0!</v>
      </c>
      <c r="W109" s="68"/>
      <c r="X109" s="68"/>
      <c r="Y109" s="68"/>
      <c r="Z109" s="68"/>
      <c r="AA109" s="45"/>
      <c r="AY109" s="66"/>
      <c r="AZ109" s="66"/>
      <c r="BA109" s="66"/>
      <c r="BB109" s="22"/>
    </row>
    <row r="110" spans="2:54" x14ac:dyDescent="0.45">
      <c r="B110" s="45" t="s">
        <v>82</v>
      </c>
      <c r="C110" s="90"/>
      <c r="D110" s="56"/>
      <c r="E110" s="57"/>
      <c r="F110" s="58"/>
      <c r="G110" s="58"/>
      <c r="H110" s="58"/>
      <c r="I110" s="58"/>
      <c r="J110" s="58"/>
      <c r="K110" s="58"/>
      <c r="L110" s="59">
        <f t="shared" si="21"/>
        <v>0</v>
      </c>
      <c r="M110" s="68"/>
      <c r="N110" s="68"/>
      <c r="O110" s="68"/>
      <c r="P110" s="68"/>
      <c r="Q110" s="99" t="e">
        <f t="shared" si="22"/>
        <v>#DIV/0!</v>
      </c>
      <c r="R110" s="100">
        <f t="shared" si="23"/>
        <v>0.43387671059875982</v>
      </c>
      <c r="S110" s="83"/>
      <c r="T110" s="83"/>
      <c r="U110" s="101">
        <f t="shared" si="24"/>
        <v>2021.2824107652905</v>
      </c>
      <c r="V110" s="59" t="e">
        <f t="shared" si="20"/>
        <v>#DIV/0!</v>
      </c>
      <c r="W110" s="68"/>
      <c r="X110" s="68"/>
      <c r="Y110" s="68"/>
      <c r="Z110" s="68"/>
      <c r="AA110" s="45"/>
      <c r="AY110" s="66"/>
      <c r="AZ110" s="66"/>
      <c r="BA110" s="66"/>
      <c r="BB110" s="22"/>
    </row>
    <row r="111" spans="2:54" x14ac:dyDescent="0.45">
      <c r="B111" s="45" t="s">
        <v>83</v>
      </c>
      <c r="C111" s="90"/>
      <c r="D111" s="56"/>
      <c r="E111" s="57"/>
      <c r="F111" s="58"/>
      <c r="G111" s="58"/>
      <c r="H111" s="58"/>
      <c r="I111" s="58"/>
      <c r="J111" s="58"/>
      <c r="K111" s="58"/>
      <c r="L111" s="59">
        <f t="shared" si="21"/>
        <v>0</v>
      </c>
      <c r="M111" s="68"/>
      <c r="N111" s="68"/>
      <c r="O111" s="68"/>
      <c r="P111" s="68"/>
      <c r="Q111" s="99" t="e">
        <f t="shared" si="22"/>
        <v>#DIV/0!</v>
      </c>
      <c r="R111" s="100">
        <f t="shared" si="23"/>
        <v>0.43387671059875982</v>
      </c>
      <c r="S111" s="83"/>
      <c r="T111" s="83"/>
      <c r="U111" s="101">
        <f t="shared" si="24"/>
        <v>2021.2824107652905</v>
      </c>
      <c r="V111" s="59" t="e">
        <f t="shared" si="20"/>
        <v>#DIV/0!</v>
      </c>
      <c r="W111" s="68"/>
      <c r="X111" s="68"/>
      <c r="Y111" s="68"/>
      <c r="Z111" s="68"/>
      <c r="AA111" s="45"/>
      <c r="AY111" s="66"/>
      <c r="AZ111" s="66"/>
      <c r="BA111" s="66"/>
      <c r="BB111" s="22"/>
    </row>
    <row r="112" spans="2:54" x14ac:dyDescent="0.45">
      <c r="B112" s="45" t="s">
        <v>84</v>
      </c>
      <c r="C112" s="90"/>
      <c r="D112" s="56"/>
      <c r="E112" s="57"/>
      <c r="F112" s="58"/>
      <c r="G112" s="58"/>
      <c r="H112" s="58"/>
      <c r="I112" s="58"/>
      <c r="J112" s="58"/>
      <c r="K112" s="58"/>
      <c r="L112" s="59">
        <f t="shared" si="21"/>
        <v>0</v>
      </c>
      <c r="M112" s="68"/>
      <c r="N112" s="68"/>
      <c r="O112" s="68"/>
      <c r="P112" s="68"/>
      <c r="Q112" s="99" t="e">
        <f t="shared" si="22"/>
        <v>#DIV/0!</v>
      </c>
      <c r="R112" s="100">
        <f t="shared" si="23"/>
        <v>0.43387671059875982</v>
      </c>
      <c r="S112" s="83"/>
      <c r="T112" s="83"/>
      <c r="U112" s="101">
        <f t="shared" si="24"/>
        <v>2021.2824107652905</v>
      </c>
      <c r="V112" s="59" t="e">
        <f t="shared" si="20"/>
        <v>#DIV/0!</v>
      </c>
      <c r="W112" s="68"/>
      <c r="X112" s="68"/>
      <c r="Y112" s="68"/>
      <c r="Z112" s="68"/>
      <c r="AA112" s="45"/>
      <c r="AY112" s="66"/>
      <c r="AZ112" s="66"/>
      <c r="BA112" s="66"/>
      <c r="BB112" s="22"/>
    </row>
    <row r="113" spans="2:54" x14ac:dyDescent="0.45">
      <c r="B113" s="45" t="s">
        <v>85</v>
      </c>
      <c r="C113" s="90"/>
      <c r="D113" s="56"/>
      <c r="E113" s="57"/>
      <c r="F113" s="58"/>
      <c r="G113" s="58"/>
      <c r="H113" s="58"/>
      <c r="I113" s="58"/>
      <c r="J113" s="58"/>
      <c r="K113" s="58"/>
      <c r="L113" s="59">
        <f t="shared" si="21"/>
        <v>0</v>
      </c>
      <c r="M113" s="68"/>
      <c r="N113" s="68"/>
      <c r="O113" s="68"/>
      <c r="P113" s="68"/>
      <c r="Q113" s="99" t="e">
        <f t="shared" si="22"/>
        <v>#DIV/0!</v>
      </c>
      <c r="R113" s="100">
        <f t="shared" si="23"/>
        <v>0.43387671059875982</v>
      </c>
      <c r="S113" s="83"/>
      <c r="T113" s="83"/>
      <c r="U113" s="101">
        <f t="shared" si="24"/>
        <v>2021.2824107652905</v>
      </c>
      <c r="V113" s="59" t="e">
        <f t="shared" si="20"/>
        <v>#DIV/0!</v>
      </c>
      <c r="W113" s="68"/>
      <c r="X113" s="68"/>
      <c r="Y113" s="68"/>
      <c r="Z113" s="68"/>
      <c r="AA113" s="45"/>
      <c r="AY113" s="66"/>
      <c r="AZ113" s="66"/>
      <c r="BA113" s="66"/>
      <c r="BB113" s="22"/>
    </row>
    <row r="114" spans="2:54" ht="16" customHeight="1" x14ac:dyDescent="0.45">
      <c r="B114" s="45" t="s">
        <v>86</v>
      </c>
      <c r="C114" s="90"/>
      <c r="D114" s="56"/>
      <c r="E114" s="57"/>
      <c r="F114" s="58"/>
      <c r="G114" s="58"/>
      <c r="H114" s="58"/>
      <c r="I114" s="58"/>
      <c r="J114" s="58"/>
      <c r="K114" s="58"/>
      <c r="L114" s="59">
        <f t="shared" si="21"/>
        <v>0</v>
      </c>
      <c r="M114" s="68"/>
      <c r="N114" s="68"/>
      <c r="O114" s="68"/>
      <c r="P114" s="68"/>
      <c r="Q114" s="99" t="e">
        <f t="shared" si="22"/>
        <v>#DIV/0!</v>
      </c>
      <c r="R114" s="100">
        <f t="shared" si="23"/>
        <v>0.43387671059875982</v>
      </c>
      <c r="S114" s="83"/>
      <c r="T114" s="83"/>
      <c r="U114" s="101">
        <f t="shared" si="24"/>
        <v>2021.2824107652905</v>
      </c>
      <c r="V114" s="59" t="e">
        <f t="shared" si="20"/>
        <v>#DIV/0!</v>
      </c>
      <c r="W114" s="68"/>
      <c r="X114" s="68"/>
      <c r="Y114" s="68"/>
      <c r="Z114" s="68"/>
      <c r="AA114" s="45"/>
      <c r="AY114" s="66"/>
      <c r="AZ114" s="66"/>
      <c r="BA114" s="66"/>
      <c r="BB114" s="22"/>
    </row>
    <row r="115" spans="2:54" ht="16" customHeight="1" x14ac:dyDescent="0.45">
      <c r="B115" s="45" t="s">
        <v>87</v>
      </c>
      <c r="C115" s="90"/>
      <c r="D115" s="56"/>
      <c r="E115" s="57"/>
      <c r="F115" s="58"/>
      <c r="G115" s="58"/>
      <c r="H115" s="58"/>
      <c r="I115" s="58"/>
      <c r="J115" s="58"/>
      <c r="K115" s="58"/>
      <c r="L115" s="59">
        <f t="shared" si="21"/>
        <v>0</v>
      </c>
      <c r="M115" s="68"/>
      <c r="N115" s="68"/>
      <c r="O115" s="68"/>
      <c r="P115" s="68"/>
      <c r="Q115" s="99" t="e">
        <f t="shared" si="22"/>
        <v>#DIV/0!</v>
      </c>
      <c r="R115" s="100">
        <f t="shared" si="23"/>
        <v>0.43387671059875982</v>
      </c>
      <c r="S115" s="83"/>
      <c r="T115" s="83"/>
      <c r="U115" s="101">
        <f t="shared" si="24"/>
        <v>2021.2824107652905</v>
      </c>
      <c r="V115" s="59" t="e">
        <f t="shared" si="20"/>
        <v>#DIV/0!</v>
      </c>
      <c r="W115" s="68"/>
      <c r="X115" s="68"/>
      <c r="Y115" s="68"/>
      <c r="Z115" s="68"/>
      <c r="AA115" s="45"/>
      <c r="AY115" s="66"/>
      <c r="AZ115" s="66"/>
      <c r="BA115" s="66"/>
      <c r="BB115" s="22"/>
    </row>
    <row r="116" spans="2:54" ht="16" customHeight="1" x14ac:dyDescent="0.45">
      <c r="B116" s="45" t="s">
        <v>88</v>
      </c>
      <c r="C116" s="90"/>
      <c r="D116" s="56"/>
      <c r="E116" s="57"/>
      <c r="F116" s="58"/>
      <c r="G116" s="58"/>
      <c r="H116" s="58"/>
      <c r="I116" s="58"/>
      <c r="J116" s="58"/>
      <c r="K116" s="58"/>
      <c r="L116" s="59">
        <f t="shared" si="21"/>
        <v>0</v>
      </c>
      <c r="M116" s="68"/>
      <c r="N116" s="68"/>
      <c r="O116" s="68"/>
      <c r="P116" s="68"/>
      <c r="Q116" s="99" t="e">
        <f t="shared" si="22"/>
        <v>#DIV/0!</v>
      </c>
      <c r="R116" s="100">
        <f t="shared" si="23"/>
        <v>0.43387671059875982</v>
      </c>
      <c r="S116" s="83"/>
      <c r="T116" s="83"/>
      <c r="U116" s="101">
        <f t="shared" si="24"/>
        <v>2021.2824107652905</v>
      </c>
      <c r="V116" s="59" t="e">
        <f t="shared" si="20"/>
        <v>#DIV/0!</v>
      </c>
      <c r="W116" s="68"/>
      <c r="X116" s="68"/>
      <c r="Y116" s="68"/>
      <c r="Z116" s="68"/>
      <c r="AA116" s="45"/>
      <c r="AY116" s="66"/>
      <c r="AZ116" s="66"/>
      <c r="BA116" s="66"/>
      <c r="BB116" s="22"/>
    </row>
    <row r="117" spans="2:54" ht="16" customHeight="1" x14ac:dyDescent="0.45">
      <c r="B117" s="45" t="s">
        <v>89</v>
      </c>
      <c r="C117" s="90"/>
      <c r="D117" s="56"/>
      <c r="E117" s="57"/>
      <c r="F117" s="58"/>
      <c r="G117" s="58"/>
      <c r="H117" s="58"/>
      <c r="I117" s="58"/>
      <c r="J117" s="58"/>
      <c r="K117" s="58"/>
      <c r="L117" s="59">
        <f t="shared" si="21"/>
        <v>0</v>
      </c>
      <c r="M117" s="68"/>
      <c r="N117" s="68"/>
      <c r="O117" s="68"/>
      <c r="P117" s="68"/>
      <c r="Q117" s="99" t="e">
        <f t="shared" si="22"/>
        <v>#DIV/0!</v>
      </c>
      <c r="R117" s="100">
        <f t="shared" si="23"/>
        <v>0.43387671059875982</v>
      </c>
      <c r="S117" s="83"/>
      <c r="T117" s="83"/>
      <c r="U117" s="101">
        <f t="shared" si="24"/>
        <v>2021.2824107652905</v>
      </c>
      <c r="V117" s="59" t="e">
        <f t="shared" si="20"/>
        <v>#DIV/0!</v>
      </c>
      <c r="W117" s="68"/>
      <c r="X117" s="68"/>
      <c r="Y117" s="68"/>
      <c r="Z117" s="68"/>
      <c r="AA117" s="45"/>
      <c r="AY117" s="66"/>
      <c r="AZ117" s="66"/>
      <c r="BA117" s="66"/>
      <c r="BB117" s="22"/>
    </row>
    <row r="118" spans="2:54" x14ac:dyDescent="0.45">
      <c r="B118" s="45" t="s">
        <v>90</v>
      </c>
      <c r="C118" s="90"/>
      <c r="D118" s="56"/>
      <c r="E118" s="57"/>
      <c r="F118" s="58"/>
      <c r="G118" s="58"/>
      <c r="H118" s="58"/>
      <c r="I118" s="58"/>
      <c r="J118" s="58"/>
      <c r="K118" s="58"/>
      <c r="L118" s="59">
        <f t="shared" si="21"/>
        <v>0</v>
      </c>
      <c r="M118" s="68"/>
      <c r="N118" s="68"/>
      <c r="O118" s="68"/>
      <c r="P118" s="68"/>
      <c r="Q118" s="99" t="e">
        <f t="shared" si="22"/>
        <v>#DIV/0!</v>
      </c>
      <c r="R118" s="100">
        <f t="shared" si="23"/>
        <v>0.43387671059875982</v>
      </c>
      <c r="S118" s="83"/>
      <c r="T118" s="83"/>
      <c r="U118" s="101">
        <f t="shared" si="24"/>
        <v>2021.2824107652905</v>
      </c>
      <c r="V118" s="59" t="e">
        <f t="shared" si="20"/>
        <v>#DIV/0!</v>
      </c>
      <c r="W118" s="68"/>
      <c r="X118" s="68"/>
      <c r="Y118" s="68"/>
      <c r="Z118" s="68"/>
      <c r="AA118" s="45"/>
      <c r="AY118" s="66"/>
      <c r="AZ118" s="66"/>
      <c r="BA118" s="66"/>
      <c r="BB118" s="22"/>
    </row>
    <row r="119" spans="2:54" x14ac:dyDescent="0.45">
      <c r="B119" s="45" t="s">
        <v>91</v>
      </c>
      <c r="C119" s="90"/>
      <c r="D119" s="56"/>
      <c r="E119" s="57"/>
      <c r="F119" s="58"/>
      <c r="G119" s="58"/>
      <c r="H119" s="58"/>
      <c r="I119" s="58"/>
      <c r="J119" s="58"/>
      <c r="K119" s="58"/>
      <c r="L119" s="59">
        <f t="shared" si="21"/>
        <v>0</v>
      </c>
      <c r="M119" s="68"/>
      <c r="N119" s="68"/>
      <c r="O119" s="68"/>
      <c r="P119" s="68"/>
      <c r="Q119" s="99" t="e">
        <f t="shared" si="22"/>
        <v>#DIV/0!</v>
      </c>
      <c r="R119" s="100">
        <f t="shared" si="23"/>
        <v>0.43387671059875982</v>
      </c>
      <c r="S119" s="83"/>
      <c r="T119" s="83"/>
      <c r="U119" s="101">
        <f t="shared" si="24"/>
        <v>2021.2824107652905</v>
      </c>
      <c r="V119" s="59" t="e">
        <f t="shared" si="20"/>
        <v>#DIV/0!</v>
      </c>
      <c r="W119" s="68"/>
      <c r="X119" s="68"/>
      <c r="Y119" s="68"/>
      <c r="Z119" s="68"/>
      <c r="AA119" s="45"/>
      <c r="AY119" s="66"/>
      <c r="AZ119" s="66"/>
      <c r="BA119" s="66"/>
      <c r="BB119" s="22"/>
    </row>
    <row r="120" spans="2:54" x14ac:dyDescent="0.45">
      <c r="B120" s="45" t="s">
        <v>92</v>
      </c>
      <c r="C120" s="90"/>
      <c r="D120" s="56"/>
      <c r="E120" s="80"/>
      <c r="F120" s="58"/>
      <c r="G120" s="58"/>
      <c r="H120" s="58"/>
      <c r="I120" s="58"/>
      <c r="J120" s="58"/>
      <c r="K120" s="58"/>
      <c r="L120" s="59">
        <f t="shared" si="21"/>
        <v>0</v>
      </c>
      <c r="M120" s="68"/>
      <c r="N120" s="68"/>
      <c r="O120" s="68"/>
      <c r="P120" s="68"/>
      <c r="Q120" s="99" t="e">
        <f t="shared" si="22"/>
        <v>#DIV/0!</v>
      </c>
      <c r="R120" s="100">
        <f t="shared" si="23"/>
        <v>0.43387671059875982</v>
      </c>
      <c r="S120" s="83"/>
      <c r="T120" s="83"/>
      <c r="U120" s="101">
        <f t="shared" si="24"/>
        <v>2021.2824107652905</v>
      </c>
      <c r="V120" s="59" t="e">
        <f t="shared" si="20"/>
        <v>#DIV/0!</v>
      </c>
      <c r="W120" s="68"/>
      <c r="X120" s="68"/>
      <c r="Y120" s="68"/>
      <c r="Z120" s="68"/>
      <c r="AA120" s="45"/>
      <c r="AY120" s="66"/>
      <c r="AZ120" s="66"/>
      <c r="BA120" s="66"/>
      <c r="BB120" s="22"/>
    </row>
    <row r="121" spans="2:54" x14ac:dyDescent="0.45">
      <c r="B121" s="45" t="s">
        <v>93</v>
      </c>
      <c r="C121" s="90"/>
      <c r="D121" s="56"/>
      <c r="E121" s="57"/>
      <c r="F121" s="58"/>
      <c r="G121" s="58"/>
      <c r="H121" s="58"/>
      <c r="I121" s="58"/>
      <c r="J121" s="58"/>
      <c r="K121" s="58"/>
      <c r="L121" s="59">
        <f t="shared" si="21"/>
        <v>0</v>
      </c>
      <c r="M121" s="68"/>
      <c r="N121" s="68"/>
      <c r="O121" s="68"/>
      <c r="P121" s="68"/>
      <c r="Q121" s="99" t="e">
        <f t="shared" si="22"/>
        <v>#DIV/0!</v>
      </c>
      <c r="R121" s="100">
        <f t="shared" si="23"/>
        <v>0.43387671059875982</v>
      </c>
      <c r="S121" s="83"/>
      <c r="T121" s="83"/>
      <c r="U121" s="101">
        <f t="shared" si="24"/>
        <v>2021.2824107652905</v>
      </c>
      <c r="V121" s="59" t="e">
        <f t="shared" si="20"/>
        <v>#DIV/0!</v>
      </c>
      <c r="W121" s="68"/>
      <c r="X121" s="68"/>
      <c r="Y121" s="68"/>
      <c r="Z121" s="68"/>
      <c r="AA121" s="45"/>
      <c r="AY121" s="66"/>
      <c r="AZ121" s="66"/>
      <c r="BA121" s="66"/>
      <c r="BB121" s="22"/>
    </row>
    <row r="122" spans="2:54" x14ac:dyDescent="0.45">
      <c r="B122" s="45" t="s">
        <v>94</v>
      </c>
      <c r="C122" s="90"/>
      <c r="D122" s="56"/>
      <c r="E122" s="84"/>
      <c r="F122" s="58"/>
      <c r="G122" s="58"/>
      <c r="H122" s="58"/>
      <c r="I122" s="58"/>
      <c r="J122" s="58"/>
      <c r="K122" s="58"/>
      <c r="L122" s="59">
        <f t="shared" si="21"/>
        <v>0</v>
      </c>
      <c r="M122" s="68"/>
      <c r="N122" s="68"/>
      <c r="O122" s="68"/>
      <c r="P122" s="68"/>
      <c r="Q122" s="99" t="e">
        <f t="shared" si="22"/>
        <v>#DIV/0!</v>
      </c>
      <c r="R122" s="100">
        <f t="shared" si="23"/>
        <v>0.43387671059875982</v>
      </c>
      <c r="S122" s="83"/>
      <c r="T122" s="83"/>
      <c r="U122" s="101">
        <f t="shared" si="24"/>
        <v>2021.2824107652905</v>
      </c>
      <c r="V122" s="59" t="e">
        <f t="shared" si="20"/>
        <v>#DIV/0!</v>
      </c>
      <c r="W122" s="68"/>
      <c r="X122" s="68"/>
      <c r="Y122" s="68"/>
      <c r="Z122" s="68"/>
      <c r="AA122" s="45"/>
      <c r="AY122" s="66"/>
      <c r="AZ122" s="66"/>
      <c r="BA122" s="66"/>
      <c r="BB122" s="22"/>
    </row>
    <row r="123" spans="2:54" x14ac:dyDescent="0.45">
      <c r="B123" s="45" t="s">
        <v>95</v>
      </c>
      <c r="C123" s="90"/>
      <c r="D123" s="56"/>
      <c r="E123" s="84"/>
      <c r="F123" s="58"/>
      <c r="G123" s="58"/>
      <c r="H123" s="58"/>
      <c r="I123" s="58"/>
      <c r="J123" s="58"/>
      <c r="K123" s="58"/>
      <c r="L123" s="59">
        <f t="shared" si="21"/>
        <v>0</v>
      </c>
      <c r="M123" s="68"/>
      <c r="N123" s="68"/>
      <c r="O123" s="68"/>
      <c r="P123" s="68"/>
      <c r="Q123" s="99" t="e">
        <f t="shared" si="22"/>
        <v>#DIV/0!</v>
      </c>
      <c r="R123" s="100">
        <f t="shared" si="23"/>
        <v>0.43387671059875982</v>
      </c>
      <c r="S123" s="83"/>
      <c r="T123" s="83"/>
      <c r="U123" s="101">
        <f t="shared" si="24"/>
        <v>2021.2824107652905</v>
      </c>
      <c r="V123" s="59" t="e">
        <f t="shared" si="20"/>
        <v>#DIV/0!</v>
      </c>
      <c r="W123" s="68"/>
      <c r="X123" s="68"/>
      <c r="Y123" s="68"/>
      <c r="Z123" s="68"/>
      <c r="AA123" s="45"/>
      <c r="AY123" s="66"/>
      <c r="AZ123" s="66"/>
      <c r="BA123" s="66"/>
      <c r="BB123" s="22"/>
    </row>
    <row r="124" spans="2:54" x14ac:dyDescent="0.45">
      <c r="B124" s="45" t="s">
        <v>96</v>
      </c>
      <c r="C124" s="90"/>
      <c r="D124" s="56"/>
      <c r="E124" s="57"/>
      <c r="F124" s="58"/>
      <c r="G124" s="58"/>
      <c r="H124" s="58"/>
      <c r="I124" s="58"/>
      <c r="J124" s="58"/>
      <c r="K124" s="58"/>
      <c r="L124" s="59">
        <f t="shared" si="21"/>
        <v>0</v>
      </c>
      <c r="M124" s="68"/>
      <c r="N124" s="68"/>
      <c r="O124" s="68"/>
      <c r="P124" s="68"/>
      <c r="Q124" s="99" t="e">
        <f t="shared" si="22"/>
        <v>#DIV/0!</v>
      </c>
      <c r="R124" s="100">
        <f t="shared" si="23"/>
        <v>0.43387671059875982</v>
      </c>
      <c r="S124" s="83"/>
      <c r="T124" s="83"/>
      <c r="U124" s="101">
        <f t="shared" si="24"/>
        <v>2021.2824107652905</v>
      </c>
      <c r="V124" s="59" t="e">
        <f t="shared" si="20"/>
        <v>#DIV/0!</v>
      </c>
      <c r="W124" s="68"/>
      <c r="X124" s="68"/>
      <c r="Y124" s="68"/>
      <c r="Z124" s="68"/>
      <c r="AA124" s="45"/>
      <c r="AY124" s="66"/>
      <c r="AZ124" s="66"/>
      <c r="BA124" s="66"/>
      <c r="BB124" s="22"/>
    </row>
    <row r="125" spans="2:54" x14ac:dyDescent="0.45">
      <c r="B125" s="45" t="s">
        <v>97</v>
      </c>
      <c r="C125" s="90"/>
      <c r="D125" s="56"/>
      <c r="E125" s="57"/>
      <c r="F125" s="68"/>
      <c r="G125" s="68"/>
      <c r="H125" s="68"/>
      <c r="I125" s="68"/>
      <c r="J125" s="68"/>
      <c r="K125" s="68"/>
      <c r="L125" s="59">
        <f t="shared" si="21"/>
        <v>0</v>
      </c>
      <c r="M125" s="68"/>
      <c r="N125" s="68"/>
      <c r="O125" s="68"/>
      <c r="P125" s="68"/>
      <c r="Q125" s="99" t="e">
        <f t="shared" si="22"/>
        <v>#DIV/0!</v>
      </c>
      <c r="R125" s="100">
        <f t="shared" si="23"/>
        <v>0.43387671059875982</v>
      </c>
      <c r="S125" s="83"/>
      <c r="T125" s="83"/>
      <c r="U125" s="101">
        <f t="shared" si="24"/>
        <v>2021.2824107652905</v>
      </c>
      <c r="V125" s="59" t="e">
        <f t="shared" si="20"/>
        <v>#DIV/0!</v>
      </c>
      <c r="W125" s="68"/>
      <c r="X125" s="68"/>
      <c r="Y125" s="68"/>
      <c r="Z125" s="68"/>
      <c r="AA125" s="45"/>
      <c r="AY125" s="66"/>
      <c r="AZ125" s="66"/>
      <c r="BA125" s="66"/>
      <c r="BB125" s="22"/>
    </row>
    <row r="126" spans="2:54" ht="16" customHeight="1" x14ac:dyDescent="0.45">
      <c r="B126" s="45" t="s">
        <v>98</v>
      </c>
      <c r="C126" s="90"/>
      <c r="D126" s="56"/>
      <c r="E126" s="80"/>
      <c r="F126" s="58"/>
      <c r="G126" s="58"/>
      <c r="H126" s="58"/>
      <c r="I126" s="58"/>
      <c r="J126" s="58"/>
      <c r="K126" s="58"/>
      <c r="L126" s="59">
        <f t="shared" si="21"/>
        <v>0</v>
      </c>
      <c r="M126" s="68"/>
      <c r="N126" s="68"/>
      <c r="O126" s="68"/>
      <c r="P126" s="68"/>
      <c r="Q126" s="99" t="e">
        <f t="shared" si="22"/>
        <v>#DIV/0!</v>
      </c>
      <c r="R126" s="100">
        <f t="shared" si="23"/>
        <v>0.43387671059875982</v>
      </c>
      <c r="S126" s="83"/>
      <c r="T126" s="83"/>
      <c r="U126" s="101">
        <f t="shared" si="24"/>
        <v>2021.2824107652905</v>
      </c>
      <c r="V126" s="59" t="e">
        <f t="shared" si="20"/>
        <v>#DIV/0!</v>
      </c>
      <c r="W126" s="68"/>
      <c r="X126" s="68"/>
      <c r="Y126" s="68"/>
      <c r="Z126" s="68"/>
      <c r="AA126" s="45"/>
      <c r="AY126" s="66"/>
      <c r="AZ126" s="66"/>
      <c r="BA126" s="66"/>
      <c r="BB126" s="22"/>
    </row>
    <row r="127" spans="2:54" ht="16" customHeight="1" x14ac:dyDescent="0.45">
      <c r="B127" s="45" t="s">
        <v>99</v>
      </c>
      <c r="C127" s="90"/>
      <c r="D127" s="56"/>
      <c r="E127" s="84"/>
      <c r="F127" s="68"/>
      <c r="G127" s="68"/>
      <c r="H127" s="68"/>
      <c r="I127" s="68"/>
      <c r="J127" s="68"/>
      <c r="K127" s="68"/>
      <c r="L127" s="59">
        <f t="shared" si="21"/>
        <v>0</v>
      </c>
      <c r="M127" s="68"/>
      <c r="N127" s="68"/>
      <c r="O127" s="68"/>
      <c r="P127" s="68"/>
      <c r="Q127" s="99" t="e">
        <f t="shared" si="22"/>
        <v>#DIV/0!</v>
      </c>
      <c r="R127" s="100">
        <f t="shared" si="23"/>
        <v>0.43387671059875982</v>
      </c>
      <c r="S127" s="83"/>
      <c r="T127" s="83"/>
      <c r="U127" s="101">
        <f t="shared" si="24"/>
        <v>2021.2824107652905</v>
      </c>
      <c r="V127" s="59" t="e">
        <f t="shared" si="20"/>
        <v>#DIV/0!</v>
      </c>
      <c r="W127" s="68"/>
      <c r="X127" s="68"/>
      <c r="Y127" s="68"/>
      <c r="Z127" s="68"/>
      <c r="AA127" s="45"/>
      <c r="AY127" s="66"/>
      <c r="AZ127" s="66"/>
      <c r="BA127" s="66"/>
      <c r="BB127" s="22"/>
    </row>
    <row r="128" spans="2:54" ht="16" customHeight="1" x14ac:dyDescent="0.45">
      <c r="B128" s="45" t="s">
        <v>100</v>
      </c>
      <c r="C128" s="90"/>
      <c r="D128" s="56"/>
      <c r="E128" s="84"/>
      <c r="F128" s="58"/>
      <c r="G128" s="58"/>
      <c r="H128" s="58"/>
      <c r="I128" s="58"/>
      <c r="J128" s="58"/>
      <c r="K128" s="58"/>
      <c r="L128" s="59">
        <f t="shared" si="21"/>
        <v>0</v>
      </c>
      <c r="M128" s="68"/>
      <c r="N128" s="68"/>
      <c r="O128" s="68"/>
      <c r="P128" s="68"/>
      <c r="Q128" s="99" t="e">
        <f t="shared" si="22"/>
        <v>#DIV/0!</v>
      </c>
      <c r="R128" s="100">
        <f t="shared" si="23"/>
        <v>0.43387671059875982</v>
      </c>
      <c r="S128" s="83"/>
      <c r="T128" s="83"/>
      <c r="U128" s="101">
        <f t="shared" si="24"/>
        <v>2021.2824107652905</v>
      </c>
      <c r="V128" s="59" t="e">
        <f t="shared" si="20"/>
        <v>#DIV/0!</v>
      </c>
      <c r="W128" s="68"/>
      <c r="X128" s="68"/>
      <c r="Y128" s="68"/>
      <c r="Z128" s="68"/>
      <c r="AA128" s="45"/>
      <c r="AY128" s="66"/>
      <c r="AZ128" s="66"/>
      <c r="BA128" s="66"/>
      <c r="BB128" s="22"/>
    </row>
    <row r="129" spans="2:54" ht="16" customHeight="1" x14ac:dyDescent="0.45">
      <c r="B129" s="45" t="s">
        <v>101</v>
      </c>
      <c r="C129" s="90"/>
      <c r="D129" s="56"/>
      <c r="E129" s="80"/>
      <c r="F129" s="58"/>
      <c r="G129" s="58"/>
      <c r="H129" s="58"/>
      <c r="I129" s="58"/>
      <c r="J129" s="58"/>
      <c r="K129" s="58"/>
      <c r="L129" s="59">
        <f t="shared" si="21"/>
        <v>0</v>
      </c>
      <c r="M129" s="68"/>
      <c r="N129" s="68"/>
      <c r="O129" s="68"/>
      <c r="P129" s="68"/>
      <c r="Q129" s="99" t="e">
        <f t="shared" si="22"/>
        <v>#DIV/0!</v>
      </c>
      <c r="R129" s="100">
        <f t="shared" si="23"/>
        <v>0.43387671059875982</v>
      </c>
      <c r="S129" s="83"/>
      <c r="T129" s="83"/>
      <c r="U129" s="101">
        <f t="shared" si="24"/>
        <v>2021.2824107652905</v>
      </c>
      <c r="V129" s="59" t="e">
        <f t="shared" si="20"/>
        <v>#DIV/0!</v>
      </c>
      <c r="W129" s="68"/>
      <c r="X129" s="68"/>
      <c r="Y129" s="68"/>
      <c r="Z129" s="68"/>
      <c r="AA129" s="45"/>
      <c r="AY129" s="66"/>
      <c r="AZ129" s="66"/>
      <c r="BA129" s="66"/>
      <c r="BB129" s="22"/>
    </row>
    <row r="130" spans="2:54" x14ac:dyDescent="0.45">
      <c r="B130" s="45" t="s">
        <v>102</v>
      </c>
      <c r="C130" s="90"/>
      <c r="D130" s="56"/>
      <c r="E130" s="84"/>
      <c r="F130" s="58"/>
      <c r="G130" s="58"/>
      <c r="H130" s="58"/>
      <c r="I130" s="58"/>
      <c r="J130" s="58"/>
      <c r="K130" s="58"/>
      <c r="L130" s="59">
        <f t="shared" si="21"/>
        <v>0</v>
      </c>
      <c r="M130" s="68"/>
      <c r="N130" s="68"/>
      <c r="O130" s="68"/>
      <c r="P130" s="68"/>
      <c r="Q130" s="99" t="e">
        <f t="shared" si="22"/>
        <v>#DIV/0!</v>
      </c>
      <c r="R130" s="100">
        <f t="shared" si="23"/>
        <v>0.43387671059875982</v>
      </c>
      <c r="S130" s="83"/>
      <c r="T130" s="83"/>
      <c r="U130" s="101">
        <f t="shared" si="24"/>
        <v>2021.2824107652905</v>
      </c>
      <c r="V130" s="59" t="e">
        <f t="shared" si="20"/>
        <v>#DIV/0!</v>
      </c>
      <c r="W130" s="68"/>
      <c r="X130" s="68"/>
      <c r="Y130" s="68"/>
      <c r="Z130" s="68"/>
      <c r="AA130" s="45"/>
      <c r="AY130" s="66"/>
      <c r="AZ130" s="66"/>
      <c r="BA130" s="66"/>
      <c r="BB130" s="22"/>
    </row>
    <row r="131" spans="2:54" x14ac:dyDescent="0.45">
      <c r="B131" s="45" t="s">
        <v>103</v>
      </c>
      <c r="C131" s="90"/>
      <c r="D131" s="56"/>
      <c r="E131" s="84"/>
      <c r="F131" s="58"/>
      <c r="G131" s="58"/>
      <c r="H131" s="58"/>
      <c r="I131" s="58"/>
      <c r="J131" s="58"/>
      <c r="K131" s="58"/>
      <c r="L131" s="59">
        <f t="shared" si="21"/>
        <v>0</v>
      </c>
      <c r="M131" s="68"/>
      <c r="N131" s="68"/>
      <c r="O131" s="68"/>
      <c r="P131" s="68"/>
      <c r="Q131" s="99" t="e">
        <f t="shared" si="22"/>
        <v>#DIV/0!</v>
      </c>
      <c r="R131" s="100">
        <f t="shared" si="23"/>
        <v>0.43387671059875982</v>
      </c>
      <c r="S131" s="83"/>
      <c r="T131" s="83"/>
      <c r="U131" s="101">
        <f t="shared" si="24"/>
        <v>2021.2824107652905</v>
      </c>
      <c r="V131" s="59" t="e">
        <f t="shared" si="20"/>
        <v>#DIV/0!</v>
      </c>
      <c r="W131" s="68"/>
      <c r="X131" s="68"/>
      <c r="Y131" s="68"/>
      <c r="Z131" s="68"/>
      <c r="AA131" s="45"/>
      <c r="AY131" s="66"/>
      <c r="AZ131" s="66"/>
      <c r="BA131" s="66"/>
      <c r="BB131" s="22"/>
    </row>
    <row r="132" spans="2:54" x14ac:dyDescent="0.45">
      <c r="B132" s="45" t="s">
        <v>104</v>
      </c>
      <c r="C132" s="90"/>
      <c r="D132" s="56"/>
      <c r="E132" s="80"/>
      <c r="F132" s="58"/>
      <c r="G132" s="58"/>
      <c r="H132" s="58"/>
      <c r="I132" s="58"/>
      <c r="J132" s="58"/>
      <c r="K132" s="58"/>
      <c r="L132" s="59">
        <f t="shared" si="21"/>
        <v>0</v>
      </c>
      <c r="M132" s="68"/>
      <c r="N132" s="68"/>
      <c r="O132" s="68"/>
      <c r="P132" s="68"/>
      <c r="Q132" s="99" t="e">
        <f t="shared" si="22"/>
        <v>#DIV/0!</v>
      </c>
      <c r="R132" s="100">
        <f t="shared" si="23"/>
        <v>0.43387671059875982</v>
      </c>
      <c r="S132" s="83"/>
      <c r="T132" s="83"/>
      <c r="U132" s="101">
        <f t="shared" si="24"/>
        <v>2021.2824107652905</v>
      </c>
      <c r="V132" s="59" t="e">
        <f t="shared" si="20"/>
        <v>#DIV/0!</v>
      </c>
      <c r="W132" s="68"/>
      <c r="X132" s="68"/>
      <c r="Y132" s="68"/>
      <c r="Z132" s="68"/>
      <c r="AA132" s="45"/>
      <c r="AY132" s="66"/>
      <c r="AZ132" s="66"/>
      <c r="BA132" s="66"/>
      <c r="BB132" s="22"/>
    </row>
    <row r="133" spans="2:54" x14ac:dyDescent="0.45">
      <c r="B133" s="45" t="s">
        <v>105</v>
      </c>
      <c r="C133" s="90"/>
      <c r="D133" s="56"/>
      <c r="E133" s="57"/>
      <c r="F133" s="58"/>
      <c r="G133" s="58"/>
      <c r="H133" s="58"/>
      <c r="I133" s="58"/>
      <c r="J133" s="58"/>
      <c r="K133" s="58"/>
      <c r="L133" s="59">
        <f t="shared" si="21"/>
        <v>0</v>
      </c>
      <c r="M133" s="68"/>
      <c r="N133" s="68"/>
      <c r="O133" s="68"/>
      <c r="P133" s="68"/>
      <c r="Q133" s="99" t="e">
        <f t="shared" si="22"/>
        <v>#DIV/0!</v>
      </c>
      <c r="R133" s="100">
        <f t="shared" si="23"/>
        <v>0.43387671059875982</v>
      </c>
      <c r="S133" s="83"/>
      <c r="T133" s="83"/>
      <c r="U133" s="101">
        <f t="shared" si="24"/>
        <v>2021.2824107652905</v>
      </c>
      <c r="V133" s="59" t="e">
        <f t="shared" si="20"/>
        <v>#DIV/0!</v>
      </c>
      <c r="W133" s="68"/>
      <c r="X133" s="68"/>
      <c r="Y133" s="68"/>
      <c r="Z133" s="68"/>
      <c r="AA133" s="45"/>
      <c r="AY133" s="66"/>
      <c r="AZ133" s="66"/>
      <c r="BA133" s="66"/>
      <c r="BB133" s="22"/>
    </row>
    <row r="134" spans="2:54" x14ac:dyDescent="0.45">
      <c r="B134" s="45" t="s">
        <v>106</v>
      </c>
      <c r="C134" s="90"/>
      <c r="D134" s="56"/>
      <c r="E134" s="80"/>
      <c r="F134" s="58"/>
      <c r="G134" s="58"/>
      <c r="H134" s="58"/>
      <c r="I134" s="58"/>
      <c r="J134" s="58"/>
      <c r="K134" s="58"/>
      <c r="L134" s="59">
        <f t="shared" si="21"/>
        <v>0</v>
      </c>
      <c r="M134" s="68"/>
      <c r="N134" s="68"/>
      <c r="O134" s="68"/>
      <c r="P134" s="68"/>
      <c r="Q134" s="99" t="e">
        <f t="shared" si="22"/>
        <v>#DIV/0!</v>
      </c>
      <c r="R134" s="100">
        <f t="shared" si="23"/>
        <v>0.43387671059875982</v>
      </c>
      <c r="S134" s="83"/>
      <c r="T134" s="83"/>
      <c r="U134" s="101">
        <f t="shared" si="24"/>
        <v>2021.2824107652905</v>
      </c>
      <c r="V134" s="59" t="e">
        <f t="shared" si="20"/>
        <v>#DIV/0!</v>
      </c>
      <c r="W134" s="68"/>
      <c r="X134" s="68"/>
      <c r="Y134" s="68"/>
      <c r="Z134" s="68"/>
      <c r="AA134" s="45"/>
      <c r="AY134" s="66"/>
      <c r="AZ134" s="66"/>
      <c r="BA134" s="66"/>
      <c r="BB134" s="22"/>
    </row>
    <row r="135" spans="2:54" x14ac:dyDescent="0.45">
      <c r="B135" s="45" t="s">
        <v>107</v>
      </c>
      <c r="C135" s="90"/>
      <c r="D135" s="56"/>
      <c r="E135" s="84"/>
      <c r="F135" s="58"/>
      <c r="G135" s="58"/>
      <c r="H135" s="58"/>
      <c r="I135" s="58"/>
      <c r="J135" s="58"/>
      <c r="K135" s="58"/>
      <c r="L135" s="59">
        <f t="shared" si="21"/>
        <v>0</v>
      </c>
      <c r="M135" s="68"/>
      <c r="N135" s="68"/>
      <c r="O135" s="68"/>
      <c r="P135" s="68"/>
      <c r="Q135" s="99" t="e">
        <f t="shared" si="22"/>
        <v>#DIV/0!</v>
      </c>
      <c r="R135" s="100">
        <f t="shared" si="23"/>
        <v>0.43387671059875982</v>
      </c>
      <c r="S135" s="83"/>
      <c r="T135" s="83"/>
      <c r="U135" s="101">
        <f t="shared" si="24"/>
        <v>2021.2824107652905</v>
      </c>
      <c r="V135" s="59" t="e">
        <f t="shared" si="20"/>
        <v>#DIV/0!</v>
      </c>
      <c r="W135" s="68"/>
      <c r="X135" s="68"/>
      <c r="Y135" s="68"/>
      <c r="Z135" s="68"/>
      <c r="AA135" s="45"/>
      <c r="AY135" s="66"/>
      <c r="AZ135" s="66"/>
      <c r="BA135" s="66"/>
      <c r="BB135" s="22"/>
    </row>
    <row r="136" spans="2:54" x14ac:dyDescent="0.45">
      <c r="B136" s="45" t="s">
        <v>108</v>
      </c>
      <c r="C136" s="90"/>
      <c r="D136" s="56"/>
      <c r="E136" s="80"/>
      <c r="F136" s="58"/>
      <c r="G136" s="58"/>
      <c r="H136" s="58"/>
      <c r="I136" s="58"/>
      <c r="J136" s="58"/>
      <c r="K136" s="58"/>
      <c r="L136" s="59">
        <f t="shared" si="21"/>
        <v>0</v>
      </c>
      <c r="M136" s="68"/>
      <c r="N136" s="68"/>
      <c r="O136" s="68"/>
      <c r="P136" s="68"/>
      <c r="Q136" s="99" t="e">
        <f t="shared" si="22"/>
        <v>#DIV/0!</v>
      </c>
      <c r="R136" s="100">
        <f t="shared" si="23"/>
        <v>0.43387671059875982</v>
      </c>
      <c r="S136" s="83"/>
      <c r="T136" s="83"/>
      <c r="U136" s="101">
        <f t="shared" si="24"/>
        <v>2021.2824107652905</v>
      </c>
      <c r="V136" s="59" t="e">
        <f t="shared" si="20"/>
        <v>#DIV/0!</v>
      </c>
      <c r="W136" s="68"/>
      <c r="X136" s="68"/>
      <c r="Y136" s="68"/>
      <c r="Z136" s="68"/>
      <c r="AA136" s="45"/>
      <c r="AY136" s="66"/>
      <c r="AZ136" s="66"/>
      <c r="BA136" s="66"/>
      <c r="BB136" s="22"/>
    </row>
    <row r="137" spans="2:54" x14ac:dyDescent="0.45">
      <c r="B137" s="45" t="s">
        <v>109</v>
      </c>
      <c r="C137" s="90"/>
      <c r="D137" s="56"/>
      <c r="E137" s="57"/>
      <c r="F137" s="58"/>
      <c r="G137" s="58"/>
      <c r="H137" s="58"/>
      <c r="I137" s="58"/>
      <c r="J137" s="58"/>
      <c r="K137" s="58"/>
      <c r="L137" s="59">
        <f t="shared" si="21"/>
        <v>0</v>
      </c>
      <c r="M137" s="68"/>
      <c r="N137" s="68"/>
      <c r="O137" s="68"/>
      <c r="P137" s="68"/>
      <c r="Q137" s="99" t="e">
        <f t="shared" si="22"/>
        <v>#DIV/0!</v>
      </c>
      <c r="R137" s="100">
        <f t="shared" si="23"/>
        <v>0.43387671059875982</v>
      </c>
      <c r="S137" s="83"/>
      <c r="T137" s="83"/>
      <c r="U137" s="101">
        <f t="shared" si="24"/>
        <v>2021.2824107652905</v>
      </c>
      <c r="V137" s="59" t="e">
        <f t="shared" si="20"/>
        <v>#DIV/0!</v>
      </c>
      <c r="W137" s="68"/>
      <c r="X137" s="68"/>
      <c r="Y137" s="68"/>
      <c r="Z137" s="68"/>
      <c r="AA137" s="45"/>
      <c r="AY137" s="66"/>
      <c r="AZ137" s="66"/>
      <c r="BA137" s="66"/>
      <c r="BB137" s="22"/>
    </row>
    <row r="138" spans="2:54" x14ac:dyDescent="0.45">
      <c r="B138" s="45" t="s">
        <v>110</v>
      </c>
      <c r="C138" s="90"/>
      <c r="D138" s="56"/>
      <c r="E138" s="84"/>
      <c r="F138" s="58"/>
      <c r="G138" s="58"/>
      <c r="H138" s="58"/>
      <c r="I138" s="58"/>
      <c r="J138" s="58"/>
      <c r="K138" s="58"/>
      <c r="L138" s="59">
        <f t="shared" si="21"/>
        <v>0</v>
      </c>
      <c r="M138" s="68"/>
      <c r="N138" s="68"/>
      <c r="O138" s="68"/>
      <c r="P138" s="68"/>
      <c r="Q138" s="99" t="e">
        <f t="shared" si="22"/>
        <v>#DIV/0!</v>
      </c>
      <c r="R138" s="100">
        <f t="shared" si="23"/>
        <v>0.43387671059875982</v>
      </c>
      <c r="S138" s="83"/>
      <c r="T138" s="83"/>
      <c r="U138" s="101">
        <f t="shared" si="24"/>
        <v>2021.2824107652905</v>
      </c>
      <c r="V138" s="59" t="e">
        <f t="shared" si="20"/>
        <v>#DIV/0!</v>
      </c>
      <c r="W138" s="68"/>
      <c r="X138" s="68"/>
      <c r="Y138" s="68"/>
      <c r="Z138" s="68"/>
      <c r="AA138" s="45"/>
      <c r="AY138" s="66"/>
      <c r="AZ138" s="66"/>
      <c r="BA138" s="66"/>
      <c r="BB138" s="22"/>
    </row>
    <row r="139" spans="2:54" x14ac:dyDescent="0.45">
      <c r="B139" s="45" t="s">
        <v>111</v>
      </c>
      <c r="C139" s="90"/>
      <c r="D139" s="56"/>
      <c r="E139" s="84"/>
      <c r="F139" s="58"/>
      <c r="G139" s="58"/>
      <c r="H139" s="58"/>
      <c r="I139" s="58"/>
      <c r="J139" s="58"/>
      <c r="K139" s="58"/>
      <c r="L139" s="59">
        <f t="shared" si="21"/>
        <v>0</v>
      </c>
      <c r="M139" s="68"/>
      <c r="N139" s="68"/>
      <c r="O139" s="68"/>
      <c r="P139" s="68"/>
      <c r="Q139" s="99" t="e">
        <f t="shared" si="22"/>
        <v>#DIV/0!</v>
      </c>
      <c r="R139" s="100">
        <f t="shared" si="23"/>
        <v>0.43387671059875982</v>
      </c>
      <c r="S139" s="83"/>
      <c r="T139" s="83"/>
      <c r="U139" s="101">
        <f t="shared" si="24"/>
        <v>2021.2824107652905</v>
      </c>
      <c r="V139" s="59" t="e">
        <f t="shared" si="20"/>
        <v>#DIV/0!</v>
      </c>
      <c r="W139" s="68"/>
      <c r="X139" s="68"/>
      <c r="Y139" s="68"/>
      <c r="Z139" s="68"/>
      <c r="AA139" s="45"/>
      <c r="AY139" s="66"/>
      <c r="AZ139" s="66"/>
      <c r="BA139" s="66"/>
      <c r="BB139" s="22"/>
    </row>
    <row r="140" spans="2:54" x14ac:dyDescent="0.45">
      <c r="B140" s="45" t="s">
        <v>112</v>
      </c>
      <c r="C140" s="90"/>
      <c r="D140" s="56"/>
      <c r="E140" s="57"/>
      <c r="F140" s="58"/>
      <c r="G140" s="58"/>
      <c r="H140" s="58"/>
      <c r="I140" s="58"/>
      <c r="J140" s="58"/>
      <c r="K140" s="58"/>
      <c r="L140" s="59">
        <f t="shared" si="21"/>
        <v>0</v>
      </c>
      <c r="M140" s="68"/>
      <c r="N140" s="68"/>
      <c r="O140" s="68"/>
      <c r="P140" s="68"/>
      <c r="Q140" s="99" t="e">
        <f t="shared" si="22"/>
        <v>#DIV/0!</v>
      </c>
      <c r="R140" s="100">
        <f t="shared" si="23"/>
        <v>0.43387671059875982</v>
      </c>
      <c r="S140" s="83"/>
      <c r="T140" s="83"/>
      <c r="U140" s="101">
        <f t="shared" si="24"/>
        <v>2021.2824107652905</v>
      </c>
      <c r="V140" s="59" t="e">
        <f t="shared" si="20"/>
        <v>#DIV/0!</v>
      </c>
      <c r="W140" s="68"/>
      <c r="X140" s="68"/>
      <c r="Y140" s="68"/>
      <c r="Z140" s="68"/>
      <c r="AA140" s="45"/>
      <c r="AY140" s="66"/>
      <c r="AZ140" s="66"/>
      <c r="BA140" s="66"/>
      <c r="BB140" s="22"/>
    </row>
    <row r="141" spans="2:54" x14ac:dyDescent="0.45">
      <c r="B141" s="45" t="s">
        <v>113</v>
      </c>
      <c r="C141" s="90"/>
      <c r="D141" s="56"/>
      <c r="E141" s="80"/>
      <c r="F141" s="58"/>
      <c r="G141" s="58"/>
      <c r="H141" s="58"/>
      <c r="I141" s="58"/>
      <c r="J141" s="58"/>
      <c r="K141" s="58"/>
      <c r="L141" s="59">
        <f t="shared" si="21"/>
        <v>0</v>
      </c>
      <c r="M141" s="68"/>
      <c r="N141" s="68"/>
      <c r="O141" s="68"/>
      <c r="P141" s="68"/>
      <c r="Q141" s="99" t="e">
        <f t="shared" si="22"/>
        <v>#DIV/0!</v>
      </c>
      <c r="R141" s="100">
        <f t="shared" si="23"/>
        <v>0.43387671059875982</v>
      </c>
      <c r="S141" s="83"/>
      <c r="T141" s="83"/>
      <c r="U141" s="101">
        <f t="shared" si="24"/>
        <v>2021.2824107652905</v>
      </c>
      <c r="V141" s="59" t="e">
        <f t="shared" si="20"/>
        <v>#DIV/0!</v>
      </c>
      <c r="W141" s="68"/>
      <c r="X141" s="68"/>
      <c r="Y141" s="68"/>
      <c r="Z141" s="68"/>
      <c r="AA141" s="45"/>
      <c r="AY141" s="66"/>
      <c r="AZ141" s="66"/>
      <c r="BA141" s="66"/>
      <c r="BB141" s="22"/>
    </row>
    <row r="142" spans="2:54" ht="16" customHeight="1" x14ac:dyDescent="0.45">
      <c r="B142" s="45" t="s">
        <v>114</v>
      </c>
      <c r="C142" s="90"/>
      <c r="D142" s="56"/>
      <c r="E142" s="84"/>
      <c r="F142" s="58"/>
      <c r="G142" s="58"/>
      <c r="H142" s="58"/>
      <c r="I142" s="58"/>
      <c r="J142" s="58"/>
      <c r="K142" s="58"/>
      <c r="L142" s="59">
        <f t="shared" si="21"/>
        <v>0</v>
      </c>
      <c r="M142" s="68"/>
      <c r="N142" s="68"/>
      <c r="O142" s="68"/>
      <c r="P142" s="68"/>
      <c r="Q142" s="99" t="e">
        <f t="shared" si="22"/>
        <v>#DIV/0!</v>
      </c>
      <c r="R142" s="100">
        <f t="shared" si="23"/>
        <v>0.43387671059875982</v>
      </c>
      <c r="S142" s="83"/>
      <c r="T142" s="83"/>
      <c r="U142" s="101">
        <f t="shared" si="24"/>
        <v>2021.2824107652905</v>
      </c>
      <c r="V142" s="59" t="e">
        <f t="shared" si="20"/>
        <v>#DIV/0!</v>
      </c>
      <c r="W142" s="68"/>
      <c r="X142" s="68"/>
      <c r="Y142" s="68"/>
      <c r="Z142" s="68"/>
      <c r="AA142" s="45"/>
      <c r="AY142" s="66"/>
      <c r="AZ142" s="66"/>
      <c r="BA142" s="66"/>
      <c r="BB142" s="22"/>
    </row>
    <row r="143" spans="2:54" ht="16" customHeight="1" x14ac:dyDescent="0.45">
      <c r="B143" s="45" t="s">
        <v>115</v>
      </c>
      <c r="C143" s="90"/>
      <c r="D143" s="56"/>
      <c r="E143" s="57"/>
      <c r="F143" s="58"/>
      <c r="G143" s="58"/>
      <c r="H143" s="58"/>
      <c r="I143" s="58"/>
      <c r="J143" s="58"/>
      <c r="K143" s="58"/>
      <c r="L143" s="59">
        <f t="shared" si="21"/>
        <v>0</v>
      </c>
      <c r="M143" s="68"/>
      <c r="N143" s="68"/>
      <c r="O143" s="68"/>
      <c r="P143" s="68"/>
      <c r="Q143" s="99" t="e">
        <f t="shared" si="22"/>
        <v>#DIV/0!</v>
      </c>
      <c r="R143" s="100">
        <f t="shared" si="23"/>
        <v>0.43387671059875982</v>
      </c>
      <c r="S143" s="83"/>
      <c r="T143" s="83"/>
      <c r="U143" s="101">
        <f t="shared" si="24"/>
        <v>2021.2824107652905</v>
      </c>
      <c r="V143" s="59" t="e">
        <f t="shared" si="20"/>
        <v>#DIV/0!</v>
      </c>
      <c r="W143" s="68"/>
      <c r="X143" s="68"/>
      <c r="Y143" s="68"/>
      <c r="Z143" s="68"/>
      <c r="AA143" s="45"/>
      <c r="AY143" s="66"/>
      <c r="AZ143" s="66"/>
      <c r="BA143" s="66"/>
      <c r="BB143" s="22"/>
    </row>
    <row r="144" spans="2:54" ht="16" customHeight="1" x14ac:dyDescent="0.45">
      <c r="B144" s="45" t="s">
        <v>116</v>
      </c>
      <c r="C144" s="90"/>
      <c r="D144" s="56"/>
      <c r="E144" s="80"/>
      <c r="F144" s="58"/>
      <c r="G144" s="58"/>
      <c r="H144" s="58"/>
      <c r="I144" s="58"/>
      <c r="J144" s="58"/>
      <c r="K144" s="58"/>
      <c r="L144" s="59">
        <f t="shared" si="21"/>
        <v>0</v>
      </c>
      <c r="M144" s="68"/>
      <c r="N144" s="68"/>
      <c r="O144" s="68"/>
      <c r="P144" s="68"/>
      <c r="Q144" s="99" t="e">
        <f t="shared" si="22"/>
        <v>#DIV/0!</v>
      </c>
      <c r="R144" s="100">
        <f t="shared" si="23"/>
        <v>0.43387671059875982</v>
      </c>
      <c r="S144" s="83"/>
      <c r="T144" s="83"/>
      <c r="U144" s="101">
        <f t="shared" si="24"/>
        <v>2021.2824107652905</v>
      </c>
      <c r="V144" s="59" t="e">
        <f t="shared" si="20"/>
        <v>#DIV/0!</v>
      </c>
      <c r="W144" s="68"/>
      <c r="X144" s="68"/>
      <c r="Y144" s="68"/>
      <c r="Z144" s="68"/>
      <c r="AA144" s="45"/>
      <c r="AY144" s="66"/>
      <c r="AZ144" s="66"/>
      <c r="BA144" s="66"/>
      <c r="BB144" s="22"/>
    </row>
    <row r="145" spans="2:54" ht="16" customHeight="1" x14ac:dyDescent="0.45">
      <c r="B145" s="45" t="s">
        <v>117</v>
      </c>
      <c r="C145" s="90"/>
      <c r="D145" s="56"/>
      <c r="E145" s="84"/>
      <c r="F145" s="58"/>
      <c r="G145" s="58"/>
      <c r="H145" s="58"/>
      <c r="I145" s="58"/>
      <c r="J145" s="58"/>
      <c r="K145" s="58"/>
      <c r="L145" s="59">
        <f t="shared" si="21"/>
        <v>0</v>
      </c>
      <c r="M145" s="68"/>
      <c r="N145" s="68"/>
      <c r="O145" s="68"/>
      <c r="P145" s="68"/>
      <c r="Q145" s="99" t="e">
        <f t="shared" si="22"/>
        <v>#DIV/0!</v>
      </c>
      <c r="R145" s="100">
        <f t="shared" si="23"/>
        <v>0.43387671059875982</v>
      </c>
      <c r="S145" s="83"/>
      <c r="T145" s="83"/>
      <c r="U145" s="101">
        <f t="shared" si="24"/>
        <v>2021.2824107652905</v>
      </c>
      <c r="V145" s="59" t="e">
        <f t="shared" ref="V145:V208" si="29">1/2*((P145*S145+R145*U145+T145*Q145)-(Q145*R145+S145*T145+U145*P145))/0.1582*100</f>
        <v>#DIV/0!</v>
      </c>
      <c r="W145" s="68"/>
      <c r="X145" s="68"/>
      <c r="Y145" s="68"/>
      <c r="Z145" s="68"/>
      <c r="AA145" s="45"/>
      <c r="AY145" s="66"/>
      <c r="AZ145" s="66"/>
      <c r="BA145" s="66"/>
      <c r="BB145" s="22"/>
    </row>
    <row r="146" spans="2:54" x14ac:dyDescent="0.45">
      <c r="B146" s="45" t="s">
        <v>118</v>
      </c>
      <c r="C146" s="90"/>
      <c r="D146" s="56"/>
      <c r="E146" s="57"/>
      <c r="F146" s="58"/>
      <c r="G146" s="58"/>
      <c r="H146" s="58"/>
      <c r="I146" s="58"/>
      <c r="J146" s="58"/>
      <c r="K146" s="58"/>
      <c r="L146" s="59">
        <f t="shared" ref="L146:L209" si="30">1/2*((F146*I146+H146*K146+J146*G146)-(G146*H146+I146*J146+K146*F146))/0.1582*100</f>
        <v>0</v>
      </c>
      <c r="M146" s="68"/>
      <c r="N146" s="68"/>
      <c r="O146" s="68"/>
      <c r="P146" s="68"/>
      <c r="Q146" s="99" t="e">
        <f t="shared" ref="Q146:Q209" si="31">O146/P146</f>
        <v>#DIV/0!</v>
      </c>
      <c r="R146" s="100">
        <f t="shared" ref="R146:R209" si="32">SQRT(POWER(M146-$M$12,2)+POWER(N146-$N$12,2))</f>
        <v>0.43387671059875982</v>
      </c>
      <c r="S146" s="83"/>
      <c r="T146" s="83"/>
      <c r="U146" s="101">
        <f t="shared" ref="U146:U209" si="33">(-449*((M146-0.332)/(N146-0.1858))^3)+(3525*((M146-0.332)/(N146-0.1858))^2)+(-6823.3*(M146-0.332)/(N146-0.1858))+5520.33</f>
        <v>2021.2824107652905</v>
      </c>
      <c r="V146" s="59" t="e">
        <f t="shared" si="29"/>
        <v>#DIV/0!</v>
      </c>
      <c r="W146" s="68"/>
      <c r="X146" s="68"/>
      <c r="Y146" s="68"/>
      <c r="Z146" s="68"/>
      <c r="AA146" s="45"/>
      <c r="AY146" s="66"/>
      <c r="AZ146" s="66"/>
      <c r="BA146" s="66"/>
      <c r="BB146" s="22"/>
    </row>
    <row r="147" spans="2:54" x14ac:dyDescent="0.45">
      <c r="B147" s="45" t="s">
        <v>119</v>
      </c>
      <c r="C147" s="90"/>
      <c r="D147" s="56"/>
      <c r="E147" s="80"/>
      <c r="F147" s="58"/>
      <c r="G147" s="58"/>
      <c r="H147" s="58"/>
      <c r="I147" s="58"/>
      <c r="J147" s="58"/>
      <c r="K147" s="58"/>
      <c r="L147" s="59">
        <f t="shared" si="30"/>
        <v>0</v>
      </c>
      <c r="M147" s="68"/>
      <c r="N147" s="68"/>
      <c r="O147" s="68"/>
      <c r="P147" s="68"/>
      <c r="Q147" s="99" t="e">
        <f t="shared" si="31"/>
        <v>#DIV/0!</v>
      </c>
      <c r="R147" s="100">
        <f t="shared" si="32"/>
        <v>0.43387671059875982</v>
      </c>
      <c r="S147" s="83"/>
      <c r="T147" s="83"/>
      <c r="U147" s="101">
        <f t="shared" si="33"/>
        <v>2021.2824107652905</v>
      </c>
      <c r="V147" s="59" t="e">
        <f t="shared" si="29"/>
        <v>#DIV/0!</v>
      </c>
      <c r="W147" s="68"/>
      <c r="X147" s="68"/>
      <c r="Y147" s="68"/>
      <c r="Z147" s="68"/>
      <c r="AA147" s="45"/>
      <c r="AY147" s="66"/>
      <c r="AZ147" s="66"/>
      <c r="BA147" s="66"/>
      <c r="BB147" s="22"/>
    </row>
    <row r="148" spans="2:54" x14ac:dyDescent="0.45">
      <c r="B148" s="45" t="s">
        <v>120</v>
      </c>
      <c r="C148" s="90"/>
      <c r="D148" s="56"/>
      <c r="E148" s="84"/>
      <c r="F148" s="58"/>
      <c r="G148" s="58"/>
      <c r="H148" s="58"/>
      <c r="I148" s="58"/>
      <c r="J148" s="58"/>
      <c r="K148" s="58"/>
      <c r="L148" s="59">
        <f t="shared" si="30"/>
        <v>0</v>
      </c>
      <c r="M148" s="68"/>
      <c r="N148" s="68"/>
      <c r="O148" s="68"/>
      <c r="P148" s="68"/>
      <c r="Q148" s="99" t="e">
        <f t="shared" si="31"/>
        <v>#DIV/0!</v>
      </c>
      <c r="R148" s="100">
        <f t="shared" si="32"/>
        <v>0.43387671059875982</v>
      </c>
      <c r="S148" s="83"/>
      <c r="T148" s="83"/>
      <c r="U148" s="101">
        <f t="shared" si="33"/>
        <v>2021.2824107652905</v>
      </c>
      <c r="V148" s="59" t="e">
        <f t="shared" si="29"/>
        <v>#DIV/0!</v>
      </c>
      <c r="W148" s="68"/>
      <c r="X148" s="68"/>
      <c r="Y148" s="68"/>
      <c r="Z148" s="68"/>
      <c r="AA148" s="45"/>
      <c r="AY148" s="66"/>
      <c r="AZ148" s="66"/>
      <c r="BA148" s="66"/>
      <c r="BB148" s="22"/>
    </row>
    <row r="149" spans="2:54" x14ac:dyDescent="0.45">
      <c r="B149" s="45" t="s">
        <v>121</v>
      </c>
      <c r="C149" s="90"/>
      <c r="D149" s="56"/>
      <c r="E149" s="57"/>
      <c r="F149" s="58"/>
      <c r="G149" s="58"/>
      <c r="H149" s="58"/>
      <c r="I149" s="58"/>
      <c r="J149" s="58"/>
      <c r="K149" s="58"/>
      <c r="L149" s="59">
        <f t="shared" si="30"/>
        <v>0</v>
      </c>
      <c r="M149" s="68"/>
      <c r="N149" s="68"/>
      <c r="O149" s="68"/>
      <c r="P149" s="68"/>
      <c r="Q149" s="99" t="e">
        <f t="shared" si="31"/>
        <v>#DIV/0!</v>
      </c>
      <c r="R149" s="100">
        <f t="shared" si="32"/>
        <v>0.43387671059875982</v>
      </c>
      <c r="S149" s="83"/>
      <c r="T149" s="83"/>
      <c r="U149" s="101">
        <f t="shared" si="33"/>
        <v>2021.2824107652905</v>
      </c>
      <c r="V149" s="59" t="e">
        <f t="shared" si="29"/>
        <v>#DIV/0!</v>
      </c>
      <c r="W149" s="68"/>
      <c r="X149" s="68"/>
      <c r="Y149" s="68"/>
      <c r="Z149" s="68"/>
      <c r="AA149" s="45"/>
      <c r="AY149" s="66"/>
      <c r="AZ149" s="66"/>
      <c r="BA149" s="66"/>
      <c r="BB149" s="22"/>
    </row>
    <row r="150" spans="2:54" x14ac:dyDescent="0.45">
      <c r="B150" s="45" t="s">
        <v>122</v>
      </c>
      <c r="C150" s="90"/>
      <c r="D150" s="56"/>
      <c r="E150" s="80"/>
      <c r="F150" s="58"/>
      <c r="G150" s="58"/>
      <c r="H150" s="58"/>
      <c r="I150" s="58"/>
      <c r="J150" s="58"/>
      <c r="K150" s="58"/>
      <c r="L150" s="59">
        <f t="shared" si="30"/>
        <v>0</v>
      </c>
      <c r="M150" s="68"/>
      <c r="N150" s="68"/>
      <c r="O150" s="68"/>
      <c r="P150" s="68"/>
      <c r="Q150" s="99" t="e">
        <f t="shared" si="31"/>
        <v>#DIV/0!</v>
      </c>
      <c r="R150" s="100">
        <f t="shared" si="32"/>
        <v>0.43387671059875982</v>
      </c>
      <c r="S150" s="83"/>
      <c r="T150" s="83"/>
      <c r="U150" s="101">
        <f t="shared" si="33"/>
        <v>2021.2824107652905</v>
      </c>
      <c r="V150" s="59" t="e">
        <f t="shared" si="29"/>
        <v>#DIV/0!</v>
      </c>
      <c r="W150" s="68"/>
      <c r="X150" s="68"/>
      <c r="Y150" s="68"/>
      <c r="Z150" s="68"/>
      <c r="AA150" s="45"/>
      <c r="AY150" s="66"/>
      <c r="AZ150" s="66"/>
      <c r="BA150" s="66"/>
      <c r="BB150" s="22"/>
    </row>
    <row r="151" spans="2:54" x14ac:dyDescent="0.45">
      <c r="B151" s="45" t="s">
        <v>123</v>
      </c>
      <c r="C151" s="90"/>
      <c r="D151" s="56"/>
      <c r="E151" s="84"/>
      <c r="F151" s="58"/>
      <c r="G151" s="58"/>
      <c r="H151" s="58"/>
      <c r="I151" s="58"/>
      <c r="J151" s="58"/>
      <c r="K151" s="58"/>
      <c r="L151" s="59">
        <f t="shared" si="30"/>
        <v>0</v>
      </c>
      <c r="M151" s="68"/>
      <c r="N151" s="68"/>
      <c r="O151" s="68"/>
      <c r="P151" s="68"/>
      <c r="Q151" s="99" t="e">
        <f t="shared" si="31"/>
        <v>#DIV/0!</v>
      </c>
      <c r="R151" s="100">
        <f t="shared" si="32"/>
        <v>0.43387671059875982</v>
      </c>
      <c r="S151" s="83"/>
      <c r="T151" s="83"/>
      <c r="U151" s="101">
        <f t="shared" si="33"/>
        <v>2021.2824107652905</v>
      </c>
      <c r="V151" s="59" t="e">
        <f t="shared" si="29"/>
        <v>#DIV/0!</v>
      </c>
      <c r="W151" s="68"/>
      <c r="X151" s="68"/>
      <c r="Y151" s="68"/>
      <c r="Z151" s="68"/>
      <c r="AA151" s="45"/>
      <c r="AY151" s="66"/>
      <c r="AZ151" s="66"/>
      <c r="BA151" s="66"/>
      <c r="BB151" s="22"/>
    </row>
    <row r="152" spans="2:54" x14ac:dyDescent="0.45">
      <c r="B152" s="45" t="s">
        <v>124</v>
      </c>
      <c r="C152" s="90"/>
      <c r="D152" s="56"/>
      <c r="E152" s="57"/>
      <c r="F152" s="58"/>
      <c r="G152" s="58"/>
      <c r="H152" s="58"/>
      <c r="I152" s="58"/>
      <c r="J152" s="58"/>
      <c r="K152" s="58"/>
      <c r="L152" s="59">
        <f t="shared" si="30"/>
        <v>0</v>
      </c>
      <c r="M152" s="68"/>
      <c r="N152" s="68"/>
      <c r="O152" s="68"/>
      <c r="P152" s="68"/>
      <c r="Q152" s="99" t="e">
        <f t="shared" si="31"/>
        <v>#DIV/0!</v>
      </c>
      <c r="R152" s="100">
        <f t="shared" si="32"/>
        <v>0.43387671059875982</v>
      </c>
      <c r="S152" s="83"/>
      <c r="T152" s="83"/>
      <c r="U152" s="101">
        <f t="shared" si="33"/>
        <v>2021.2824107652905</v>
      </c>
      <c r="V152" s="59" t="e">
        <f t="shared" si="29"/>
        <v>#DIV/0!</v>
      </c>
      <c r="W152" s="68"/>
      <c r="X152" s="68"/>
      <c r="Y152" s="68"/>
      <c r="Z152" s="68"/>
      <c r="AA152" s="45"/>
      <c r="AY152" s="66"/>
      <c r="AZ152" s="66"/>
      <c r="BA152" s="66"/>
      <c r="BB152" s="22"/>
    </row>
    <row r="153" spans="2:54" x14ac:dyDescent="0.45">
      <c r="B153" s="45" t="s">
        <v>125</v>
      </c>
      <c r="C153" s="90"/>
      <c r="D153" s="56"/>
      <c r="E153" s="80"/>
      <c r="F153" s="58"/>
      <c r="G153" s="58"/>
      <c r="H153" s="58"/>
      <c r="I153" s="58"/>
      <c r="J153" s="58"/>
      <c r="K153" s="58"/>
      <c r="L153" s="59">
        <f t="shared" si="30"/>
        <v>0</v>
      </c>
      <c r="M153" s="68"/>
      <c r="N153" s="68"/>
      <c r="O153" s="68"/>
      <c r="P153" s="68"/>
      <c r="Q153" s="99" t="e">
        <f t="shared" si="31"/>
        <v>#DIV/0!</v>
      </c>
      <c r="R153" s="100">
        <f t="shared" si="32"/>
        <v>0.43387671059875982</v>
      </c>
      <c r="S153" s="83"/>
      <c r="T153" s="83"/>
      <c r="U153" s="101">
        <f t="shared" si="33"/>
        <v>2021.2824107652905</v>
      </c>
      <c r="V153" s="59" t="e">
        <f t="shared" si="29"/>
        <v>#DIV/0!</v>
      </c>
      <c r="W153" s="68"/>
      <c r="X153" s="68"/>
      <c r="Y153" s="68"/>
      <c r="Z153" s="68"/>
      <c r="AA153" s="45"/>
      <c r="AY153" s="66"/>
      <c r="AZ153" s="66"/>
      <c r="BA153" s="66"/>
      <c r="BB153" s="22"/>
    </row>
    <row r="154" spans="2:54" x14ac:dyDescent="0.45">
      <c r="B154" s="45" t="s">
        <v>126</v>
      </c>
      <c r="C154" s="90"/>
      <c r="D154" s="56"/>
      <c r="E154" s="84"/>
      <c r="F154" s="58"/>
      <c r="G154" s="58"/>
      <c r="H154" s="58"/>
      <c r="I154" s="58"/>
      <c r="J154" s="58"/>
      <c r="K154" s="58"/>
      <c r="L154" s="59">
        <f t="shared" si="30"/>
        <v>0</v>
      </c>
      <c r="M154" s="68"/>
      <c r="N154" s="68"/>
      <c r="O154" s="68"/>
      <c r="P154" s="68"/>
      <c r="Q154" s="99" t="e">
        <f t="shared" si="31"/>
        <v>#DIV/0!</v>
      </c>
      <c r="R154" s="100">
        <f t="shared" si="32"/>
        <v>0.43387671059875982</v>
      </c>
      <c r="S154" s="83"/>
      <c r="T154" s="83"/>
      <c r="U154" s="101">
        <f t="shared" si="33"/>
        <v>2021.2824107652905</v>
      </c>
      <c r="V154" s="59" t="e">
        <f t="shared" si="29"/>
        <v>#DIV/0!</v>
      </c>
      <c r="W154" s="68"/>
      <c r="X154" s="68"/>
      <c r="Y154" s="68"/>
      <c r="Z154" s="68"/>
      <c r="AA154" s="45"/>
      <c r="AY154" s="66"/>
      <c r="AZ154" s="66"/>
      <c r="BA154" s="66"/>
      <c r="BB154" s="22"/>
    </row>
    <row r="155" spans="2:54" x14ac:dyDescent="0.45">
      <c r="B155" s="45" t="s">
        <v>127</v>
      </c>
      <c r="C155" s="90"/>
      <c r="D155" s="56"/>
      <c r="E155" s="57"/>
      <c r="F155" s="58"/>
      <c r="G155" s="58"/>
      <c r="H155" s="58"/>
      <c r="I155" s="58"/>
      <c r="J155" s="58"/>
      <c r="K155" s="58"/>
      <c r="L155" s="59">
        <f t="shared" si="30"/>
        <v>0</v>
      </c>
      <c r="M155" s="68"/>
      <c r="N155" s="68"/>
      <c r="O155" s="68"/>
      <c r="P155" s="68"/>
      <c r="Q155" s="99" t="e">
        <f t="shared" si="31"/>
        <v>#DIV/0!</v>
      </c>
      <c r="R155" s="100">
        <f t="shared" si="32"/>
        <v>0.43387671059875982</v>
      </c>
      <c r="S155" s="83"/>
      <c r="T155" s="83"/>
      <c r="U155" s="101">
        <f t="shared" si="33"/>
        <v>2021.2824107652905</v>
      </c>
      <c r="V155" s="59" t="e">
        <f t="shared" si="29"/>
        <v>#DIV/0!</v>
      </c>
      <c r="W155" s="68"/>
      <c r="X155" s="68"/>
      <c r="Y155" s="68"/>
      <c r="Z155" s="68"/>
      <c r="AA155" s="45"/>
      <c r="AY155" s="66"/>
      <c r="AZ155" s="66"/>
      <c r="BA155" s="66"/>
      <c r="BB155" s="22"/>
    </row>
    <row r="156" spans="2:54" x14ac:dyDescent="0.45">
      <c r="B156" s="45" t="s">
        <v>128</v>
      </c>
      <c r="C156" s="90"/>
      <c r="D156" s="56"/>
      <c r="E156" s="80"/>
      <c r="F156" s="58"/>
      <c r="G156" s="58"/>
      <c r="H156" s="58"/>
      <c r="I156" s="58"/>
      <c r="J156" s="58"/>
      <c r="K156" s="58"/>
      <c r="L156" s="59">
        <f t="shared" si="30"/>
        <v>0</v>
      </c>
      <c r="M156" s="68"/>
      <c r="N156" s="68"/>
      <c r="O156" s="68"/>
      <c r="P156" s="68"/>
      <c r="Q156" s="99" t="e">
        <f t="shared" si="31"/>
        <v>#DIV/0!</v>
      </c>
      <c r="R156" s="100">
        <f t="shared" si="32"/>
        <v>0.43387671059875982</v>
      </c>
      <c r="S156" s="83"/>
      <c r="T156" s="83"/>
      <c r="U156" s="101">
        <f t="shared" si="33"/>
        <v>2021.2824107652905</v>
      </c>
      <c r="V156" s="59" t="e">
        <f t="shared" si="29"/>
        <v>#DIV/0!</v>
      </c>
      <c r="W156" s="68"/>
      <c r="X156" s="68"/>
      <c r="Y156" s="68"/>
      <c r="Z156" s="68"/>
      <c r="AA156" s="45"/>
      <c r="AY156" s="66"/>
      <c r="AZ156" s="66"/>
      <c r="BA156" s="66"/>
      <c r="BB156" s="22"/>
    </row>
    <row r="157" spans="2:54" x14ac:dyDescent="0.45">
      <c r="B157" s="45" t="s">
        <v>129</v>
      </c>
      <c r="C157" s="90"/>
      <c r="D157" s="56"/>
      <c r="E157" s="84"/>
      <c r="F157" s="58"/>
      <c r="G157" s="58"/>
      <c r="H157" s="58"/>
      <c r="I157" s="58"/>
      <c r="J157" s="58"/>
      <c r="K157" s="58"/>
      <c r="L157" s="59">
        <f t="shared" si="30"/>
        <v>0</v>
      </c>
      <c r="M157" s="68"/>
      <c r="N157" s="68"/>
      <c r="O157" s="68"/>
      <c r="P157" s="68"/>
      <c r="Q157" s="99" t="e">
        <f t="shared" si="31"/>
        <v>#DIV/0!</v>
      </c>
      <c r="R157" s="100">
        <f t="shared" si="32"/>
        <v>0.43387671059875982</v>
      </c>
      <c r="S157" s="83"/>
      <c r="T157" s="83"/>
      <c r="U157" s="101">
        <f t="shared" si="33"/>
        <v>2021.2824107652905</v>
      </c>
      <c r="V157" s="59" t="e">
        <f t="shared" si="29"/>
        <v>#DIV/0!</v>
      </c>
      <c r="W157" s="68"/>
      <c r="X157" s="68"/>
      <c r="Y157" s="68"/>
      <c r="Z157" s="68"/>
      <c r="AA157" s="45"/>
      <c r="AY157" s="66"/>
      <c r="AZ157" s="66"/>
      <c r="BA157" s="66"/>
      <c r="BB157" s="22"/>
    </row>
    <row r="158" spans="2:54" x14ac:dyDescent="0.45">
      <c r="B158" s="45" t="s">
        <v>130</v>
      </c>
      <c r="C158" s="90"/>
      <c r="D158" s="56"/>
      <c r="E158" s="57"/>
      <c r="F158" s="58"/>
      <c r="G158" s="58"/>
      <c r="H158" s="58"/>
      <c r="I158" s="58"/>
      <c r="J158" s="58"/>
      <c r="K158" s="58"/>
      <c r="L158" s="59">
        <f t="shared" si="30"/>
        <v>0</v>
      </c>
      <c r="M158" s="68"/>
      <c r="N158" s="68"/>
      <c r="O158" s="68"/>
      <c r="P158" s="68"/>
      <c r="Q158" s="99" t="e">
        <f t="shared" si="31"/>
        <v>#DIV/0!</v>
      </c>
      <c r="R158" s="100">
        <f t="shared" si="32"/>
        <v>0.43387671059875982</v>
      </c>
      <c r="S158" s="83"/>
      <c r="T158" s="83"/>
      <c r="U158" s="101">
        <f t="shared" si="33"/>
        <v>2021.2824107652905</v>
      </c>
      <c r="V158" s="59" t="e">
        <f t="shared" si="29"/>
        <v>#DIV/0!</v>
      </c>
      <c r="W158" s="68"/>
      <c r="X158" s="68"/>
      <c r="Y158" s="68"/>
      <c r="Z158" s="68"/>
      <c r="AA158" s="45"/>
      <c r="AY158" s="66"/>
      <c r="AZ158" s="66"/>
      <c r="BA158" s="66"/>
      <c r="BB158" s="22"/>
    </row>
    <row r="159" spans="2:54" x14ac:dyDescent="0.45">
      <c r="B159" s="45" t="s">
        <v>131</v>
      </c>
      <c r="C159" s="90"/>
      <c r="D159" s="56"/>
      <c r="E159" s="80"/>
      <c r="F159" s="58"/>
      <c r="G159" s="58"/>
      <c r="H159" s="58"/>
      <c r="I159" s="58"/>
      <c r="J159" s="58"/>
      <c r="K159" s="58"/>
      <c r="L159" s="59">
        <f t="shared" si="30"/>
        <v>0</v>
      </c>
      <c r="M159" s="68"/>
      <c r="N159" s="68"/>
      <c r="O159" s="68"/>
      <c r="P159" s="68"/>
      <c r="Q159" s="99" t="e">
        <f t="shared" si="31"/>
        <v>#DIV/0!</v>
      </c>
      <c r="R159" s="100">
        <f t="shared" si="32"/>
        <v>0.43387671059875982</v>
      </c>
      <c r="S159" s="83"/>
      <c r="T159" s="83"/>
      <c r="U159" s="101">
        <f t="shared" si="33"/>
        <v>2021.2824107652905</v>
      </c>
      <c r="V159" s="59" t="e">
        <f t="shared" si="29"/>
        <v>#DIV/0!</v>
      </c>
      <c r="W159" s="68"/>
      <c r="X159" s="68"/>
      <c r="Y159" s="68"/>
      <c r="Z159" s="68"/>
      <c r="AA159" s="45"/>
      <c r="AY159" s="66"/>
      <c r="AZ159" s="66"/>
      <c r="BA159" s="66"/>
      <c r="BB159" s="22"/>
    </row>
    <row r="160" spans="2:54" x14ac:dyDescent="0.45">
      <c r="B160" s="45" t="s">
        <v>132</v>
      </c>
      <c r="C160" s="90"/>
      <c r="D160" s="56"/>
      <c r="E160" s="84"/>
      <c r="F160" s="58"/>
      <c r="G160" s="58"/>
      <c r="H160" s="58"/>
      <c r="I160" s="58"/>
      <c r="J160" s="58"/>
      <c r="K160" s="58"/>
      <c r="L160" s="59">
        <f t="shared" si="30"/>
        <v>0</v>
      </c>
      <c r="M160" s="68"/>
      <c r="N160" s="68"/>
      <c r="O160" s="68"/>
      <c r="P160" s="68"/>
      <c r="Q160" s="99" t="e">
        <f t="shared" si="31"/>
        <v>#DIV/0!</v>
      </c>
      <c r="R160" s="100">
        <f t="shared" si="32"/>
        <v>0.43387671059875982</v>
      </c>
      <c r="S160" s="83"/>
      <c r="T160" s="83"/>
      <c r="U160" s="101">
        <f t="shared" si="33"/>
        <v>2021.2824107652905</v>
      </c>
      <c r="V160" s="59" t="e">
        <f t="shared" si="29"/>
        <v>#DIV/0!</v>
      </c>
      <c r="W160" s="68"/>
      <c r="X160" s="68"/>
      <c r="Y160" s="68"/>
      <c r="Z160" s="68"/>
      <c r="AA160" s="45"/>
      <c r="AY160" s="66"/>
      <c r="AZ160" s="66"/>
      <c r="BA160" s="66"/>
      <c r="BB160" s="22"/>
    </row>
    <row r="161" spans="2:54" x14ac:dyDescent="0.45">
      <c r="B161" s="45" t="s">
        <v>133</v>
      </c>
      <c r="C161" s="90"/>
      <c r="D161" s="56"/>
      <c r="E161" s="57"/>
      <c r="F161" s="58"/>
      <c r="G161" s="58"/>
      <c r="H161" s="58"/>
      <c r="I161" s="58"/>
      <c r="J161" s="58"/>
      <c r="K161" s="58"/>
      <c r="L161" s="59">
        <f t="shared" si="30"/>
        <v>0</v>
      </c>
      <c r="M161" s="68"/>
      <c r="N161" s="68"/>
      <c r="O161" s="68"/>
      <c r="P161" s="68"/>
      <c r="Q161" s="99" t="e">
        <f t="shared" si="31"/>
        <v>#DIV/0!</v>
      </c>
      <c r="R161" s="100">
        <f t="shared" si="32"/>
        <v>0.43387671059875982</v>
      </c>
      <c r="S161" s="83"/>
      <c r="T161" s="83"/>
      <c r="U161" s="101">
        <f t="shared" si="33"/>
        <v>2021.2824107652905</v>
      </c>
      <c r="V161" s="59" t="e">
        <f t="shared" si="29"/>
        <v>#DIV/0!</v>
      </c>
      <c r="W161" s="68"/>
      <c r="X161" s="68"/>
      <c r="Y161" s="68"/>
      <c r="Z161" s="68"/>
      <c r="AA161" s="45"/>
      <c r="AY161" s="66"/>
      <c r="AZ161" s="66"/>
      <c r="BA161" s="66"/>
      <c r="BB161" s="22"/>
    </row>
    <row r="162" spans="2:54" x14ac:dyDescent="0.45">
      <c r="B162" s="45" t="s">
        <v>134</v>
      </c>
      <c r="C162" s="90"/>
      <c r="D162" s="56"/>
      <c r="E162" s="80"/>
      <c r="F162" s="58"/>
      <c r="G162" s="58"/>
      <c r="H162" s="58"/>
      <c r="I162" s="58"/>
      <c r="J162" s="58"/>
      <c r="K162" s="58"/>
      <c r="L162" s="59">
        <f t="shared" si="30"/>
        <v>0</v>
      </c>
      <c r="M162" s="68"/>
      <c r="N162" s="68"/>
      <c r="O162" s="68"/>
      <c r="P162" s="68"/>
      <c r="Q162" s="99" t="e">
        <f t="shared" si="31"/>
        <v>#DIV/0!</v>
      </c>
      <c r="R162" s="100">
        <f t="shared" si="32"/>
        <v>0.43387671059875982</v>
      </c>
      <c r="S162" s="83"/>
      <c r="T162" s="83"/>
      <c r="U162" s="101">
        <f t="shared" si="33"/>
        <v>2021.2824107652905</v>
      </c>
      <c r="V162" s="59" t="e">
        <f t="shared" si="29"/>
        <v>#DIV/0!</v>
      </c>
      <c r="W162" s="68"/>
      <c r="X162" s="68"/>
      <c r="Y162" s="68"/>
      <c r="Z162" s="68"/>
      <c r="AA162" s="45"/>
      <c r="AY162" s="66"/>
      <c r="AZ162" s="66"/>
      <c r="BA162" s="66"/>
      <c r="BB162" s="22"/>
    </row>
    <row r="163" spans="2:54" x14ac:dyDescent="0.45">
      <c r="B163" s="45" t="s">
        <v>135</v>
      </c>
      <c r="C163" s="90"/>
      <c r="D163" s="56"/>
      <c r="E163" s="84"/>
      <c r="F163" s="58"/>
      <c r="G163" s="58"/>
      <c r="H163" s="58"/>
      <c r="I163" s="58"/>
      <c r="J163" s="58"/>
      <c r="K163" s="58"/>
      <c r="L163" s="59">
        <f t="shared" si="30"/>
        <v>0</v>
      </c>
      <c r="M163" s="68"/>
      <c r="N163" s="68"/>
      <c r="O163" s="68"/>
      <c r="P163" s="68"/>
      <c r="Q163" s="99" t="e">
        <f t="shared" si="31"/>
        <v>#DIV/0!</v>
      </c>
      <c r="R163" s="100">
        <f t="shared" si="32"/>
        <v>0.43387671059875982</v>
      </c>
      <c r="S163" s="83"/>
      <c r="T163" s="83"/>
      <c r="U163" s="101">
        <f t="shared" si="33"/>
        <v>2021.2824107652905</v>
      </c>
      <c r="V163" s="59" t="e">
        <f t="shared" si="29"/>
        <v>#DIV/0!</v>
      </c>
      <c r="W163" s="68"/>
      <c r="X163" s="68"/>
      <c r="Y163" s="68"/>
      <c r="Z163" s="68"/>
      <c r="AA163" s="45"/>
      <c r="AY163" s="66"/>
      <c r="AZ163" s="66"/>
      <c r="BA163" s="66"/>
      <c r="BB163" s="22"/>
    </row>
    <row r="164" spans="2:54" x14ac:dyDescent="0.45">
      <c r="B164" s="45" t="s">
        <v>136</v>
      </c>
      <c r="C164" s="90"/>
      <c r="D164" s="56"/>
      <c r="E164" s="57"/>
      <c r="F164" s="58"/>
      <c r="G164" s="58"/>
      <c r="H164" s="58"/>
      <c r="I164" s="58"/>
      <c r="J164" s="58"/>
      <c r="K164" s="58"/>
      <c r="L164" s="59">
        <f t="shared" si="30"/>
        <v>0</v>
      </c>
      <c r="M164" s="68"/>
      <c r="N164" s="68"/>
      <c r="O164" s="68"/>
      <c r="P164" s="68"/>
      <c r="Q164" s="99" t="e">
        <f t="shared" si="31"/>
        <v>#DIV/0!</v>
      </c>
      <c r="R164" s="100">
        <f t="shared" si="32"/>
        <v>0.43387671059875982</v>
      </c>
      <c r="S164" s="83"/>
      <c r="T164" s="83"/>
      <c r="U164" s="101">
        <f t="shared" si="33"/>
        <v>2021.2824107652905</v>
      </c>
      <c r="V164" s="59" t="e">
        <f t="shared" si="29"/>
        <v>#DIV/0!</v>
      </c>
      <c r="W164" s="68"/>
      <c r="X164" s="68"/>
      <c r="Y164" s="68"/>
      <c r="Z164" s="68"/>
      <c r="AA164" s="45"/>
      <c r="AY164" s="66"/>
      <c r="AZ164" s="66"/>
      <c r="BA164" s="66"/>
      <c r="BB164" s="22"/>
    </row>
    <row r="165" spans="2:54" x14ac:dyDescent="0.45">
      <c r="B165" s="45" t="s">
        <v>137</v>
      </c>
      <c r="C165" s="90"/>
      <c r="D165" s="56"/>
      <c r="E165" s="80"/>
      <c r="F165" s="58"/>
      <c r="G165" s="58"/>
      <c r="H165" s="58"/>
      <c r="I165" s="58"/>
      <c r="J165" s="58"/>
      <c r="K165" s="58"/>
      <c r="L165" s="59">
        <f t="shared" si="30"/>
        <v>0</v>
      </c>
      <c r="M165" s="68"/>
      <c r="N165" s="68"/>
      <c r="O165" s="68"/>
      <c r="P165" s="68"/>
      <c r="Q165" s="99" t="e">
        <f t="shared" si="31"/>
        <v>#DIV/0!</v>
      </c>
      <c r="R165" s="100">
        <f t="shared" si="32"/>
        <v>0.43387671059875982</v>
      </c>
      <c r="S165" s="83"/>
      <c r="T165" s="83"/>
      <c r="U165" s="101">
        <f t="shared" si="33"/>
        <v>2021.2824107652905</v>
      </c>
      <c r="V165" s="59" t="e">
        <f t="shared" si="29"/>
        <v>#DIV/0!</v>
      </c>
      <c r="W165" s="68"/>
      <c r="X165" s="68"/>
      <c r="Y165" s="68"/>
      <c r="Z165" s="68"/>
      <c r="AA165" s="45"/>
      <c r="AY165" s="66"/>
      <c r="AZ165" s="66"/>
      <c r="BA165" s="66"/>
      <c r="BB165" s="22"/>
    </row>
    <row r="166" spans="2:54" x14ac:dyDescent="0.45">
      <c r="B166" s="45" t="s">
        <v>138</v>
      </c>
      <c r="C166" s="90"/>
      <c r="D166" s="56"/>
      <c r="E166" s="84"/>
      <c r="F166" s="58"/>
      <c r="G166" s="58"/>
      <c r="H166" s="58"/>
      <c r="I166" s="58"/>
      <c r="J166" s="58"/>
      <c r="K166" s="58"/>
      <c r="L166" s="59">
        <f t="shared" si="30"/>
        <v>0</v>
      </c>
      <c r="M166" s="68"/>
      <c r="N166" s="68"/>
      <c r="O166" s="68"/>
      <c r="P166" s="68"/>
      <c r="Q166" s="99" t="e">
        <f t="shared" si="31"/>
        <v>#DIV/0!</v>
      </c>
      <c r="R166" s="100">
        <f t="shared" si="32"/>
        <v>0.43387671059875982</v>
      </c>
      <c r="S166" s="83"/>
      <c r="T166" s="83"/>
      <c r="U166" s="101">
        <f t="shared" si="33"/>
        <v>2021.2824107652905</v>
      </c>
      <c r="V166" s="59" t="e">
        <f t="shared" si="29"/>
        <v>#DIV/0!</v>
      </c>
      <c r="W166" s="68"/>
      <c r="X166" s="68"/>
      <c r="Y166" s="68"/>
      <c r="Z166" s="68"/>
      <c r="AA166" s="45"/>
      <c r="AY166" s="66"/>
      <c r="AZ166" s="66"/>
      <c r="BA166" s="66"/>
      <c r="BB166" s="22"/>
    </row>
    <row r="167" spans="2:54" x14ac:dyDescent="0.45">
      <c r="B167" s="45" t="s">
        <v>139</v>
      </c>
      <c r="C167" s="90"/>
      <c r="D167" s="56"/>
      <c r="E167" s="57"/>
      <c r="F167" s="58"/>
      <c r="G167" s="58"/>
      <c r="H167" s="58"/>
      <c r="I167" s="58"/>
      <c r="J167" s="58"/>
      <c r="K167" s="58"/>
      <c r="L167" s="59">
        <f t="shared" si="30"/>
        <v>0</v>
      </c>
      <c r="M167" s="68"/>
      <c r="N167" s="68"/>
      <c r="O167" s="68"/>
      <c r="P167" s="68"/>
      <c r="Q167" s="99" t="e">
        <f t="shared" si="31"/>
        <v>#DIV/0!</v>
      </c>
      <c r="R167" s="100">
        <f t="shared" si="32"/>
        <v>0.43387671059875982</v>
      </c>
      <c r="S167" s="83"/>
      <c r="T167" s="83"/>
      <c r="U167" s="101">
        <f t="shared" si="33"/>
        <v>2021.2824107652905</v>
      </c>
      <c r="V167" s="59" t="e">
        <f t="shared" si="29"/>
        <v>#DIV/0!</v>
      </c>
      <c r="W167" s="68"/>
      <c r="X167" s="68"/>
      <c r="Y167" s="68"/>
      <c r="Z167" s="68"/>
      <c r="AA167" s="45"/>
      <c r="AY167" s="66"/>
      <c r="AZ167" s="66"/>
      <c r="BA167" s="66"/>
      <c r="BB167" s="22"/>
    </row>
    <row r="168" spans="2:54" x14ac:dyDescent="0.45">
      <c r="B168" s="45" t="s">
        <v>140</v>
      </c>
      <c r="C168" s="90"/>
      <c r="D168" s="56"/>
      <c r="E168" s="80"/>
      <c r="F168" s="58"/>
      <c r="G168" s="58"/>
      <c r="H168" s="58"/>
      <c r="I168" s="58"/>
      <c r="J168" s="58"/>
      <c r="K168" s="58"/>
      <c r="L168" s="59">
        <f t="shared" si="30"/>
        <v>0</v>
      </c>
      <c r="M168" s="68"/>
      <c r="N168" s="68"/>
      <c r="O168" s="68"/>
      <c r="P168" s="68"/>
      <c r="Q168" s="99" t="e">
        <f t="shared" si="31"/>
        <v>#DIV/0!</v>
      </c>
      <c r="R168" s="100">
        <f t="shared" si="32"/>
        <v>0.43387671059875982</v>
      </c>
      <c r="S168" s="83"/>
      <c r="T168" s="83"/>
      <c r="U168" s="101">
        <f t="shared" si="33"/>
        <v>2021.2824107652905</v>
      </c>
      <c r="V168" s="59" t="e">
        <f t="shared" si="29"/>
        <v>#DIV/0!</v>
      </c>
      <c r="W168" s="68"/>
      <c r="X168" s="68"/>
      <c r="Y168" s="68"/>
      <c r="Z168" s="68"/>
      <c r="AA168" s="45"/>
      <c r="AY168" s="66"/>
      <c r="AZ168" s="66"/>
      <c r="BA168" s="66"/>
      <c r="BB168" s="22"/>
    </row>
    <row r="169" spans="2:54" x14ac:dyDescent="0.45">
      <c r="B169" s="45" t="s">
        <v>141</v>
      </c>
      <c r="C169" s="90"/>
      <c r="D169" s="56"/>
      <c r="E169" s="84"/>
      <c r="F169" s="58"/>
      <c r="G169" s="58"/>
      <c r="H169" s="58"/>
      <c r="I169" s="58"/>
      <c r="J169" s="58"/>
      <c r="K169" s="58"/>
      <c r="L169" s="59">
        <f t="shared" si="30"/>
        <v>0</v>
      </c>
      <c r="M169" s="68"/>
      <c r="N169" s="68"/>
      <c r="O169" s="68"/>
      <c r="P169" s="68"/>
      <c r="Q169" s="99" t="e">
        <f t="shared" si="31"/>
        <v>#DIV/0!</v>
      </c>
      <c r="R169" s="100">
        <f t="shared" si="32"/>
        <v>0.43387671059875982</v>
      </c>
      <c r="S169" s="83"/>
      <c r="T169" s="83"/>
      <c r="U169" s="101">
        <f t="shared" si="33"/>
        <v>2021.2824107652905</v>
      </c>
      <c r="V169" s="59" t="e">
        <f t="shared" si="29"/>
        <v>#DIV/0!</v>
      </c>
      <c r="W169" s="68"/>
      <c r="X169" s="68"/>
      <c r="Y169" s="68"/>
      <c r="Z169" s="68"/>
      <c r="AA169" s="45"/>
      <c r="AY169" s="66"/>
      <c r="AZ169" s="66"/>
      <c r="BA169" s="66"/>
      <c r="BB169" s="22"/>
    </row>
    <row r="170" spans="2:54" x14ac:dyDescent="0.45">
      <c r="B170" s="45" t="s">
        <v>142</v>
      </c>
      <c r="C170" s="90"/>
      <c r="D170" s="56"/>
      <c r="E170" s="57"/>
      <c r="F170" s="58"/>
      <c r="G170" s="58"/>
      <c r="H170" s="58"/>
      <c r="I170" s="58"/>
      <c r="J170" s="58"/>
      <c r="K170" s="58"/>
      <c r="L170" s="59">
        <f t="shared" si="30"/>
        <v>0</v>
      </c>
      <c r="M170" s="68"/>
      <c r="N170" s="68"/>
      <c r="O170" s="68"/>
      <c r="P170" s="68"/>
      <c r="Q170" s="99" t="e">
        <f t="shared" si="31"/>
        <v>#DIV/0!</v>
      </c>
      <c r="R170" s="100">
        <f t="shared" si="32"/>
        <v>0.43387671059875982</v>
      </c>
      <c r="S170" s="83"/>
      <c r="T170" s="83"/>
      <c r="U170" s="101">
        <f t="shared" si="33"/>
        <v>2021.2824107652905</v>
      </c>
      <c r="V170" s="59" t="e">
        <f t="shared" si="29"/>
        <v>#DIV/0!</v>
      </c>
      <c r="W170" s="68"/>
      <c r="X170" s="68"/>
      <c r="Y170" s="68"/>
      <c r="Z170" s="68"/>
      <c r="AA170" s="45"/>
      <c r="AY170" s="66"/>
      <c r="AZ170" s="66"/>
      <c r="BA170" s="66"/>
      <c r="BB170" s="22"/>
    </row>
    <row r="171" spans="2:54" x14ac:dyDescent="0.45">
      <c r="B171" s="45" t="s">
        <v>143</v>
      </c>
      <c r="C171" s="90"/>
      <c r="D171" s="56"/>
      <c r="E171" s="80"/>
      <c r="F171" s="58"/>
      <c r="G171" s="58"/>
      <c r="H171" s="58"/>
      <c r="I171" s="58"/>
      <c r="J171" s="58"/>
      <c r="K171" s="58"/>
      <c r="L171" s="59">
        <f t="shared" si="30"/>
        <v>0</v>
      </c>
      <c r="M171" s="68"/>
      <c r="N171" s="68"/>
      <c r="O171" s="68"/>
      <c r="P171" s="68"/>
      <c r="Q171" s="99" t="e">
        <f t="shared" si="31"/>
        <v>#DIV/0!</v>
      </c>
      <c r="R171" s="100">
        <f t="shared" si="32"/>
        <v>0.43387671059875982</v>
      </c>
      <c r="S171" s="83"/>
      <c r="T171" s="83"/>
      <c r="U171" s="101">
        <f t="shared" si="33"/>
        <v>2021.2824107652905</v>
      </c>
      <c r="V171" s="59" t="e">
        <f t="shared" si="29"/>
        <v>#DIV/0!</v>
      </c>
      <c r="W171" s="68"/>
      <c r="X171" s="68"/>
      <c r="Y171" s="68"/>
      <c r="Z171" s="68"/>
      <c r="AA171" s="45"/>
      <c r="AY171" s="66"/>
      <c r="AZ171" s="66"/>
      <c r="BA171" s="66"/>
      <c r="BB171" s="22"/>
    </row>
    <row r="172" spans="2:54" x14ac:dyDescent="0.45">
      <c r="B172" s="45" t="s">
        <v>144</v>
      </c>
      <c r="C172" s="90"/>
      <c r="D172" s="56"/>
      <c r="E172" s="84"/>
      <c r="F172" s="58"/>
      <c r="G172" s="58"/>
      <c r="H172" s="58"/>
      <c r="I172" s="58"/>
      <c r="J172" s="58"/>
      <c r="K172" s="58"/>
      <c r="L172" s="59">
        <f t="shared" si="30"/>
        <v>0</v>
      </c>
      <c r="M172" s="68"/>
      <c r="N172" s="68"/>
      <c r="O172" s="68"/>
      <c r="P172" s="68"/>
      <c r="Q172" s="99" t="e">
        <f t="shared" si="31"/>
        <v>#DIV/0!</v>
      </c>
      <c r="R172" s="100">
        <f t="shared" si="32"/>
        <v>0.43387671059875982</v>
      </c>
      <c r="S172" s="83"/>
      <c r="T172" s="83"/>
      <c r="U172" s="101">
        <f t="shared" si="33"/>
        <v>2021.2824107652905</v>
      </c>
      <c r="V172" s="59" t="e">
        <f t="shared" si="29"/>
        <v>#DIV/0!</v>
      </c>
      <c r="W172" s="68"/>
      <c r="X172" s="68"/>
      <c r="Y172" s="68"/>
      <c r="Z172" s="68"/>
      <c r="AA172" s="45"/>
      <c r="AY172" s="66"/>
      <c r="AZ172" s="66"/>
      <c r="BA172" s="66"/>
      <c r="BB172" s="22"/>
    </row>
    <row r="173" spans="2:54" x14ac:dyDescent="0.45">
      <c r="B173" s="45" t="s">
        <v>145</v>
      </c>
      <c r="C173" s="90"/>
      <c r="D173" s="56"/>
      <c r="E173" s="57"/>
      <c r="F173" s="58"/>
      <c r="G173" s="58"/>
      <c r="H173" s="58"/>
      <c r="I173" s="58"/>
      <c r="J173" s="58"/>
      <c r="K173" s="58"/>
      <c r="L173" s="59">
        <f t="shared" si="30"/>
        <v>0</v>
      </c>
      <c r="M173" s="68"/>
      <c r="N173" s="68"/>
      <c r="O173" s="68"/>
      <c r="P173" s="68"/>
      <c r="Q173" s="99" t="e">
        <f t="shared" si="31"/>
        <v>#DIV/0!</v>
      </c>
      <c r="R173" s="100">
        <f t="shared" si="32"/>
        <v>0.43387671059875982</v>
      </c>
      <c r="S173" s="83"/>
      <c r="T173" s="83"/>
      <c r="U173" s="101">
        <f t="shared" si="33"/>
        <v>2021.2824107652905</v>
      </c>
      <c r="V173" s="59" t="e">
        <f t="shared" si="29"/>
        <v>#DIV/0!</v>
      </c>
      <c r="W173" s="68"/>
      <c r="X173" s="68"/>
      <c r="Y173" s="68"/>
      <c r="Z173" s="68"/>
      <c r="AA173" s="45"/>
      <c r="AY173" s="66"/>
      <c r="AZ173" s="66"/>
      <c r="BA173" s="66"/>
      <c r="BB173" s="22"/>
    </row>
    <row r="174" spans="2:54" x14ac:dyDescent="0.45">
      <c r="B174" s="45" t="s">
        <v>146</v>
      </c>
      <c r="C174" s="90"/>
      <c r="D174" s="56"/>
      <c r="E174" s="80"/>
      <c r="F174" s="58"/>
      <c r="G174" s="58"/>
      <c r="H174" s="58"/>
      <c r="I174" s="58"/>
      <c r="J174" s="58"/>
      <c r="K174" s="58"/>
      <c r="L174" s="59">
        <f t="shared" si="30"/>
        <v>0</v>
      </c>
      <c r="M174" s="68"/>
      <c r="N174" s="68"/>
      <c r="O174" s="68"/>
      <c r="P174" s="68"/>
      <c r="Q174" s="99" t="e">
        <f t="shared" si="31"/>
        <v>#DIV/0!</v>
      </c>
      <c r="R174" s="100">
        <f t="shared" si="32"/>
        <v>0.43387671059875982</v>
      </c>
      <c r="S174" s="83"/>
      <c r="T174" s="83"/>
      <c r="U174" s="101">
        <f t="shared" si="33"/>
        <v>2021.2824107652905</v>
      </c>
      <c r="V174" s="59" t="e">
        <f t="shared" si="29"/>
        <v>#DIV/0!</v>
      </c>
      <c r="W174" s="68"/>
      <c r="X174" s="68"/>
      <c r="Y174" s="68"/>
      <c r="Z174" s="68"/>
      <c r="AA174" s="45"/>
      <c r="AY174" s="66"/>
      <c r="AZ174" s="66"/>
      <c r="BA174" s="66"/>
      <c r="BB174" s="22"/>
    </row>
    <row r="175" spans="2:54" x14ac:dyDescent="0.45">
      <c r="B175" s="45" t="s">
        <v>147</v>
      </c>
      <c r="C175" s="90"/>
      <c r="D175" s="56"/>
      <c r="E175" s="84"/>
      <c r="F175" s="58"/>
      <c r="G175" s="58"/>
      <c r="H175" s="58"/>
      <c r="I175" s="58"/>
      <c r="J175" s="58"/>
      <c r="K175" s="58"/>
      <c r="L175" s="59">
        <f t="shared" si="30"/>
        <v>0</v>
      </c>
      <c r="M175" s="68"/>
      <c r="N175" s="68"/>
      <c r="O175" s="68"/>
      <c r="P175" s="68"/>
      <c r="Q175" s="99" t="e">
        <f t="shared" si="31"/>
        <v>#DIV/0!</v>
      </c>
      <c r="R175" s="100">
        <f t="shared" si="32"/>
        <v>0.43387671059875982</v>
      </c>
      <c r="S175" s="83"/>
      <c r="T175" s="83"/>
      <c r="U175" s="101">
        <f t="shared" si="33"/>
        <v>2021.2824107652905</v>
      </c>
      <c r="V175" s="59" t="e">
        <f t="shared" si="29"/>
        <v>#DIV/0!</v>
      </c>
      <c r="W175" s="68"/>
      <c r="X175" s="68"/>
      <c r="Y175" s="68"/>
      <c r="Z175" s="68"/>
      <c r="AA175" s="45"/>
      <c r="AY175" s="66"/>
      <c r="AZ175" s="66"/>
      <c r="BA175" s="66"/>
      <c r="BB175" s="22"/>
    </row>
    <row r="176" spans="2:54" x14ac:dyDescent="0.45">
      <c r="B176" s="45" t="s">
        <v>148</v>
      </c>
      <c r="C176" s="90"/>
      <c r="D176" s="56"/>
      <c r="E176" s="57"/>
      <c r="F176" s="58"/>
      <c r="G176" s="58"/>
      <c r="H176" s="58"/>
      <c r="I176" s="58"/>
      <c r="J176" s="58"/>
      <c r="K176" s="58"/>
      <c r="L176" s="59">
        <f t="shared" si="30"/>
        <v>0</v>
      </c>
      <c r="M176" s="68"/>
      <c r="N176" s="68"/>
      <c r="O176" s="68"/>
      <c r="P176" s="68"/>
      <c r="Q176" s="99" t="e">
        <f t="shared" si="31"/>
        <v>#DIV/0!</v>
      </c>
      <c r="R176" s="100">
        <f t="shared" si="32"/>
        <v>0.43387671059875982</v>
      </c>
      <c r="S176" s="83"/>
      <c r="T176" s="83"/>
      <c r="U176" s="101">
        <f t="shared" si="33"/>
        <v>2021.2824107652905</v>
      </c>
      <c r="V176" s="59" t="e">
        <f t="shared" si="29"/>
        <v>#DIV/0!</v>
      </c>
      <c r="W176" s="68"/>
      <c r="X176" s="68"/>
      <c r="Y176" s="68"/>
      <c r="Z176" s="68"/>
      <c r="AA176" s="45"/>
      <c r="AY176" s="66"/>
      <c r="AZ176" s="66"/>
      <c r="BA176" s="66"/>
      <c r="BB176" s="22"/>
    </row>
    <row r="177" spans="2:54" x14ac:dyDescent="0.45">
      <c r="B177" s="45" t="s">
        <v>561</v>
      </c>
      <c r="C177" s="90"/>
      <c r="D177" s="56"/>
      <c r="E177" s="80"/>
      <c r="F177" s="58"/>
      <c r="G177" s="58"/>
      <c r="H177" s="58"/>
      <c r="I177" s="58"/>
      <c r="J177" s="58"/>
      <c r="K177" s="58"/>
      <c r="L177" s="59">
        <f t="shared" si="30"/>
        <v>0</v>
      </c>
      <c r="M177" s="68"/>
      <c r="N177" s="68"/>
      <c r="O177" s="68"/>
      <c r="P177" s="68"/>
      <c r="Q177" s="99" t="e">
        <f t="shared" si="31"/>
        <v>#DIV/0!</v>
      </c>
      <c r="R177" s="100">
        <f t="shared" si="32"/>
        <v>0.43387671059875982</v>
      </c>
      <c r="S177" s="83"/>
      <c r="T177" s="83"/>
      <c r="U177" s="101">
        <f t="shared" si="33"/>
        <v>2021.2824107652905</v>
      </c>
      <c r="V177" s="59" t="e">
        <f t="shared" si="29"/>
        <v>#DIV/0!</v>
      </c>
      <c r="W177" s="68"/>
      <c r="X177" s="68"/>
      <c r="Y177" s="68"/>
      <c r="Z177" s="68"/>
      <c r="AA177" s="45"/>
      <c r="AY177" s="66"/>
      <c r="AZ177" s="66"/>
      <c r="BA177" s="66"/>
      <c r="BB177" s="22"/>
    </row>
    <row r="178" spans="2:54" x14ac:dyDescent="0.45">
      <c r="B178" s="45" t="s">
        <v>562</v>
      </c>
      <c r="C178" s="90"/>
      <c r="D178" s="56"/>
      <c r="E178" s="84"/>
      <c r="F178" s="58"/>
      <c r="G178" s="58"/>
      <c r="H178" s="58"/>
      <c r="I178" s="58"/>
      <c r="J178" s="58"/>
      <c r="K178" s="58"/>
      <c r="L178" s="59">
        <f t="shared" si="30"/>
        <v>0</v>
      </c>
      <c r="M178" s="68"/>
      <c r="N178" s="68"/>
      <c r="O178" s="68"/>
      <c r="P178" s="68"/>
      <c r="Q178" s="99" t="e">
        <f t="shared" si="31"/>
        <v>#DIV/0!</v>
      </c>
      <c r="R178" s="100">
        <f t="shared" si="32"/>
        <v>0.43387671059875982</v>
      </c>
      <c r="S178" s="83"/>
      <c r="T178" s="83"/>
      <c r="U178" s="101">
        <f t="shared" si="33"/>
        <v>2021.2824107652905</v>
      </c>
      <c r="V178" s="59" t="e">
        <f t="shared" si="29"/>
        <v>#DIV/0!</v>
      </c>
      <c r="W178" s="68"/>
      <c r="X178" s="68"/>
      <c r="Y178" s="68"/>
      <c r="Z178" s="68"/>
      <c r="AA178" s="45"/>
      <c r="AY178" s="66"/>
      <c r="AZ178" s="66"/>
      <c r="BA178" s="66"/>
      <c r="BB178" s="22"/>
    </row>
    <row r="179" spans="2:54" x14ac:dyDescent="0.45">
      <c r="B179" s="45" t="s">
        <v>563</v>
      </c>
      <c r="C179" s="90"/>
      <c r="D179" s="56"/>
      <c r="E179" s="57"/>
      <c r="F179" s="58"/>
      <c r="G179" s="58"/>
      <c r="H179" s="58"/>
      <c r="I179" s="58"/>
      <c r="J179" s="58"/>
      <c r="K179" s="58"/>
      <c r="L179" s="59">
        <f t="shared" si="30"/>
        <v>0</v>
      </c>
      <c r="M179" s="68"/>
      <c r="N179" s="68"/>
      <c r="O179" s="68"/>
      <c r="P179" s="68"/>
      <c r="Q179" s="99" t="e">
        <f t="shared" si="31"/>
        <v>#DIV/0!</v>
      </c>
      <c r="R179" s="100">
        <f t="shared" si="32"/>
        <v>0.43387671059875982</v>
      </c>
      <c r="S179" s="83"/>
      <c r="T179" s="83"/>
      <c r="U179" s="101">
        <f t="shared" si="33"/>
        <v>2021.2824107652905</v>
      </c>
      <c r="V179" s="59" t="e">
        <f t="shared" si="29"/>
        <v>#DIV/0!</v>
      </c>
      <c r="W179" s="68"/>
      <c r="X179" s="68"/>
      <c r="Y179" s="68"/>
      <c r="Z179" s="68"/>
      <c r="AA179" s="45"/>
      <c r="AY179" s="66"/>
      <c r="AZ179" s="66"/>
      <c r="BA179" s="66"/>
      <c r="BB179" s="22"/>
    </row>
    <row r="180" spans="2:54" x14ac:dyDescent="0.45">
      <c r="B180" s="45" t="s">
        <v>564</v>
      </c>
      <c r="C180" s="90"/>
      <c r="D180" s="56"/>
      <c r="E180" s="80"/>
      <c r="F180" s="58"/>
      <c r="G180" s="58"/>
      <c r="H180" s="58"/>
      <c r="I180" s="58"/>
      <c r="J180" s="58"/>
      <c r="K180" s="58"/>
      <c r="L180" s="59">
        <f t="shared" si="30"/>
        <v>0</v>
      </c>
      <c r="M180" s="68"/>
      <c r="N180" s="68"/>
      <c r="O180" s="68"/>
      <c r="P180" s="68"/>
      <c r="Q180" s="99" t="e">
        <f t="shared" si="31"/>
        <v>#DIV/0!</v>
      </c>
      <c r="R180" s="100">
        <f t="shared" si="32"/>
        <v>0.43387671059875982</v>
      </c>
      <c r="S180" s="83"/>
      <c r="T180" s="83"/>
      <c r="U180" s="101">
        <f t="shared" si="33"/>
        <v>2021.2824107652905</v>
      </c>
      <c r="V180" s="59" t="e">
        <f t="shared" si="29"/>
        <v>#DIV/0!</v>
      </c>
      <c r="W180" s="68"/>
      <c r="X180" s="68"/>
      <c r="Y180" s="68"/>
      <c r="Z180" s="68"/>
      <c r="AA180" s="45"/>
      <c r="AY180" s="66"/>
      <c r="AZ180" s="66"/>
      <c r="BA180" s="66"/>
      <c r="BB180" s="22"/>
    </row>
    <row r="181" spans="2:54" x14ac:dyDescent="0.45">
      <c r="B181" s="45" t="s">
        <v>565</v>
      </c>
      <c r="C181" s="90"/>
      <c r="D181" s="56"/>
      <c r="E181" s="84"/>
      <c r="F181" s="58"/>
      <c r="G181" s="58"/>
      <c r="H181" s="58"/>
      <c r="I181" s="58"/>
      <c r="J181" s="58"/>
      <c r="K181" s="58"/>
      <c r="L181" s="59">
        <f t="shared" si="30"/>
        <v>0</v>
      </c>
      <c r="M181" s="68"/>
      <c r="N181" s="68"/>
      <c r="O181" s="68"/>
      <c r="P181" s="68"/>
      <c r="Q181" s="99" t="e">
        <f t="shared" si="31"/>
        <v>#DIV/0!</v>
      </c>
      <c r="R181" s="100">
        <f t="shared" si="32"/>
        <v>0.43387671059875982</v>
      </c>
      <c r="S181" s="83"/>
      <c r="T181" s="83"/>
      <c r="U181" s="101">
        <f t="shared" si="33"/>
        <v>2021.2824107652905</v>
      </c>
      <c r="V181" s="59" t="e">
        <f t="shared" si="29"/>
        <v>#DIV/0!</v>
      </c>
      <c r="W181" s="68"/>
      <c r="X181" s="68"/>
      <c r="Y181" s="68"/>
      <c r="Z181" s="68"/>
      <c r="AA181" s="45"/>
      <c r="AY181" s="66"/>
      <c r="AZ181" s="66"/>
      <c r="BA181" s="66"/>
      <c r="BB181" s="22"/>
    </row>
    <row r="182" spans="2:54" x14ac:dyDescent="0.45">
      <c r="B182" s="45" t="s">
        <v>566</v>
      </c>
      <c r="C182" s="90"/>
      <c r="D182" s="56"/>
      <c r="E182" s="57"/>
      <c r="F182" s="58"/>
      <c r="G182" s="58"/>
      <c r="H182" s="58"/>
      <c r="I182" s="58"/>
      <c r="J182" s="58"/>
      <c r="K182" s="58"/>
      <c r="L182" s="59">
        <f t="shared" si="30"/>
        <v>0</v>
      </c>
      <c r="M182" s="68"/>
      <c r="N182" s="68"/>
      <c r="O182" s="68"/>
      <c r="P182" s="68"/>
      <c r="Q182" s="99" t="e">
        <f t="shared" si="31"/>
        <v>#DIV/0!</v>
      </c>
      <c r="R182" s="100">
        <f t="shared" si="32"/>
        <v>0.43387671059875982</v>
      </c>
      <c r="S182" s="83"/>
      <c r="T182" s="83"/>
      <c r="U182" s="101">
        <f t="shared" si="33"/>
        <v>2021.2824107652905</v>
      </c>
      <c r="V182" s="59" t="e">
        <f t="shared" si="29"/>
        <v>#DIV/0!</v>
      </c>
      <c r="W182" s="68"/>
      <c r="X182" s="68"/>
      <c r="Y182" s="68"/>
      <c r="Z182" s="68"/>
      <c r="AA182" s="45"/>
      <c r="AY182" s="66"/>
      <c r="AZ182" s="66"/>
      <c r="BA182" s="66"/>
      <c r="BB182" s="22"/>
    </row>
    <row r="183" spans="2:54" x14ac:dyDescent="0.45">
      <c r="B183" s="45" t="s">
        <v>567</v>
      </c>
      <c r="C183" s="90"/>
      <c r="D183" s="56"/>
      <c r="E183" s="80"/>
      <c r="F183" s="58"/>
      <c r="G183" s="58"/>
      <c r="H183" s="58"/>
      <c r="I183" s="58"/>
      <c r="J183" s="58"/>
      <c r="K183" s="58"/>
      <c r="L183" s="59">
        <f t="shared" si="30"/>
        <v>0</v>
      </c>
      <c r="M183" s="68"/>
      <c r="N183" s="68"/>
      <c r="O183" s="68"/>
      <c r="P183" s="68"/>
      <c r="Q183" s="99" t="e">
        <f t="shared" si="31"/>
        <v>#DIV/0!</v>
      </c>
      <c r="R183" s="100">
        <f t="shared" si="32"/>
        <v>0.43387671059875982</v>
      </c>
      <c r="S183" s="83"/>
      <c r="T183" s="83"/>
      <c r="U183" s="101">
        <f t="shared" si="33"/>
        <v>2021.2824107652905</v>
      </c>
      <c r="V183" s="59" t="e">
        <f t="shared" si="29"/>
        <v>#DIV/0!</v>
      </c>
      <c r="W183" s="68"/>
      <c r="X183" s="68"/>
      <c r="Y183" s="68"/>
      <c r="Z183" s="68"/>
      <c r="AA183" s="45"/>
      <c r="AY183" s="66"/>
      <c r="AZ183" s="66"/>
      <c r="BA183" s="66"/>
      <c r="BB183" s="22"/>
    </row>
    <row r="184" spans="2:54" x14ac:dyDescent="0.45">
      <c r="B184" s="45" t="s">
        <v>568</v>
      </c>
      <c r="C184" s="90"/>
      <c r="D184" s="56"/>
      <c r="E184" s="84"/>
      <c r="F184" s="58"/>
      <c r="G184" s="58"/>
      <c r="H184" s="58"/>
      <c r="I184" s="58"/>
      <c r="J184" s="58"/>
      <c r="K184" s="58"/>
      <c r="L184" s="59">
        <f t="shared" si="30"/>
        <v>0</v>
      </c>
      <c r="M184" s="68"/>
      <c r="N184" s="68"/>
      <c r="O184" s="68"/>
      <c r="P184" s="68"/>
      <c r="Q184" s="99" t="e">
        <f t="shared" si="31"/>
        <v>#DIV/0!</v>
      </c>
      <c r="R184" s="100">
        <f t="shared" si="32"/>
        <v>0.43387671059875982</v>
      </c>
      <c r="S184" s="83"/>
      <c r="T184" s="83"/>
      <c r="U184" s="101">
        <f t="shared" si="33"/>
        <v>2021.2824107652905</v>
      </c>
      <c r="V184" s="59" t="e">
        <f t="shared" si="29"/>
        <v>#DIV/0!</v>
      </c>
      <c r="W184" s="68"/>
      <c r="X184" s="68"/>
      <c r="Y184" s="68"/>
      <c r="Z184" s="68"/>
      <c r="AA184" s="45"/>
      <c r="AY184" s="66"/>
      <c r="AZ184" s="66"/>
      <c r="BA184" s="66"/>
      <c r="BB184" s="22"/>
    </row>
    <row r="185" spans="2:54" x14ac:dyDescent="0.45">
      <c r="B185" s="45" t="s">
        <v>569</v>
      </c>
      <c r="C185" s="90"/>
      <c r="D185" s="56"/>
      <c r="E185" s="57"/>
      <c r="F185" s="58"/>
      <c r="G185" s="58"/>
      <c r="H185" s="58"/>
      <c r="I185" s="58"/>
      <c r="J185" s="58"/>
      <c r="K185" s="58"/>
      <c r="L185" s="59">
        <f t="shared" si="30"/>
        <v>0</v>
      </c>
      <c r="M185" s="68"/>
      <c r="N185" s="68"/>
      <c r="O185" s="68"/>
      <c r="P185" s="68"/>
      <c r="Q185" s="99" t="e">
        <f t="shared" si="31"/>
        <v>#DIV/0!</v>
      </c>
      <c r="R185" s="100">
        <f t="shared" si="32"/>
        <v>0.43387671059875982</v>
      </c>
      <c r="S185" s="83"/>
      <c r="T185" s="83"/>
      <c r="U185" s="101">
        <f t="shared" si="33"/>
        <v>2021.2824107652905</v>
      </c>
      <c r="V185" s="59" t="e">
        <f t="shared" si="29"/>
        <v>#DIV/0!</v>
      </c>
      <c r="W185" s="68"/>
      <c r="X185" s="68"/>
      <c r="Y185" s="68"/>
      <c r="Z185" s="68"/>
      <c r="AA185" s="45"/>
      <c r="AY185" s="66"/>
      <c r="AZ185" s="66"/>
      <c r="BA185" s="66"/>
      <c r="BB185" s="22"/>
    </row>
    <row r="186" spans="2:54" x14ac:dyDescent="0.45">
      <c r="B186" s="45" t="s">
        <v>570</v>
      </c>
      <c r="C186" s="90"/>
      <c r="D186" s="56"/>
      <c r="E186" s="80"/>
      <c r="F186" s="58"/>
      <c r="G186" s="58"/>
      <c r="H186" s="58"/>
      <c r="I186" s="58"/>
      <c r="J186" s="58"/>
      <c r="K186" s="58"/>
      <c r="L186" s="59">
        <f t="shared" si="30"/>
        <v>0</v>
      </c>
      <c r="M186" s="68"/>
      <c r="N186" s="68"/>
      <c r="O186" s="68"/>
      <c r="P186" s="68"/>
      <c r="Q186" s="99" t="e">
        <f t="shared" si="31"/>
        <v>#DIV/0!</v>
      </c>
      <c r="R186" s="100">
        <f t="shared" si="32"/>
        <v>0.43387671059875982</v>
      </c>
      <c r="S186" s="83"/>
      <c r="T186" s="83"/>
      <c r="U186" s="101">
        <f t="shared" si="33"/>
        <v>2021.2824107652905</v>
      </c>
      <c r="V186" s="59" t="e">
        <f t="shared" si="29"/>
        <v>#DIV/0!</v>
      </c>
      <c r="W186" s="68"/>
      <c r="X186" s="68"/>
      <c r="Y186" s="68"/>
      <c r="Z186" s="68"/>
      <c r="AA186" s="45"/>
      <c r="AY186" s="66"/>
      <c r="AZ186" s="66"/>
      <c r="BA186" s="66"/>
      <c r="BB186" s="22"/>
    </row>
    <row r="187" spans="2:54" x14ac:dyDescent="0.45">
      <c r="B187" s="45" t="s">
        <v>571</v>
      </c>
      <c r="C187" s="90"/>
      <c r="D187" s="56"/>
      <c r="E187" s="84"/>
      <c r="F187" s="58"/>
      <c r="G187" s="58"/>
      <c r="H187" s="58"/>
      <c r="I187" s="58"/>
      <c r="J187" s="58"/>
      <c r="K187" s="58"/>
      <c r="L187" s="59">
        <f t="shared" si="30"/>
        <v>0</v>
      </c>
      <c r="M187" s="68"/>
      <c r="N187" s="68"/>
      <c r="O187" s="68"/>
      <c r="P187" s="68"/>
      <c r="Q187" s="99" t="e">
        <f t="shared" si="31"/>
        <v>#DIV/0!</v>
      </c>
      <c r="R187" s="100">
        <f t="shared" si="32"/>
        <v>0.43387671059875982</v>
      </c>
      <c r="S187" s="83"/>
      <c r="T187" s="83"/>
      <c r="U187" s="101">
        <f t="shared" si="33"/>
        <v>2021.2824107652905</v>
      </c>
      <c r="V187" s="59" t="e">
        <f t="shared" si="29"/>
        <v>#DIV/0!</v>
      </c>
      <c r="W187" s="68"/>
      <c r="X187" s="68"/>
      <c r="Y187" s="68"/>
      <c r="Z187" s="68"/>
      <c r="AA187" s="45"/>
      <c r="AY187" s="66"/>
      <c r="AZ187" s="66"/>
      <c r="BA187" s="66"/>
      <c r="BB187" s="22"/>
    </row>
    <row r="188" spans="2:54" x14ac:dyDescent="0.45">
      <c r="B188" s="45" t="s">
        <v>572</v>
      </c>
      <c r="C188" s="90"/>
      <c r="D188" s="56"/>
      <c r="E188" s="57"/>
      <c r="F188" s="58"/>
      <c r="G188" s="58"/>
      <c r="H188" s="58"/>
      <c r="I188" s="58"/>
      <c r="J188" s="58"/>
      <c r="K188" s="58"/>
      <c r="L188" s="59">
        <f t="shared" si="30"/>
        <v>0</v>
      </c>
      <c r="M188" s="68"/>
      <c r="N188" s="68"/>
      <c r="O188" s="68"/>
      <c r="P188" s="68"/>
      <c r="Q188" s="99" t="e">
        <f t="shared" si="31"/>
        <v>#DIV/0!</v>
      </c>
      <c r="R188" s="100">
        <f t="shared" si="32"/>
        <v>0.43387671059875982</v>
      </c>
      <c r="S188" s="83"/>
      <c r="T188" s="83"/>
      <c r="U188" s="101">
        <f t="shared" si="33"/>
        <v>2021.2824107652905</v>
      </c>
      <c r="V188" s="59" t="e">
        <f t="shared" si="29"/>
        <v>#DIV/0!</v>
      </c>
      <c r="W188" s="68"/>
      <c r="X188" s="68"/>
      <c r="Y188" s="68"/>
      <c r="Z188" s="68"/>
      <c r="AA188" s="45"/>
      <c r="AY188" s="66"/>
      <c r="AZ188" s="66"/>
      <c r="BA188" s="66"/>
      <c r="BB188" s="22"/>
    </row>
    <row r="189" spans="2:54" x14ac:dyDescent="0.45">
      <c r="B189" s="45" t="s">
        <v>573</v>
      </c>
      <c r="C189" s="90"/>
      <c r="D189" s="56"/>
      <c r="E189" s="80"/>
      <c r="F189" s="58"/>
      <c r="G189" s="58"/>
      <c r="H189" s="58"/>
      <c r="I189" s="58"/>
      <c r="J189" s="58"/>
      <c r="K189" s="58"/>
      <c r="L189" s="59">
        <f t="shared" si="30"/>
        <v>0</v>
      </c>
      <c r="M189" s="68"/>
      <c r="N189" s="68"/>
      <c r="O189" s="68"/>
      <c r="P189" s="68"/>
      <c r="Q189" s="99" t="e">
        <f t="shared" si="31"/>
        <v>#DIV/0!</v>
      </c>
      <c r="R189" s="100">
        <f t="shared" si="32"/>
        <v>0.43387671059875982</v>
      </c>
      <c r="S189" s="83"/>
      <c r="T189" s="83"/>
      <c r="U189" s="101">
        <f t="shared" si="33"/>
        <v>2021.2824107652905</v>
      </c>
      <c r="V189" s="59" t="e">
        <f t="shared" si="29"/>
        <v>#DIV/0!</v>
      </c>
      <c r="W189" s="68"/>
      <c r="X189" s="68"/>
      <c r="Y189" s="68"/>
      <c r="Z189" s="68"/>
      <c r="AA189" s="45"/>
      <c r="AY189" s="66"/>
      <c r="AZ189" s="66"/>
      <c r="BA189" s="66"/>
      <c r="BB189" s="22"/>
    </row>
    <row r="190" spans="2:54" x14ac:dyDescent="0.45">
      <c r="B190" s="45" t="s">
        <v>574</v>
      </c>
      <c r="C190" s="90"/>
      <c r="D190" s="56"/>
      <c r="E190" s="84"/>
      <c r="F190" s="58"/>
      <c r="G190" s="58"/>
      <c r="H190" s="58"/>
      <c r="I190" s="58"/>
      <c r="J190" s="58"/>
      <c r="K190" s="58"/>
      <c r="L190" s="59">
        <f t="shared" si="30"/>
        <v>0</v>
      </c>
      <c r="M190" s="68"/>
      <c r="N190" s="68"/>
      <c r="O190" s="68"/>
      <c r="P190" s="68"/>
      <c r="Q190" s="99" t="e">
        <f t="shared" si="31"/>
        <v>#DIV/0!</v>
      </c>
      <c r="R190" s="100">
        <f t="shared" si="32"/>
        <v>0.43387671059875982</v>
      </c>
      <c r="S190" s="83"/>
      <c r="T190" s="83"/>
      <c r="U190" s="101">
        <f t="shared" si="33"/>
        <v>2021.2824107652905</v>
      </c>
      <c r="V190" s="59" t="e">
        <f t="shared" si="29"/>
        <v>#DIV/0!</v>
      </c>
      <c r="W190" s="68"/>
      <c r="X190" s="68"/>
      <c r="Y190" s="68"/>
      <c r="Z190" s="68"/>
      <c r="AA190" s="45"/>
      <c r="AY190" s="66"/>
      <c r="AZ190" s="66"/>
      <c r="BA190" s="66"/>
      <c r="BB190" s="22"/>
    </row>
    <row r="191" spans="2:54" x14ac:dyDescent="0.45">
      <c r="B191" s="45" t="s">
        <v>575</v>
      </c>
      <c r="C191" s="90"/>
      <c r="D191" s="56"/>
      <c r="E191" s="57"/>
      <c r="F191" s="58"/>
      <c r="G191" s="58"/>
      <c r="H191" s="58"/>
      <c r="I191" s="58"/>
      <c r="J191" s="58"/>
      <c r="K191" s="58"/>
      <c r="L191" s="59">
        <f t="shared" si="30"/>
        <v>0</v>
      </c>
      <c r="M191" s="68"/>
      <c r="N191" s="68"/>
      <c r="O191" s="68"/>
      <c r="P191" s="68"/>
      <c r="Q191" s="99" t="e">
        <f t="shared" si="31"/>
        <v>#DIV/0!</v>
      </c>
      <c r="R191" s="100">
        <f t="shared" si="32"/>
        <v>0.43387671059875982</v>
      </c>
      <c r="S191" s="83"/>
      <c r="T191" s="83"/>
      <c r="U191" s="101">
        <f t="shared" si="33"/>
        <v>2021.2824107652905</v>
      </c>
      <c r="V191" s="59" t="e">
        <f t="shared" si="29"/>
        <v>#DIV/0!</v>
      </c>
      <c r="W191" s="68"/>
      <c r="X191" s="68"/>
      <c r="Y191" s="68"/>
      <c r="Z191" s="68"/>
      <c r="AA191" s="45"/>
      <c r="AY191" s="66"/>
      <c r="AZ191" s="66"/>
      <c r="BA191" s="66"/>
      <c r="BB191" s="22"/>
    </row>
    <row r="192" spans="2:54" x14ac:dyDescent="0.45">
      <c r="B192" s="45" t="s">
        <v>576</v>
      </c>
      <c r="C192" s="90"/>
      <c r="D192" s="56"/>
      <c r="E192" s="80"/>
      <c r="F192" s="58"/>
      <c r="G192" s="58"/>
      <c r="H192" s="58"/>
      <c r="I192" s="58"/>
      <c r="J192" s="58"/>
      <c r="K192" s="58"/>
      <c r="L192" s="59">
        <f t="shared" si="30"/>
        <v>0</v>
      </c>
      <c r="M192" s="68"/>
      <c r="N192" s="68"/>
      <c r="O192" s="68"/>
      <c r="P192" s="68"/>
      <c r="Q192" s="99" t="e">
        <f t="shared" si="31"/>
        <v>#DIV/0!</v>
      </c>
      <c r="R192" s="100">
        <f t="shared" si="32"/>
        <v>0.43387671059875982</v>
      </c>
      <c r="S192" s="83"/>
      <c r="T192" s="83"/>
      <c r="U192" s="101">
        <f t="shared" si="33"/>
        <v>2021.2824107652905</v>
      </c>
      <c r="V192" s="59" t="e">
        <f t="shared" si="29"/>
        <v>#DIV/0!</v>
      </c>
      <c r="W192" s="68"/>
      <c r="X192" s="68"/>
      <c r="Y192" s="68"/>
      <c r="Z192" s="68"/>
      <c r="AA192" s="45"/>
      <c r="AY192" s="66"/>
      <c r="AZ192" s="66"/>
      <c r="BA192" s="66"/>
      <c r="BB192" s="22"/>
    </row>
    <row r="193" spans="2:54" x14ac:dyDescent="0.45">
      <c r="B193" s="45" t="s">
        <v>577</v>
      </c>
      <c r="C193" s="90"/>
      <c r="D193" s="56"/>
      <c r="E193" s="84"/>
      <c r="F193" s="58"/>
      <c r="G193" s="58"/>
      <c r="H193" s="58"/>
      <c r="I193" s="58"/>
      <c r="J193" s="58"/>
      <c r="K193" s="58"/>
      <c r="L193" s="59">
        <f t="shared" si="30"/>
        <v>0</v>
      </c>
      <c r="M193" s="68"/>
      <c r="N193" s="68"/>
      <c r="O193" s="68"/>
      <c r="P193" s="68"/>
      <c r="Q193" s="99" t="e">
        <f t="shared" si="31"/>
        <v>#DIV/0!</v>
      </c>
      <c r="R193" s="100">
        <f t="shared" si="32"/>
        <v>0.43387671059875982</v>
      </c>
      <c r="S193" s="83"/>
      <c r="T193" s="83"/>
      <c r="U193" s="101">
        <f t="shared" si="33"/>
        <v>2021.2824107652905</v>
      </c>
      <c r="V193" s="59" t="e">
        <f t="shared" si="29"/>
        <v>#DIV/0!</v>
      </c>
      <c r="W193" s="68"/>
      <c r="X193" s="68"/>
      <c r="Y193" s="68"/>
      <c r="Z193" s="68"/>
      <c r="AA193" s="45"/>
      <c r="AY193" s="66"/>
      <c r="AZ193" s="66"/>
      <c r="BA193" s="66"/>
      <c r="BB193" s="22"/>
    </row>
    <row r="194" spans="2:54" x14ac:dyDescent="0.45">
      <c r="B194" s="45" t="s">
        <v>578</v>
      </c>
      <c r="C194" s="90"/>
      <c r="D194" s="56"/>
      <c r="E194" s="57"/>
      <c r="F194" s="58"/>
      <c r="G194" s="58"/>
      <c r="H194" s="58"/>
      <c r="I194" s="58"/>
      <c r="J194" s="58"/>
      <c r="K194" s="58"/>
      <c r="L194" s="59">
        <f t="shared" si="30"/>
        <v>0</v>
      </c>
      <c r="M194" s="68"/>
      <c r="N194" s="68"/>
      <c r="O194" s="68"/>
      <c r="P194" s="68"/>
      <c r="Q194" s="99" t="e">
        <f t="shared" si="31"/>
        <v>#DIV/0!</v>
      </c>
      <c r="R194" s="100">
        <f t="shared" si="32"/>
        <v>0.43387671059875982</v>
      </c>
      <c r="S194" s="83"/>
      <c r="T194" s="83"/>
      <c r="U194" s="101">
        <f t="shared" si="33"/>
        <v>2021.2824107652905</v>
      </c>
      <c r="V194" s="59" t="e">
        <f t="shared" si="29"/>
        <v>#DIV/0!</v>
      </c>
      <c r="W194" s="68"/>
      <c r="X194" s="68"/>
      <c r="Y194" s="68"/>
      <c r="Z194" s="68"/>
      <c r="AA194" s="45"/>
      <c r="AY194" s="66"/>
      <c r="AZ194" s="66"/>
      <c r="BA194" s="66"/>
      <c r="BB194" s="22"/>
    </row>
    <row r="195" spans="2:54" x14ac:dyDescent="0.45">
      <c r="B195" s="45" t="s">
        <v>579</v>
      </c>
      <c r="C195" s="90"/>
      <c r="D195" s="56"/>
      <c r="E195" s="80"/>
      <c r="F195" s="58"/>
      <c r="G195" s="58"/>
      <c r="H195" s="58"/>
      <c r="I195" s="58"/>
      <c r="J195" s="58"/>
      <c r="K195" s="58"/>
      <c r="L195" s="59">
        <f t="shared" si="30"/>
        <v>0</v>
      </c>
      <c r="M195" s="68"/>
      <c r="N195" s="68"/>
      <c r="O195" s="68"/>
      <c r="P195" s="68"/>
      <c r="Q195" s="99" t="e">
        <f t="shared" si="31"/>
        <v>#DIV/0!</v>
      </c>
      <c r="R195" s="100">
        <f t="shared" si="32"/>
        <v>0.43387671059875982</v>
      </c>
      <c r="S195" s="83"/>
      <c r="T195" s="83"/>
      <c r="U195" s="101">
        <f t="shared" si="33"/>
        <v>2021.2824107652905</v>
      </c>
      <c r="V195" s="59" t="e">
        <f t="shared" si="29"/>
        <v>#DIV/0!</v>
      </c>
      <c r="W195" s="68"/>
      <c r="X195" s="68"/>
      <c r="Y195" s="68"/>
      <c r="Z195" s="68"/>
      <c r="AA195" s="45"/>
      <c r="AY195" s="66"/>
      <c r="AZ195" s="66"/>
      <c r="BA195" s="66"/>
      <c r="BB195" s="22"/>
    </row>
    <row r="196" spans="2:54" x14ac:dyDescent="0.45">
      <c r="B196" s="45" t="s">
        <v>580</v>
      </c>
      <c r="C196" s="90"/>
      <c r="D196" s="56"/>
      <c r="E196" s="84"/>
      <c r="F196" s="58"/>
      <c r="G196" s="58"/>
      <c r="H196" s="58"/>
      <c r="I196" s="58"/>
      <c r="J196" s="58"/>
      <c r="K196" s="58"/>
      <c r="L196" s="59">
        <f t="shared" si="30"/>
        <v>0</v>
      </c>
      <c r="M196" s="68"/>
      <c r="N196" s="68"/>
      <c r="O196" s="68"/>
      <c r="P196" s="68"/>
      <c r="Q196" s="99" t="e">
        <f t="shared" si="31"/>
        <v>#DIV/0!</v>
      </c>
      <c r="R196" s="100">
        <f t="shared" si="32"/>
        <v>0.43387671059875982</v>
      </c>
      <c r="S196" s="83"/>
      <c r="T196" s="83"/>
      <c r="U196" s="101">
        <f t="shared" si="33"/>
        <v>2021.2824107652905</v>
      </c>
      <c r="V196" s="59" t="e">
        <f t="shared" si="29"/>
        <v>#DIV/0!</v>
      </c>
      <c r="W196" s="68"/>
      <c r="X196" s="68"/>
      <c r="Y196" s="68"/>
      <c r="Z196" s="68"/>
      <c r="AA196" s="45"/>
      <c r="AY196" s="66"/>
      <c r="AZ196" s="66"/>
      <c r="BA196" s="66"/>
      <c r="BB196" s="22"/>
    </row>
    <row r="197" spans="2:54" x14ac:dyDescent="0.45">
      <c r="B197" s="45" t="s">
        <v>581</v>
      </c>
      <c r="C197" s="90"/>
      <c r="D197" s="56"/>
      <c r="E197" s="57"/>
      <c r="F197" s="58"/>
      <c r="G197" s="58"/>
      <c r="H197" s="58"/>
      <c r="I197" s="58"/>
      <c r="J197" s="58"/>
      <c r="K197" s="58"/>
      <c r="L197" s="59">
        <f t="shared" si="30"/>
        <v>0</v>
      </c>
      <c r="M197" s="68"/>
      <c r="N197" s="68"/>
      <c r="O197" s="68"/>
      <c r="P197" s="68"/>
      <c r="Q197" s="99" t="e">
        <f t="shared" si="31"/>
        <v>#DIV/0!</v>
      </c>
      <c r="R197" s="100">
        <f t="shared" si="32"/>
        <v>0.43387671059875982</v>
      </c>
      <c r="S197" s="83"/>
      <c r="T197" s="83"/>
      <c r="U197" s="101">
        <f t="shared" si="33"/>
        <v>2021.2824107652905</v>
      </c>
      <c r="V197" s="59" t="e">
        <f t="shared" si="29"/>
        <v>#DIV/0!</v>
      </c>
      <c r="W197" s="68"/>
      <c r="X197" s="68"/>
      <c r="Y197" s="68"/>
      <c r="Z197" s="68"/>
      <c r="AA197" s="45"/>
      <c r="AY197" s="66"/>
      <c r="AZ197" s="66"/>
      <c r="BA197" s="66"/>
      <c r="BB197" s="22"/>
    </row>
    <row r="198" spans="2:54" x14ac:dyDescent="0.45">
      <c r="B198" s="45" t="s">
        <v>582</v>
      </c>
      <c r="C198" s="90"/>
      <c r="D198" s="56"/>
      <c r="E198" s="80"/>
      <c r="F198" s="58"/>
      <c r="G198" s="58"/>
      <c r="H198" s="58"/>
      <c r="I198" s="58"/>
      <c r="J198" s="58"/>
      <c r="K198" s="58"/>
      <c r="L198" s="59">
        <f t="shared" si="30"/>
        <v>0</v>
      </c>
      <c r="M198" s="68"/>
      <c r="N198" s="68"/>
      <c r="O198" s="68"/>
      <c r="P198" s="68"/>
      <c r="Q198" s="99" t="e">
        <f t="shared" si="31"/>
        <v>#DIV/0!</v>
      </c>
      <c r="R198" s="100">
        <f t="shared" si="32"/>
        <v>0.43387671059875982</v>
      </c>
      <c r="S198" s="83"/>
      <c r="T198" s="83"/>
      <c r="U198" s="101">
        <f t="shared" si="33"/>
        <v>2021.2824107652905</v>
      </c>
      <c r="V198" s="59" t="e">
        <f t="shared" si="29"/>
        <v>#DIV/0!</v>
      </c>
      <c r="W198" s="68"/>
      <c r="X198" s="68"/>
      <c r="Y198" s="68"/>
      <c r="Z198" s="68"/>
      <c r="AA198" s="45"/>
      <c r="AY198" s="66"/>
      <c r="AZ198" s="66"/>
      <c r="BA198" s="66"/>
      <c r="BB198" s="22"/>
    </row>
    <row r="199" spans="2:54" x14ac:dyDescent="0.45">
      <c r="B199" s="45" t="s">
        <v>583</v>
      </c>
      <c r="C199" s="90"/>
      <c r="D199" s="56"/>
      <c r="E199" s="84"/>
      <c r="F199" s="58"/>
      <c r="G199" s="58"/>
      <c r="H199" s="58"/>
      <c r="I199" s="58"/>
      <c r="J199" s="58"/>
      <c r="K199" s="58"/>
      <c r="L199" s="59">
        <f t="shared" si="30"/>
        <v>0</v>
      </c>
      <c r="M199" s="68"/>
      <c r="N199" s="68"/>
      <c r="O199" s="68"/>
      <c r="P199" s="68"/>
      <c r="Q199" s="99" t="e">
        <f t="shared" si="31"/>
        <v>#DIV/0!</v>
      </c>
      <c r="R199" s="100">
        <f t="shared" si="32"/>
        <v>0.43387671059875982</v>
      </c>
      <c r="S199" s="83"/>
      <c r="T199" s="83"/>
      <c r="U199" s="101">
        <f t="shared" si="33"/>
        <v>2021.2824107652905</v>
      </c>
      <c r="V199" s="59" t="e">
        <f t="shared" si="29"/>
        <v>#DIV/0!</v>
      </c>
      <c r="W199" s="68"/>
      <c r="X199" s="68"/>
      <c r="Y199" s="68"/>
      <c r="Z199" s="68"/>
      <c r="AA199" s="45"/>
      <c r="AY199" s="66"/>
      <c r="AZ199" s="66"/>
      <c r="BA199" s="66"/>
      <c r="BB199" s="22"/>
    </row>
    <row r="200" spans="2:54" x14ac:dyDescent="0.45">
      <c r="B200" s="45" t="s">
        <v>584</v>
      </c>
      <c r="C200" s="90"/>
      <c r="D200" s="56"/>
      <c r="E200" s="57"/>
      <c r="F200" s="58"/>
      <c r="G200" s="58"/>
      <c r="H200" s="58"/>
      <c r="I200" s="58"/>
      <c r="J200" s="58"/>
      <c r="K200" s="58"/>
      <c r="L200" s="59">
        <f t="shared" si="30"/>
        <v>0</v>
      </c>
      <c r="M200" s="68"/>
      <c r="N200" s="68"/>
      <c r="O200" s="68"/>
      <c r="P200" s="68"/>
      <c r="Q200" s="99" t="e">
        <f t="shared" si="31"/>
        <v>#DIV/0!</v>
      </c>
      <c r="R200" s="100">
        <f t="shared" si="32"/>
        <v>0.43387671059875982</v>
      </c>
      <c r="S200" s="83"/>
      <c r="T200" s="83"/>
      <c r="U200" s="101">
        <f t="shared" si="33"/>
        <v>2021.2824107652905</v>
      </c>
      <c r="V200" s="59" t="e">
        <f t="shared" si="29"/>
        <v>#DIV/0!</v>
      </c>
      <c r="W200" s="68"/>
      <c r="X200" s="68"/>
      <c r="Y200" s="68"/>
      <c r="Z200" s="68"/>
      <c r="AA200" s="45"/>
      <c r="AY200" s="66"/>
      <c r="AZ200" s="66"/>
      <c r="BA200" s="66"/>
      <c r="BB200" s="22"/>
    </row>
    <row r="201" spans="2:54" x14ac:dyDescent="0.45">
      <c r="B201" s="45" t="s">
        <v>585</v>
      </c>
      <c r="C201" s="90"/>
      <c r="D201" s="56"/>
      <c r="E201" s="80"/>
      <c r="F201" s="58"/>
      <c r="G201" s="58"/>
      <c r="H201" s="58"/>
      <c r="I201" s="58"/>
      <c r="J201" s="58"/>
      <c r="K201" s="58"/>
      <c r="L201" s="59">
        <f t="shared" si="30"/>
        <v>0</v>
      </c>
      <c r="M201" s="68"/>
      <c r="N201" s="68"/>
      <c r="O201" s="68"/>
      <c r="P201" s="68"/>
      <c r="Q201" s="99" t="e">
        <f t="shared" si="31"/>
        <v>#DIV/0!</v>
      </c>
      <c r="R201" s="100">
        <f t="shared" si="32"/>
        <v>0.43387671059875982</v>
      </c>
      <c r="S201" s="83"/>
      <c r="T201" s="83"/>
      <c r="U201" s="101">
        <f t="shared" si="33"/>
        <v>2021.2824107652905</v>
      </c>
      <c r="V201" s="59" t="e">
        <f t="shared" si="29"/>
        <v>#DIV/0!</v>
      </c>
      <c r="W201" s="68"/>
      <c r="X201" s="68"/>
      <c r="Y201" s="68"/>
      <c r="Z201" s="68"/>
      <c r="AA201" s="45"/>
      <c r="AY201" s="66"/>
      <c r="AZ201" s="66"/>
      <c r="BA201" s="66"/>
      <c r="BB201" s="22"/>
    </row>
    <row r="202" spans="2:54" x14ac:dyDescent="0.45">
      <c r="B202" s="45" t="s">
        <v>586</v>
      </c>
      <c r="C202" s="90"/>
      <c r="D202" s="56"/>
      <c r="E202" s="84"/>
      <c r="F202" s="58"/>
      <c r="G202" s="58"/>
      <c r="H202" s="58"/>
      <c r="I202" s="58"/>
      <c r="J202" s="58"/>
      <c r="K202" s="58"/>
      <c r="L202" s="59">
        <f t="shared" si="30"/>
        <v>0</v>
      </c>
      <c r="M202" s="68"/>
      <c r="N202" s="68"/>
      <c r="O202" s="68"/>
      <c r="P202" s="68"/>
      <c r="Q202" s="99" t="e">
        <f t="shared" si="31"/>
        <v>#DIV/0!</v>
      </c>
      <c r="R202" s="100">
        <f t="shared" si="32"/>
        <v>0.43387671059875982</v>
      </c>
      <c r="S202" s="83"/>
      <c r="T202" s="83"/>
      <c r="U202" s="101">
        <f t="shared" si="33"/>
        <v>2021.2824107652905</v>
      </c>
      <c r="V202" s="59" t="e">
        <f t="shared" si="29"/>
        <v>#DIV/0!</v>
      </c>
      <c r="W202" s="68"/>
      <c r="X202" s="68"/>
      <c r="Y202" s="68"/>
      <c r="Z202" s="68"/>
      <c r="AA202" s="45"/>
      <c r="AY202" s="66"/>
      <c r="AZ202" s="66"/>
      <c r="BA202" s="66"/>
      <c r="BB202" s="22"/>
    </row>
    <row r="203" spans="2:54" x14ac:dyDescent="0.45">
      <c r="B203" s="45" t="s">
        <v>587</v>
      </c>
      <c r="C203" s="90"/>
      <c r="D203" s="56"/>
      <c r="E203" s="57"/>
      <c r="F203" s="58"/>
      <c r="G203" s="58"/>
      <c r="H203" s="58"/>
      <c r="I203" s="58"/>
      <c r="J203" s="58"/>
      <c r="K203" s="58"/>
      <c r="L203" s="59">
        <f t="shared" si="30"/>
        <v>0</v>
      </c>
      <c r="M203" s="68"/>
      <c r="N203" s="68"/>
      <c r="O203" s="68"/>
      <c r="P203" s="68"/>
      <c r="Q203" s="99" t="e">
        <f t="shared" si="31"/>
        <v>#DIV/0!</v>
      </c>
      <c r="R203" s="100">
        <f t="shared" si="32"/>
        <v>0.43387671059875982</v>
      </c>
      <c r="S203" s="83"/>
      <c r="T203" s="83"/>
      <c r="U203" s="101">
        <f t="shared" si="33"/>
        <v>2021.2824107652905</v>
      </c>
      <c r="V203" s="59" t="e">
        <f t="shared" si="29"/>
        <v>#DIV/0!</v>
      </c>
      <c r="W203" s="68"/>
      <c r="X203" s="68"/>
      <c r="Y203" s="68"/>
      <c r="Z203" s="68"/>
      <c r="AA203" s="45"/>
      <c r="AY203" s="66"/>
      <c r="AZ203" s="66"/>
      <c r="BA203" s="66"/>
      <c r="BB203" s="22"/>
    </row>
    <row r="204" spans="2:54" x14ac:dyDescent="0.45">
      <c r="B204" s="45" t="s">
        <v>588</v>
      </c>
      <c r="C204" s="90"/>
      <c r="D204" s="56"/>
      <c r="E204" s="80"/>
      <c r="F204" s="58"/>
      <c r="G204" s="58"/>
      <c r="H204" s="58"/>
      <c r="I204" s="58"/>
      <c r="J204" s="58"/>
      <c r="K204" s="58"/>
      <c r="L204" s="59">
        <f t="shared" si="30"/>
        <v>0</v>
      </c>
      <c r="M204" s="68"/>
      <c r="N204" s="68"/>
      <c r="O204" s="68"/>
      <c r="P204" s="68"/>
      <c r="Q204" s="99" t="e">
        <f t="shared" si="31"/>
        <v>#DIV/0!</v>
      </c>
      <c r="R204" s="100">
        <f t="shared" si="32"/>
        <v>0.43387671059875982</v>
      </c>
      <c r="S204" s="83"/>
      <c r="T204" s="83"/>
      <c r="U204" s="101">
        <f t="shared" si="33"/>
        <v>2021.2824107652905</v>
      </c>
      <c r="V204" s="59" t="e">
        <f t="shared" si="29"/>
        <v>#DIV/0!</v>
      </c>
      <c r="W204" s="68"/>
      <c r="X204" s="68"/>
      <c r="Y204" s="68"/>
      <c r="Z204" s="68"/>
      <c r="AA204" s="45"/>
      <c r="AY204" s="66"/>
      <c r="AZ204" s="66"/>
      <c r="BA204" s="66"/>
      <c r="BB204" s="22"/>
    </row>
    <row r="205" spans="2:54" x14ac:dyDescent="0.45">
      <c r="B205" s="45" t="s">
        <v>589</v>
      </c>
      <c r="C205" s="90"/>
      <c r="D205" s="56"/>
      <c r="E205" s="84"/>
      <c r="F205" s="58"/>
      <c r="G205" s="58"/>
      <c r="H205" s="58"/>
      <c r="I205" s="58"/>
      <c r="J205" s="58"/>
      <c r="K205" s="58"/>
      <c r="L205" s="59">
        <f t="shared" si="30"/>
        <v>0</v>
      </c>
      <c r="M205" s="68"/>
      <c r="N205" s="68"/>
      <c r="O205" s="68"/>
      <c r="P205" s="68"/>
      <c r="Q205" s="99" t="e">
        <f t="shared" si="31"/>
        <v>#DIV/0!</v>
      </c>
      <c r="R205" s="100">
        <f t="shared" si="32"/>
        <v>0.43387671059875982</v>
      </c>
      <c r="S205" s="83"/>
      <c r="T205" s="83"/>
      <c r="U205" s="101">
        <f t="shared" si="33"/>
        <v>2021.2824107652905</v>
      </c>
      <c r="V205" s="59" t="e">
        <f t="shared" si="29"/>
        <v>#DIV/0!</v>
      </c>
      <c r="W205" s="68"/>
      <c r="X205" s="68"/>
      <c r="Y205" s="68"/>
      <c r="Z205" s="68"/>
      <c r="AA205" s="45"/>
      <c r="AY205" s="66"/>
      <c r="AZ205" s="66"/>
      <c r="BA205" s="66"/>
      <c r="BB205" s="22"/>
    </row>
    <row r="206" spans="2:54" x14ac:dyDescent="0.45">
      <c r="B206" s="45" t="s">
        <v>590</v>
      </c>
      <c r="C206" s="90"/>
      <c r="D206" s="56"/>
      <c r="E206" s="57"/>
      <c r="F206" s="58"/>
      <c r="G206" s="58"/>
      <c r="H206" s="58"/>
      <c r="I206" s="58"/>
      <c r="J206" s="58"/>
      <c r="K206" s="58"/>
      <c r="L206" s="59">
        <f t="shared" si="30"/>
        <v>0</v>
      </c>
      <c r="M206" s="68"/>
      <c r="N206" s="68"/>
      <c r="O206" s="68"/>
      <c r="P206" s="68"/>
      <c r="Q206" s="99" t="e">
        <f t="shared" si="31"/>
        <v>#DIV/0!</v>
      </c>
      <c r="R206" s="100">
        <f t="shared" si="32"/>
        <v>0.43387671059875982</v>
      </c>
      <c r="S206" s="83"/>
      <c r="T206" s="83"/>
      <c r="U206" s="101">
        <f t="shared" si="33"/>
        <v>2021.2824107652905</v>
      </c>
      <c r="V206" s="59" t="e">
        <f t="shared" si="29"/>
        <v>#DIV/0!</v>
      </c>
      <c r="W206" s="68"/>
      <c r="X206" s="68"/>
      <c r="Y206" s="68"/>
      <c r="Z206" s="68"/>
      <c r="AA206" s="45"/>
      <c r="AY206" s="66"/>
      <c r="AZ206" s="66"/>
      <c r="BA206" s="66"/>
      <c r="BB206" s="22"/>
    </row>
    <row r="207" spans="2:54" x14ac:dyDescent="0.45">
      <c r="B207" s="45" t="s">
        <v>591</v>
      </c>
      <c r="C207" s="90"/>
      <c r="D207" s="56"/>
      <c r="E207" s="80"/>
      <c r="F207" s="58"/>
      <c r="G207" s="58"/>
      <c r="H207" s="58"/>
      <c r="I207" s="58"/>
      <c r="J207" s="58"/>
      <c r="K207" s="58"/>
      <c r="L207" s="59">
        <f t="shared" si="30"/>
        <v>0</v>
      </c>
      <c r="M207" s="68"/>
      <c r="N207" s="68"/>
      <c r="O207" s="68"/>
      <c r="P207" s="68"/>
      <c r="Q207" s="99" t="e">
        <f t="shared" si="31"/>
        <v>#DIV/0!</v>
      </c>
      <c r="R207" s="100">
        <f t="shared" si="32"/>
        <v>0.43387671059875982</v>
      </c>
      <c r="S207" s="83"/>
      <c r="T207" s="83"/>
      <c r="U207" s="101">
        <f t="shared" si="33"/>
        <v>2021.2824107652905</v>
      </c>
      <c r="V207" s="59" t="e">
        <f t="shared" si="29"/>
        <v>#DIV/0!</v>
      </c>
      <c r="W207" s="68"/>
      <c r="X207" s="68"/>
      <c r="Y207" s="68"/>
      <c r="Z207" s="68"/>
      <c r="AA207" s="45"/>
      <c r="AY207" s="66"/>
      <c r="AZ207" s="66"/>
      <c r="BA207" s="66"/>
      <c r="BB207" s="22"/>
    </row>
    <row r="208" spans="2:54" x14ac:dyDescent="0.45">
      <c r="B208" s="45" t="s">
        <v>592</v>
      </c>
      <c r="C208" s="90"/>
      <c r="D208" s="56"/>
      <c r="E208" s="84"/>
      <c r="F208" s="58"/>
      <c r="G208" s="58"/>
      <c r="H208" s="58"/>
      <c r="I208" s="58"/>
      <c r="J208" s="58"/>
      <c r="K208" s="58"/>
      <c r="L208" s="59">
        <f t="shared" si="30"/>
        <v>0</v>
      </c>
      <c r="M208" s="68"/>
      <c r="N208" s="68"/>
      <c r="O208" s="68"/>
      <c r="P208" s="68"/>
      <c r="Q208" s="99" t="e">
        <f t="shared" si="31"/>
        <v>#DIV/0!</v>
      </c>
      <c r="R208" s="100">
        <f t="shared" si="32"/>
        <v>0.43387671059875982</v>
      </c>
      <c r="S208" s="83"/>
      <c r="T208" s="83"/>
      <c r="U208" s="101">
        <f t="shared" si="33"/>
        <v>2021.2824107652905</v>
      </c>
      <c r="V208" s="59" t="e">
        <f t="shared" si="29"/>
        <v>#DIV/0!</v>
      </c>
      <c r="W208" s="68"/>
      <c r="X208" s="68"/>
      <c r="Y208" s="68"/>
      <c r="Z208" s="68"/>
      <c r="AA208" s="45"/>
      <c r="AY208" s="66"/>
      <c r="AZ208" s="66"/>
      <c r="BA208" s="66"/>
      <c r="BB208" s="22"/>
    </row>
    <row r="209" spans="2:54" x14ac:dyDescent="0.45">
      <c r="B209" s="45" t="s">
        <v>593</v>
      </c>
      <c r="C209" s="90"/>
      <c r="D209" s="56"/>
      <c r="E209" s="57"/>
      <c r="F209" s="58"/>
      <c r="G209" s="58"/>
      <c r="H209" s="58"/>
      <c r="I209" s="58"/>
      <c r="J209" s="58"/>
      <c r="K209" s="58"/>
      <c r="L209" s="59">
        <f t="shared" si="30"/>
        <v>0</v>
      </c>
      <c r="M209" s="68"/>
      <c r="N209" s="68"/>
      <c r="O209" s="68"/>
      <c r="P209" s="68"/>
      <c r="Q209" s="99" t="e">
        <f t="shared" si="31"/>
        <v>#DIV/0!</v>
      </c>
      <c r="R209" s="100">
        <f t="shared" si="32"/>
        <v>0.43387671059875982</v>
      </c>
      <c r="S209" s="83"/>
      <c r="T209" s="83"/>
      <c r="U209" s="101">
        <f t="shared" si="33"/>
        <v>2021.2824107652905</v>
      </c>
      <c r="V209" s="59" t="e">
        <f t="shared" ref="V209:V272" si="34">1/2*((P209*S209+R209*U209+T209*Q209)-(Q209*R209+S209*T209+U209*P209))/0.1582*100</f>
        <v>#DIV/0!</v>
      </c>
      <c r="W209" s="68"/>
      <c r="X209" s="68"/>
      <c r="Y209" s="68"/>
      <c r="Z209" s="68"/>
      <c r="AA209" s="45"/>
      <c r="AY209" s="66"/>
      <c r="AZ209" s="66"/>
      <c r="BA209" s="66"/>
      <c r="BB209" s="22"/>
    </row>
    <row r="210" spans="2:54" x14ac:dyDescent="0.45">
      <c r="B210" s="45" t="s">
        <v>594</v>
      </c>
      <c r="C210" s="90"/>
      <c r="D210" s="56"/>
      <c r="E210" s="80"/>
      <c r="F210" s="58"/>
      <c r="G210" s="58"/>
      <c r="H210" s="58"/>
      <c r="I210" s="58"/>
      <c r="J210" s="58"/>
      <c r="K210" s="58"/>
      <c r="L210" s="59">
        <f t="shared" ref="L210:L273" si="35">1/2*((F210*I210+H210*K210+J210*G210)-(G210*H210+I210*J210+K210*F210))/0.1582*100</f>
        <v>0</v>
      </c>
      <c r="M210" s="68"/>
      <c r="N210" s="68"/>
      <c r="O210" s="68"/>
      <c r="P210" s="68"/>
      <c r="Q210" s="99" t="e">
        <f t="shared" ref="Q210:Q273" si="36">O210/P210</f>
        <v>#DIV/0!</v>
      </c>
      <c r="R210" s="100">
        <f t="shared" ref="R210:R273" si="37">SQRT(POWER(M210-$M$12,2)+POWER(N210-$N$12,2))</f>
        <v>0.43387671059875982</v>
      </c>
      <c r="S210" s="83"/>
      <c r="T210" s="83"/>
      <c r="U210" s="101">
        <f t="shared" ref="U210:U273" si="38">(-449*((M210-0.332)/(N210-0.1858))^3)+(3525*((M210-0.332)/(N210-0.1858))^2)+(-6823.3*(M210-0.332)/(N210-0.1858))+5520.33</f>
        <v>2021.2824107652905</v>
      </c>
      <c r="V210" s="59" t="e">
        <f t="shared" si="34"/>
        <v>#DIV/0!</v>
      </c>
      <c r="W210" s="68"/>
      <c r="X210" s="68"/>
      <c r="Y210" s="68"/>
      <c r="Z210" s="68"/>
      <c r="AA210" s="45"/>
      <c r="AY210" s="66"/>
      <c r="AZ210" s="66"/>
      <c r="BA210" s="66"/>
      <c r="BB210" s="22"/>
    </row>
    <row r="211" spans="2:54" x14ac:dyDescent="0.45">
      <c r="B211" s="45" t="s">
        <v>595</v>
      </c>
      <c r="C211" s="90"/>
      <c r="D211" s="56"/>
      <c r="E211" s="84"/>
      <c r="F211" s="58"/>
      <c r="G211" s="58"/>
      <c r="H211" s="58"/>
      <c r="I211" s="58"/>
      <c r="J211" s="58"/>
      <c r="K211" s="58"/>
      <c r="L211" s="59">
        <f t="shared" si="35"/>
        <v>0</v>
      </c>
      <c r="M211" s="68"/>
      <c r="N211" s="68"/>
      <c r="O211" s="68"/>
      <c r="P211" s="68"/>
      <c r="Q211" s="99" t="e">
        <f t="shared" si="36"/>
        <v>#DIV/0!</v>
      </c>
      <c r="R211" s="100">
        <f t="shared" si="37"/>
        <v>0.43387671059875982</v>
      </c>
      <c r="S211" s="83"/>
      <c r="T211" s="83"/>
      <c r="U211" s="101">
        <f t="shared" si="38"/>
        <v>2021.2824107652905</v>
      </c>
      <c r="V211" s="59" t="e">
        <f t="shared" si="34"/>
        <v>#DIV/0!</v>
      </c>
      <c r="W211" s="68"/>
      <c r="X211" s="68"/>
      <c r="Y211" s="68"/>
      <c r="Z211" s="68"/>
      <c r="AA211" s="45"/>
      <c r="AY211" s="66"/>
      <c r="AZ211" s="66"/>
      <c r="BA211" s="66"/>
      <c r="BB211" s="22"/>
    </row>
    <row r="212" spans="2:54" x14ac:dyDescent="0.45">
      <c r="B212" s="45" t="s">
        <v>596</v>
      </c>
      <c r="C212" s="90"/>
      <c r="D212" s="56"/>
      <c r="E212" s="57"/>
      <c r="F212" s="58"/>
      <c r="G212" s="58"/>
      <c r="H212" s="58"/>
      <c r="I212" s="58"/>
      <c r="J212" s="58"/>
      <c r="K212" s="58"/>
      <c r="L212" s="59">
        <f t="shared" si="35"/>
        <v>0</v>
      </c>
      <c r="M212" s="68"/>
      <c r="N212" s="68"/>
      <c r="O212" s="68"/>
      <c r="P212" s="68"/>
      <c r="Q212" s="99" t="e">
        <f t="shared" si="36"/>
        <v>#DIV/0!</v>
      </c>
      <c r="R212" s="100">
        <f t="shared" si="37"/>
        <v>0.43387671059875982</v>
      </c>
      <c r="S212" s="83"/>
      <c r="T212" s="83"/>
      <c r="U212" s="101">
        <f t="shared" si="38"/>
        <v>2021.2824107652905</v>
      </c>
      <c r="V212" s="59" t="e">
        <f t="shared" si="34"/>
        <v>#DIV/0!</v>
      </c>
      <c r="W212" s="68"/>
      <c r="X212" s="68"/>
      <c r="Y212" s="68"/>
      <c r="Z212" s="68"/>
      <c r="AA212" s="45"/>
      <c r="AY212" s="66"/>
      <c r="AZ212" s="66"/>
      <c r="BA212" s="66"/>
      <c r="BB212" s="22"/>
    </row>
    <row r="213" spans="2:54" x14ac:dyDescent="0.45">
      <c r="B213" s="45" t="s">
        <v>597</v>
      </c>
      <c r="C213" s="90"/>
      <c r="D213" s="56"/>
      <c r="E213" s="80"/>
      <c r="F213" s="58"/>
      <c r="G213" s="58"/>
      <c r="H213" s="58"/>
      <c r="I213" s="58"/>
      <c r="J213" s="58"/>
      <c r="K213" s="58"/>
      <c r="L213" s="59">
        <f t="shared" si="35"/>
        <v>0</v>
      </c>
      <c r="M213" s="68"/>
      <c r="N213" s="68"/>
      <c r="O213" s="68"/>
      <c r="P213" s="68"/>
      <c r="Q213" s="99" t="e">
        <f t="shared" si="36"/>
        <v>#DIV/0!</v>
      </c>
      <c r="R213" s="100">
        <f t="shared" si="37"/>
        <v>0.43387671059875982</v>
      </c>
      <c r="S213" s="83"/>
      <c r="T213" s="83"/>
      <c r="U213" s="101">
        <f t="shared" si="38"/>
        <v>2021.2824107652905</v>
      </c>
      <c r="V213" s="59" t="e">
        <f t="shared" si="34"/>
        <v>#DIV/0!</v>
      </c>
      <c r="W213" s="68"/>
      <c r="X213" s="68"/>
      <c r="Y213" s="68"/>
      <c r="Z213" s="68"/>
      <c r="AA213" s="45"/>
      <c r="AY213" s="66"/>
      <c r="AZ213" s="66"/>
      <c r="BA213" s="66"/>
      <c r="BB213" s="22"/>
    </row>
    <row r="214" spans="2:54" x14ac:dyDescent="0.45">
      <c r="B214" s="45" t="s">
        <v>598</v>
      </c>
      <c r="C214" s="90"/>
      <c r="D214" s="56"/>
      <c r="E214" s="84"/>
      <c r="F214" s="58"/>
      <c r="G214" s="58"/>
      <c r="H214" s="58"/>
      <c r="I214" s="58"/>
      <c r="J214" s="58"/>
      <c r="K214" s="58"/>
      <c r="L214" s="59">
        <f t="shared" si="35"/>
        <v>0</v>
      </c>
      <c r="M214" s="68"/>
      <c r="N214" s="68"/>
      <c r="O214" s="68"/>
      <c r="P214" s="68"/>
      <c r="Q214" s="99" t="e">
        <f t="shared" si="36"/>
        <v>#DIV/0!</v>
      </c>
      <c r="R214" s="100">
        <f t="shared" si="37"/>
        <v>0.43387671059875982</v>
      </c>
      <c r="S214" s="83"/>
      <c r="T214" s="83"/>
      <c r="U214" s="101">
        <f t="shared" si="38"/>
        <v>2021.2824107652905</v>
      </c>
      <c r="V214" s="59" t="e">
        <f t="shared" si="34"/>
        <v>#DIV/0!</v>
      </c>
      <c r="W214" s="68"/>
      <c r="X214" s="68"/>
      <c r="Y214" s="68"/>
      <c r="Z214" s="68"/>
      <c r="AA214" s="45"/>
      <c r="AY214" s="66"/>
      <c r="AZ214" s="66"/>
      <c r="BA214" s="66"/>
      <c r="BB214" s="22"/>
    </row>
    <row r="215" spans="2:54" x14ac:dyDescent="0.45">
      <c r="B215" s="45" t="s">
        <v>599</v>
      </c>
      <c r="C215" s="90"/>
      <c r="D215" s="56"/>
      <c r="E215" s="57"/>
      <c r="F215" s="58"/>
      <c r="G215" s="58"/>
      <c r="H215" s="58"/>
      <c r="I215" s="58"/>
      <c r="J215" s="58"/>
      <c r="K215" s="58"/>
      <c r="L215" s="59">
        <f t="shared" si="35"/>
        <v>0</v>
      </c>
      <c r="M215" s="68"/>
      <c r="N215" s="68"/>
      <c r="O215" s="68"/>
      <c r="P215" s="68"/>
      <c r="Q215" s="99" t="e">
        <f t="shared" si="36"/>
        <v>#DIV/0!</v>
      </c>
      <c r="R215" s="100">
        <f t="shared" si="37"/>
        <v>0.43387671059875982</v>
      </c>
      <c r="S215" s="83"/>
      <c r="T215" s="83"/>
      <c r="U215" s="101">
        <f t="shared" si="38"/>
        <v>2021.2824107652905</v>
      </c>
      <c r="V215" s="59" t="e">
        <f t="shared" si="34"/>
        <v>#DIV/0!</v>
      </c>
      <c r="W215" s="68"/>
      <c r="X215" s="68"/>
      <c r="Y215" s="68"/>
      <c r="Z215" s="68"/>
      <c r="AA215" s="45"/>
      <c r="AY215" s="66"/>
      <c r="AZ215" s="66"/>
      <c r="BA215" s="66"/>
      <c r="BB215" s="22"/>
    </row>
    <row r="216" spans="2:54" x14ac:dyDescent="0.45">
      <c r="B216" s="45" t="s">
        <v>600</v>
      </c>
      <c r="C216" s="90"/>
      <c r="D216" s="56"/>
      <c r="E216" s="80"/>
      <c r="F216" s="58"/>
      <c r="G216" s="58"/>
      <c r="H216" s="58"/>
      <c r="I216" s="58"/>
      <c r="J216" s="58"/>
      <c r="K216" s="58"/>
      <c r="L216" s="59">
        <f t="shared" si="35"/>
        <v>0</v>
      </c>
      <c r="M216" s="68"/>
      <c r="N216" s="68"/>
      <c r="O216" s="68"/>
      <c r="P216" s="68"/>
      <c r="Q216" s="99" t="e">
        <f t="shared" si="36"/>
        <v>#DIV/0!</v>
      </c>
      <c r="R216" s="100">
        <f t="shared" si="37"/>
        <v>0.43387671059875982</v>
      </c>
      <c r="S216" s="83"/>
      <c r="T216" s="83"/>
      <c r="U216" s="101">
        <f t="shared" si="38"/>
        <v>2021.2824107652905</v>
      </c>
      <c r="V216" s="59" t="e">
        <f t="shared" si="34"/>
        <v>#DIV/0!</v>
      </c>
      <c r="W216" s="68"/>
      <c r="X216" s="68"/>
      <c r="Y216" s="68"/>
      <c r="Z216" s="68"/>
      <c r="AA216" s="45"/>
      <c r="AY216" s="66"/>
      <c r="AZ216" s="66"/>
      <c r="BA216" s="66"/>
      <c r="BB216" s="22"/>
    </row>
    <row r="217" spans="2:54" x14ac:dyDescent="0.45">
      <c r="B217" s="45" t="s">
        <v>601</v>
      </c>
      <c r="C217" s="90"/>
      <c r="D217" s="56"/>
      <c r="E217" s="84"/>
      <c r="F217" s="58"/>
      <c r="G217" s="58"/>
      <c r="H217" s="58"/>
      <c r="I217" s="58"/>
      <c r="J217" s="58"/>
      <c r="K217" s="58"/>
      <c r="L217" s="59">
        <f t="shared" si="35"/>
        <v>0</v>
      </c>
      <c r="M217" s="68"/>
      <c r="N217" s="68"/>
      <c r="O217" s="68"/>
      <c r="P217" s="68"/>
      <c r="Q217" s="99" t="e">
        <f t="shared" si="36"/>
        <v>#DIV/0!</v>
      </c>
      <c r="R217" s="100">
        <f t="shared" si="37"/>
        <v>0.43387671059875982</v>
      </c>
      <c r="S217" s="83"/>
      <c r="T217" s="83"/>
      <c r="U217" s="101">
        <f t="shared" si="38"/>
        <v>2021.2824107652905</v>
      </c>
      <c r="V217" s="59" t="e">
        <f t="shared" si="34"/>
        <v>#DIV/0!</v>
      </c>
      <c r="W217" s="68"/>
      <c r="X217" s="68"/>
      <c r="Y217" s="68"/>
      <c r="Z217" s="68"/>
      <c r="AA217" s="45"/>
      <c r="AY217" s="66"/>
      <c r="AZ217" s="66"/>
      <c r="BA217" s="66"/>
      <c r="BB217" s="22"/>
    </row>
    <row r="218" spans="2:54" x14ac:dyDescent="0.45">
      <c r="B218" s="45" t="s">
        <v>602</v>
      </c>
      <c r="C218" s="90"/>
      <c r="D218" s="56"/>
      <c r="E218" s="57"/>
      <c r="F218" s="58"/>
      <c r="G218" s="58"/>
      <c r="H218" s="58"/>
      <c r="I218" s="58"/>
      <c r="J218" s="58"/>
      <c r="K218" s="58"/>
      <c r="L218" s="59">
        <f t="shared" si="35"/>
        <v>0</v>
      </c>
      <c r="M218" s="68"/>
      <c r="N218" s="68"/>
      <c r="O218" s="68"/>
      <c r="P218" s="68"/>
      <c r="Q218" s="99" t="e">
        <f t="shared" si="36"/>
        <v>#DIV/0!</v>
      </c>
      <c r="R218" s="100">
        <f t="shared" si="37"/>
        <v>0.43387671059875982</v>
      </c>
      <c r="S218" s="83"/>
      <c r="T218" s="83"/>
      <c r="U218" s="101">
        <f t="shared" si="38"/>
        <v>2021.2824107652905</v>
      </c>
      <c r="V218" s="59" t="e">
        <f t="shared" si="34"/>
        <v>#DIV/0!</v>
      </c>
      <c r="W218" s="68"/>
      <c r="X218" s="68"/>
      <c r="Y218" s="68"/>
      <c r="Z218" s="68"/>
      <c r="AA218" s="45"/>
      <c r="AY218" s="66"/>
      <c r="AZ218" s="66"/>
      <c r="BA218" s="66"/>
      <c r="BB218" s="22"/>
    </row>
    <row r="219" spans="2:54" x14ac:dyDescent="0.45">
      <c r="B219" s="45" t="s">
        <v>603</v>
      </c>
      <c r="C219" s="90"/>
      <c r="D219" s="56"/>
      <c r="E219" s="80"/>
      <c r="F219" s="58"/>
      <c r="G219" s="58"/>
      <c r="H219" s="58"/>
      <c r="I219" s="58"/>
      <c r="J219" s="58"/>
      <c r="K219" s="58"/>
      <c r="L219" s="59">
        <f t="shared" si="35"/>
        <v>0</v>
      </c>
      <c r="M219" s="68"/>
      <c r="N219" s="68"/>
      <c r="O219" s="68"/>
      <c r="P219" s="68"/>
      <c r="Q219" s="99" t="e">
        <f t="shared" si="36"/>
        <v>#DIV/0!</v>
      </c>
      <c r="R219" s="100">
        <f t="shared" si="37"/>
        <v>0.43387671059875982</v>
      </c>
      <c r="S219" s="83"/>
      <c r="T219" s="83"/>
      <c r="U219" s="101">
        <f t="shared" si="38"/>
        <v>2021.2824107652905</v>
      </c>
      <c r="V219" s="59" t="e">
        <f t="shared" si="34"/>
        <v>#DIV/0!</v>
      </c>
      <c r="W219" s="68"/>
      <c r="X219" s="68"/>
      <c r="Y219" s="68"/>
      <c r="Z219" s="68"/>
      <c r="AA219" s="45"/>
      <c r="AY219" s="66"/>
      <c r="AZ219" s="66"/>
      <c r="BA219" s="66"/>
      <c r="BB219" s="22"/>
    </row>
    <row r="220" spans="2:54" x14ac:dyDescent="0.45">
      <c r="B220" s="45" t="s">
        <v>604</v>
      </c>
      <c r="C220" s="90"/>
      <c r="D220" s="56"/>
      <c r="E220" s="84"/>
      <c r="F220" s="58"/>
      <c r="G220" s="58"/>
      <c r="H220" s="58"/>
      <c r="I220" s="58"/>
      <c r="J220" s="58"/>
      <c r="K220" s="58"/>
      <c r="L220" s="59">
        <f t="shared" si="35"/>
        <v>0</v>
      </c>
      <c r="M220" s="68"/>
      <c r="N220" s="68"/>
      <c r="O220" s="68"/>
      <c r="P220" s="68"/>
      <c r="Q220" s="99" t="e">
        <f t="shared" si="36"/>
        <v>#DIV/0!</v>
      </c>
      <c r="R220" s="100">
        <f t="shared" si="37"/>
        <v>0.43387671059875982</v>
      </c>
      <c r="S220" s="83"/>
      <c r="T220" s="83"/>
      <c r="U220" s="101">
        <f t="shared" si="38"/>
        <v>2021.2824107652905</v>
      </c>
      <c r="V220" s="59" t="e">
        <f t="shared" si="34"/>
        <v>#DIV/0!</v>
      </c>
      <c r="W220" s="68"/>
      <c r="X220" s="68"/>
      <c r="Y220" s="68"/>
      <c r="Z220" s="68"/>
      <c r="AA220" s="45"/>
      <c r="AY220" s="66"/>
      <c r="AZ220" s="66"/>
      <c r="BA220" s="66"/>
      <c r="BB220" s="22"/>
    </row>
    <row r="221" spans="2:54" x14ac:dyDescent="0.45">
      <c r="B221" s="45" t="s">
        <v>605</v>
      </c>
      <c r="C221" s="90"/>
      <c r="D221" s="56"/>
      <c r="E221" s="57"/>
      <c r="F221" s="58"/>
      <c r="G221" s="58"/>
      <c r="H221" s="58"/>
      <c r="I221" s="58"/>
      <c r="J221" s="58"/>
      <c r="K221" s="58"/>
      <c r="L221" s="59">
        <f t="shared" si="35"/>
        <v>0</v>
      </c>
      <c r="M221" s="68"/>
      <c r="N221" s="68"/>
      <c r="O221" s="68"/>
      <c r="P221" s="68"/>
      <c r="Q221" s="99" t="e">
        <f t="shared" si="36"/>
        <v>#DIV/0!</v>
      </c>
      <c r="R221" s="100">
        <f t="shared" si="37"/>
        <v>0.43387671059875982</v>
      </c>
      <c r="S221" s="83"/>
      <c r="T221" s="83"/>
      <c r="U221" s="101">
        <f t="shared" si="38"/>
        <v>2021.2824107652905</v>
      </c>
      <c r="V221" s="59" t="e">
        <f t="shared" si="34"/>
        <v>#DIV/0!</v>
      </c>
      <c r="W221" s="68"/>
      <c r="X221" s="68"/>
      <c r="Y221" s="68"/>
      <c r="Z221" s="68"/>
      <c r="AA221" s="45"/>
      <c r="AY221" s="66"/>
      <c r="AZ221" s="66"/>
      <c r="BA221" s="66"/>
      <c r="BB221" s="22"/>
    </row>
    <row r="222" spans="2:54" x14ac:dyDescent="0.45">
      <c r="B222" s="45" t="s">
        <v>606</v>
      </c>
      <c r="C222" s="90"/>
      <c r="D222" s="56"/>
      <c r="E222" s="80"/>
      <c r="F222" s="58"/>
      <c r="G222" s="58"/>
      <c r="H222" s="58"/>
      <c r="I222" s="58"/>
      <c r="J222" s="58"/>
      <c r="K222" s="58"/>
      <c r="L222" s="59">
        <f t="shared" si="35"/>
        <v>0</v>
      </c>
      <c r="M222" s="68"/>
      <c r="N222" s="68"/>
      <c r="O222" s="68"/>
      <c r="P222" s="68"/>
      <c r="Q222" s="99" t="e">
        <f t="shared" si="36"/>
        <v>#DIV/0!</v>
      </c>
      <c r="R222" s="100">
        <f t="shared" si="37"/>
        <v>0.43387671059875982</v>
      </c>
      <c r="S222" s="83"/>
      <c r="T222" s="83"/>
      <c r="U222" s="101">
        <f t="shared" si="38"/>
        <v>2021.2824107652905</v>
      </c>
      <c r="V222" s="59" t="e">
        <f t="shared" si="34"/>
        <v>#DIV/0!</v>
      </c>
      <c r="W222" s="68"/>
      <c r="X222" s="68"/>
      <c r="Y222" s="68"/>
      <c r="Z222" s="68"/>
      <c r="AA222" s="45"/>
      <c r="AY222" s="66"/>
      <c r="AZ222" s="66"/>
      <c r="BA222" s="66"/>
      <c r="BB222" s="22"/>
    </row>
    <row r="223" spans="2:54" x14ac:dyDescent="0.45">
      <c r="B223" s="45" t="s">
        <v>607</v>
      </c>
      <c r="C223" s="90"/>
      <c r="D223" s="56"/>
      <c r="E223" s="84"/>
      <c r="F223" s="58"/>
      <c r="G223" s="58"/>
      <c r="H223" s="58"/>
      <c r="I223" s="58"/>
      <c r="J223" s="58"/>
      <c r="K223" s="58"/>
      <c r="L223" s="59">
        <f t="shared" si="35"/>
        <v>0</v>
      </c>
      <c r="M223" s="68"/>
      <c r="N223" s="68"/>
      <c r="O223" s="68"/>
      <c r="P223" s="68"/>
      <c r="Q223" s="99" t="e">
        <f t="shared" si="36"/>
        <v>#DIV/0!</v>
      </c>
      <c r="R223" s="100">
        <f t="shared" si="37"/>
        <v>0.43387671059875982</v>
      </c>
      <c r="S223" s="83"/>
      <c r="T223" s="83"/>
      <c r="U223" s="101">
        <f t="shared" si="38"/>
        <v>2021.2824107652905</v>
      </c>
      <c r="V223" s="59" t="e">
        <f t="shared" si="34"/>
        <v>#DIV/0!</v>
      </c>
      <c r="W223" s="68"/>
      <c r="X223" s="68"/>
      <c r="Y223" s="68"/>
      <c r="Z223" s="68"/>
      <c r="AA223" s="45"/>
      <c r="AY223" s="66"/>
      <c r="AZ223" s="66"/>
      <c r="BA223" s="66"/>
      <c r="BB223" s="22"/>
    </row>
    <row r="224" spans="2:54" x14ac:dyDescent="0.45">
      <c r="B224" s="45" t="s">
        <v>608</v>
      </c>
      <c r="C224" s="90"/>
      <c r="D224" s="56"/>
      <c r="E224" s="57"/>
      <c r="F224" s="58"/>
      <c r="G224" s="58"/>
      <c r="H224" s="58"/>
      <c r="I224" s="58"/>
      <c r="J224" s="58"/>
      <c r="K224" s="58"/>
      <c r="L224" s="59">
        <f t="shared" si="35"/>
        <v>0</v>
      </c>
      <c r="M224" s="68"/>
      <c r="N224" s="68"/>
      <c r="O224" s="68"/>
      <c r="P224" s="68"/>
      <c r="Q224" s="99" t="e">
        <f t="shared" si="36"/>
        <v>#DIV/0!</v>
      </c>
      <c r="R224" s="100">
        <f t="shared" si="37"/>
        <v>0.43387671059875982</v>
      </c>
      <c r="S224" s="83"/>
      <c r="T224" s="83"/>
      <c r="U224" s="101">
        <f t="shared" si="38"/>
        <v>2021.2824107652905</v>
      </c>
      <c r="V224" s="59" t="e">
        <f t="shared" si="34"/>
        <v>#DIV/0!</v>
      </c>
      <c r="W224" s="68"/>
      <c r="X224" s="68"/>
      <c r="Y224" s="68"/>
      <c r="Z224" s="68"/>
      <c r="AA224" s="45"/>
      <c r="AY224" s="66"/>
      <c r="AZ224" s="66"/>
      <c r="BA224" s="66"/>
      <c r="BB224" s="22"/>
    </row>
    <row r="225" spans="2:54" x14ac:dyDescent="0.45">
      <c r="B225" s="45" t="s">
        <v>609</v>
      </c>
      <c r="C225" s="90"/>
      <c r="D225" s="56"/>
      <c r="E225" s="80"/>
      <c r="F225" s="58"/>
      <c r="G225" s="58"/>
      <c r="H225" s="58"/>
      <c r="I225" s="58"/>
      <c r="J225" s="58"/>
      <c r="K225" s="58"/>
      <c r="L225" s="59">
        <f t="shared" si="35"/>
        <v>0</v>
      </c>
      <c r="M225" s="68"/>
      <c r="N225" s="68"/>
      <c r="O225" s="68"/>
      <c r="P225" s="68"/>
      <c r="Q225" s="99" t="e">
        <f t="shared" si="36"/>
        <v>#DIV/0!</v>
      </c>
      <c r="R225" s="100">
        <f t="shared" si="37"/>
        <v>0.43387671059875982</v>
      </c>
      <c r="S225" s="83"/>
      <c r="T225" s="83"/>
      <c r="U225" s="101">
        <f t="shared" si="38"/>
        <v>2021.2824107652905</v>
      </c>
      <c r="V225" s="59" t="e">
        <f t="shared" si="34"/>
        <v>#DIV/0!</v>
      </c>
      <c r="W225" s="68"/>
      <c r="X225" s="68"/>
      <c r="Y225" s="68"/>
      <c r="Z225" s="68"/>
      <c r="AA225" s="45"/>
      <c r="AY225" s="66"/>
      <c r="AZ225" s="66"/>
      <c r="BA225" s="66"/>
      <c r="BB225" s="22"/>
    </row>
    <row r="226" spans="2:54" x14ac:dyDescent="0.45">
      <c r="B226" s="45" t="s">
        <v>610</v>
      </c>
      <c r="C226" s="90"/>
      <c r="D226" s="56"/>
      <c r="E226" s="84"/>
      <c r="F226" s="58"/>
      <c r="G226" s="58"/>
      <c r="H226" s="58"/>
      <c r="I226" s="58"/>
      <c r="J226" s="58"/>
      <c r="K226" s="58"/>
      <c r="L226" s="59">
        <f t="shared" si="35"/>
        <v>0</v>
      </c>
      <c r="M226" s="68"/>
      <c r="N226" s="68"/>
      <c r="O226" s="68"/>
      <c r="P226" s="68"/>
      <c r="Q226" s="99" t="e">
        <f t="shared" si="36"/>
        <v>#DIV/0!</v>
      </c>
      <c r="R226" s="100">
        <f t="shared" si="37"/>
        <v>0.43387671059875982</v>
      </c>
      <c r="S226" s="83"/>
      <c r="T226" s="83"/>
      <c r="U226" s="101">
        <f t="shared" si="38"/>
        <v>2021.2824107652905</v>
      </c>
      <c r="V226" s="59" t="e">
        <f t="shared" si="34"/>
        <v>#DIV/0!</v>
      </c>
      <c r="W226" s="68"/>
      <c r="X226" s="68"/>
      <c r="Y226" s="68"/>
      <c r="Z226" s="68"/>
      <c r="AA226" s="45"/>
      <c r="AY226" s="66"/>
      <c r="AZ226" s="66"/>
      <c r="BA226" s="66"/>
      <c r="BB226" s="22"/>
    </row>
    <row r="227" spans="2:54" x14ac:dyDescent="0.45">
      <c r="B227" s="45" t="s">
        <v>611</v>
      </c>
      <c r="C227" s="90"/>
      <c r="D227" s="56"/>
      <c r="E227" s="57"/>
      <c r="F227" s="58"/>
      <c r="G227" s="58"/>
      <c r="H227" s="58"/>
      <c r="I227" s="58"/>
      <c r="J227" s="58"/>
      <c r="K227" s="58"/>
      <c r="L227" s="59">
        <f t="shared" si="35"/>
        <v>0</v>
      </c>
      <c r="M227" s="68"/>
      <c r="N227" s="68"/>
      <c r="O227" s="68"/>
      <c r="P227" s="68"/>
      <c r="Q227" s="99" t="e">
        <f t="shared" si="36"/>
        <v>#DIV/0!</v>
      </c>
      <c r="R227" s="100">
        <f t="shared" si="37"/>
        <v>0.43387671059875982</v>
      </c>
      <c r="S227" s="83"/>
      <c r="T227" s="83"/>
      <c r="U227" s="101">
        <f t="shared" si="38"/>
        <v>2021.2824107652905</v>
      </c>
      <c r="V227" s="59" t="e">
        <f t="shared" si="34"/>
        <v>#DIV/0!</v>
      </c>
      <c r="W227" s="68"/>
      <c r="X227" s="68"/>
      <c r="Y227" s="68"/>
      <c r="Z227" s="68"/>
      <c r="AA227" s="45"/>
      <c r="AY227" s="66"/>
      <c r="AZ227" s="66"/>
      <c r="BA227" s="66"/>
      <c r="BB227" s="22"/>
    </row>
    <row r="228" spans="2:54" x14ac:dyDescent="0.45">
      <c r="B228" s="45" t="s">
        <v>612</v>
      </c>
      <c r="C228" s="90"/>
      <c r="D228" s="56"/>
      <c r="E228" s="80"/>
      <c r="F228" s="58"/>
      <c r="G228" s="58"/>
      <c r="H228" s="58"/>
      <c r="I228" s="58"/>
      <c r="J228" s="58"/>
      <c r="K228" s="58"/>
      <c r="L228" s="59">
        <f t="shared" si="35"/>
        <v>0</v>
      </c>
      <c r="M228" s="68"/>
      <c r="N228" s="68"/>
      <c r="O228" s="68"/>
      <c r="P228" s="68"/>
      <c r="Q228" s="99" t="e">
        <f t="shared" si="36"/>
        <v>#DIV/0!</v>
      </c>
      <c r="R228" s="100">
        <f t="shared" si="37"/>
        <v>0.43387671059875982</v>
      </c>
      <c r="S228" s="83"/>
      <c r="T228" s="83"/>
      <c r="U228" s="101">
        <f t="shared" si="38"/>
        <v>2021.2824107652905</v>
      </c>
      <c r="V228" s="59" t="e">
        <f t="shared" si="34"/>
        <v>#DIV/0!</v>
      </c>
      <c r="W228" s="68"/>
      <c r="X228" s="68"/>
      <c r="Y228" s="68"/>
      <c r="Z228" s="68"/>
      <c r="AA228" s="45"/>
      <c r="AY228" s="66"/>
      <c r="AZ228" s="66"/>
      <c r="BA228" s="66"/>
      <c r="BB228" s="22"/>
    </row>
    <row r="229" spans="2:54" x14ac:dyDescent="0.45">
      <c r="B229" s="45" t="s">
        <v>613</v>
      </c>
      <c r="C229" s="90"/>
      <c r="D229" s="56"/>
      <c r="E229" s="84"/>
      <c r="F229" s="58"/>
      <c r="G229" s="58"/>
      <c r="H229" s="58"/>
      <c r="I229" s="58"/>
      <c r="J229" s="58"/>
      <c r="K229" s="58"/>
      <c r="L229" s="59">
        <f t="shared" si="35"/>
        <v>0</v>
      </c>
      <c r="M229" s="68"/>
      <c r="N229" s="68"/>
      <c r="O229" s="68"/>
      <c r="P229" s="68"/>
      <c r="Q229" s="99" t="e">
        <f t="shared" si="36"/>
        <v>#DIV/0!</v>
      </c>
      <c r="R229" s="100">
        <f t="shared" si="37"/>
        <v>0.43387671059875982</v>
      </c>
      <c r="S229" s="83"/>
      <c r="T229" s="83"/>
      <c r="U229" s="101">
        <f t="shared" si="38"/>
        <v>2021.2824107652905</v>
      </c>
      <c r="V229" s="59" t="e">
        <f t="shared" si="34"/>
        <v>#DIV/0!</v>
      </c>
      <c r="W229" s="68"/>
      <c r="X229" s="68"/>
      <c r="Y229" s="68"/>
      <c r="Z229" s="68"/>
      <c r="AA229" s="45"/>
      <c r="AY229" s="66"/>
      <c r="AZ229" s="66"/>
      <c r="BA229" s="66"/>
      <c r="BB229" s="22"/>
    </row>
    <row r="230" spans="2:54" x14ac:dyDescent="0.45">
      <c r="B230" s="45" t="s">
        <v>614</v>
      </c>
      <c r="C230" s="90"/>
      <c r="D230" s="56"/>
      <c r="E230" s="57"/>
      <c r="F230" s="58"/>
      <c r="G230" s="58"/>
      <c r="H230" s="58"/>
      <c r="I230" s="58"/>
      <c r="J230" s="58"/>
      <c r="K230" s="58"/>
      <c r="L230" s="59">
        <f t="shared" si="35"/>
        <v>0</v>
      </c>
      <c r="M230" s="68"/>
      <c r="N230" s="68"/>
      <c r="O230" s="68"/>
      <c r="P230" s="68"/>
      <c r="Q230" s="99" t="e">
        <f t="shared" si="36"/>
        <v>#DIV/0!</v>
      </c>
      <c r="R230" s="100">
        <f t="shared" si="37"/>
        <v>0.43387671059875982</v>
      </c>
      <c r="S230" s="83"/>
      <c r="T230" s="83"/>
      <c r="U230" s="101">
        <f t="shared" si="38"/>
        <v>2021.2824107652905</v>
      </c>
      <c r="V230" s="59" t="e">
        <f t="shared" si="34"/>
        <v>#DIV/0!</v>
      </c>
      <c r="W230" s="68"/>
      <c r="X230" s="68"/>
      <c r="Y230" s="68"/>
      <c r="Z230" s="68"/>
      <c r="AA230" s="45"/>
      <c r="AY230" s="66"/>
      <c r="AZ230" s="66"/>
      <c r="BA230" s="66"/>
      <c r="BB230" s="22"/>
    </row>
    <row r="231" spans="2:54" x14ac:dyDescent="0.45">
      <c r="B231" s="45" t="s">
        <v>615</v>
      </c>
      <c r="C231" s="90"/>
      <c r="D231" s="56"/>
      <c r="E231" s="80"/>
      <c r="F231" s="58"/>
      <c r="G231" s="58"/>
      <c r="H231" s="58"/>
      <c r="I231" s="58"/>
      <c r="J231" s="58"/>
      <c r="K231" s="58"/>
      <c r="L231" s="59">
        <f t="shared" si="35"/>
        <v>0</v>
      </c>
      <c r="M231" s="68"/>
      <c r="N231" s="68"/>
      <c r="O231" s="68"/>
      <c r="P231" s="68"/>
      <c r="Q231" s="99" t="e">
        <f t="shared" si="36"/>
        <v>#DIV/0!</v>
      </c>
      <c r="R231" s="100">
        <f t="shared" si="37"/>
        <v>0.43387671059875982</v>
      </c>
      <c r="S231" s="83"/>
      <c r="T231" s="83"/>
      <c r="U231" s="101">
        <f t="shared" si="38"/>
        <v>2021.2824107652905</v>
      </c>
      <c r="V231" s="59" t="e">
        <f t="shared" si="34"/>
        <v>#DIV/0!</v>
      </c>
      <c r="W231" s="68"/>
      <c r="X231" s="68"/>
      <c r="Y231" s="68"/>
      <c r="Z231" s="68"/>
      <c r="AA231" s="45"/>
      <c r="AY231" s="66"/>
      <c r="AZ231" s="66"/>
      <c r="BA231" s="66"/>
      <c r="BB231" s="22"/>
    </row>
    <row r="232" spans="2:54" x14ac:dyDescent="0.45">
      <c r="B232" s="45" t="s">
        <v>616</v>
      </c>
      <c r="C232" s="90"/>
      <c r="D232" s="56"/>
      <c r="E232" s="84"/>
      <c r="F232" s="58"/>
      <c r="G232" s="58"/>
      <c r="H232" s="58"/>
      <c r="I232" s="58"/>
      <c r="J232" s="58"/>
      <c r="K232" s="58"/>
      <c r="L232" s="59">
        <f t="shared" si="35"/>
        <v>0</v>
      </c>
      <c r="M232" s="68"/>
      <c r="N232" s="68"/>
      <c r="O232" s="68"/>
      <c r="P232" s="68"/>
      <c r="Q232" s="99" t="e">
        <f t="shared" si="36"/>
        <v>#DIV/0!</v>
      </c>
      <c r="R232" s="100">
        <f t="shared" si="37"/>
        <v>0.43387671059875982</v>
      </c>
      <c r="S232" s="83"/>
      <c r="T232" s="83"/>
      <c r="U232" s="101">
        <f t="shared" si="38"/>
        <v>2021.2824107652905</v>
      </c>
      <c r="V232" s="59" t="e">
        <f t="shared" si="34"/>
        <v>#DIV/0!</v>
      </c>
      <c r="W232" s="68"/>
      <c r="X232" s="68"/>
      <c r="Y232" s="68"/>
      <c r="Z232" s="68"/>
      <c r="AA232" s="45"/>
      <c r="AY232" s="66"/>
      <c r="AZ232" s="66"/>
      <c r="BA232" s="66"/>
      <c r="BB232" s="22"/>
    </row>
    <row r="233" spans="2:54" x14ac:dyDescent="0.45">
      <c r="B233" s="45" t="s">
        <v>617</v>
      </c>
      <c r="C233" s="90"/>
      <c r="D233" s="56"/>
      <c r="E233" s="57"/>
      <c r="F233" s="58"/>
      <c r="G233" s="58"/>
      <c r="H233" s="58"/>
      <c r="I233" s="58"/>
      <c r="J233" s="58"/>
      <c r="K233" s="58"/>
      <c r="L233" s="59">
        <f t="shared" si="35"/>
        <v>0</v>
      </c>
      <c r="M233" s="68"/>
      <c r="N233" s="68"/>
      <c r="O233" s="68"/>
      <c r="P233" s="68"/>
      <c r="Q233" s="99" t="e">
        <f t="shared" si="36"/>
        <v>#DIV/0!</v>
      </c>
      <c r="R233" s="100">
        <f t="shared" si="37"/>
        <v>0.43387671059875982</v>
      </c>
      <c r="S233" s="83"/>
      <c r="T233" s="83"/>
      <c r="U233" s="101">
        <f t="shared" si="38"/>
        <v>2021.2824107652905</v>
      </c>
      <c r="V233" s="59" t="e">
        <f t="shared" si="34"/>
        <v>#DIV/0!</v>
      </c>
      <c r="W233" s="68"/>
      <c r="X233" s="68"/>
      <c r="Y233" s="68"/>
      <c r="Z233" s="68"/>
      <c r="AA233" s="45"/>
      <c r="AY233" s="66"/>
      <c r="AZ233" s="66"/>
      <c r="BA233" s="66"/>
      <c r="BB233" s="22"/>
    </row>
    <row r="234" spans="2:54" x14ac:dyDescent="0.45">
      <c r="B234" s="45" t="s">
        <v>618</v>
      </c>
      <c r="C234" s="90"/>
      <c r="D234" s="56"/>
      <c r="E234" s="80"/>
      <c r="F234" s="58"/>
      <c r="G234" s="58"/>
      <c r="H234" s="58"/>
      <c r="I234" s="58"/>
      <c r="J234" s="58"/>
      <c r="K234" s="58"/>
      <c r="L234" s="59">
        <f t="shared" si="35"/>
        <v>0</v>
      </c>
      <c r="M234" s="68"/>
      <c r="N234" s="68"/>
      <c r="O234" s="68"/>
      <c r="P234" s="68"/>
      <c r="Q234" s="99" t="e">
        <f t="shared" si="36"/>
        <v>#DIV/0!</v>
      </c>
      <c r="R234" s="100">
        <f t="shared" si="37"/>
        <v>0.43387671059875982</v>
      </c>
      <c r="S234" s="83"/>
      <c r="T234" s="83"/>
      <c r="U234" s="101">
        <f t="shared" si="38"/>
        <v>2021.2824107652905</v>
      </c>
      <c r="V234" s="59" t="e">
        <f t="shared" si="34"/>
        <v>#DIV/0!</v>
      </c>
      <c r="W234" s="68"/>
      <c r="X234" s="68"/>
      <c r="Y234" s="68"/>
      <c r="Z234" s="68"/>
      <c r="AA234" s="45"/>
      <c r="AY234" s="66"/>
      <c r="AZ234" s="66"/>
      <c r="BA234" s="66"/>
      <c r="BB234" s="22"/>
    </row>
    <row r="235" spans="2:54" x14ac:dyDescent="0.45">
      <c r="B235" s="45" t="s">
        <v>619</v>
      </c>
      <c r="C235" s="90"/>
      <c r="D235" s="56"/>
      <c r="E235" s="84"/>
      <c r="F235" s="58"/>
      <c r="G235" s="58"/>
      <c r="H235" s="58"/>
      <c r="I235" s="58"/>
      <c r="J235" s="58"/>
      <c r="K235" s="58"/>
      <c r="L235" s="59">
        <f t="shared" si="35"/>
        <v>0</v>
      </c>
      <c r="M235" s="68"/>
      <c r="N235" s="68"/>
      <c r="O235" s="68"/>
      <c r="P235" s="68"/>
      <c r="Q235" s="99" t="e">
        <f t="shared" si="36"/>
        <v>#DIV/0!</v>
      </c>
      <c r="R235" s="100">
        <f t="shared" si="37"/>
        <v>0.43387671059875982</v>
      </c>
      <c r="S235" s="83"/>
      <c r="T235" s="83"/>
      <c r="U235" s="101">
        <f t="shared" si="38"/>
        <v>2021.2824107652905</v>
      </c>
      <c r="V235" s="59" t="e">
        <f t="shared" si="34"/>
        <v>#DIV/0!</v>
      </c>
      <c r="W235" s="68"/>
      <c r="X235" s="68"/>
      <c r="Y235" s="68"/>
      <c r="Z235" s="68"/>
      <c r="AA235" s="45"/>
      <c r="AY235" s="66"/>
      <c r="AZ235" s="66"/>
      <c r="BA235" s="66"/>
      <c r="BB235" s="22"/>
    </row>
    <row r="236" spans="2:54" x14ac:dyDescent="0.45">
      <c r="B236" s="45" t="s">
        <v>620</v>
      </c>
      <c r="C236" s="90"/>
      <c r="D236" s="56"/>
      <c r="E236" s="57"/>
      <c r="F236" s="58"/>
      <c r="G236" s="58"/>
      <c r="H236" s="58"/>
      <c r="I236" s="58"/>
      <c r="J236" s="58"/>
      <c r="K236" s="58"/>
      <c r="L236" s="59">
        <f t="shared" si="35"/>
        <v>0</v>
      </c>
      <c r="M236" s="68"/>
      <c r="N236" s="68"/>
      <c r="O236" s="68"/>
      <c r="P236" s="68"/>
      <c r="Q236" s="99" t="e">
        <f t="shared" si="36"/>
        <v>#DIV/0!</v>
      </c>
      <c r="R236" s="100">
        <f t="shared" si="37"/>
        <v>0.43387671059875982</v>
      </c>
      <c r="S236" s="83"/>
      <c r="T236" s="83"/>
      <c r="U236" s="101">
        <f t="shared" si="38"/>
        <v>2021.2824107652905</v>
      </c>
      <c r="V236" s="59" t="e">
        <f t="shared" si="34"/>
        <v>#DIV/0!</v>
      </c>
      <c r="W236" s="68"/>
      <c r="X236" s="68"/>
      <c r="Y236" s="68"/>
      <c r="Z236" s="68"/>
      <c r="AA236" s="45"/>
      <c r="AY236" s="66"/>
      <c r="AZ236" s="66"/>
      <c r="BA236" s="66"/>
      <c r="BB236" s="22"/>
    </row>
    <row r="237" spans="2:54" x14ac:dyDescent="0.45">
      <c r="B237" s="45" t="s">
        <v>621</v>
      </c>
      <c r="C237" s="90"/>
      <c r="D237" s="56"/>
      <c r="E237" s="80"/>
      <c r="F237" s="58"/>
      <c r="G237" s="58"/>
      <c r="H237" s="58"/>
      <c r="I237" s="58"/>
      <c r="J237" s="58"/>
      <c r="K237" s="58"/>
      <c r="L237" s="59">
        <f t="shared" si="35"/>
        <v>0</v>
      </c>
      <c r="M237" s="68"/>
      <c r="N237" s="68"/>
      <c r="O237" s="68"/>
      <c r="P237" s="68"/>
      <c r="Q237" s="99" t="e">
        <f t="shared" si="36"/>
        <v>#DIV/0!</v>
      </c>
      <c r="R237" s="100">
        <f t="shared" si="37"/>
        <v>0.43387671059875982</v>
      </c>
      <c r="S237" s="83"/>
      <c r="T237" s="83"/>
      <c r="U237" s="101">
        <f t="shared" si="38"/>
        <v>2021.2824107652905</v>
      </c>
      <c r="V237" s="59" t="e">
        <f t="shared" si="34"/>
        <v>#DIV/0!</v>
      </c>
      <c r="W237" s="68"/>
      <c r="X237" s="68"/>
      <c r="Y237" s="68"/>
      <c r="Z237" s="68"/>
      <c r="AA237" s="45"/>
      <c r="AY237" s="66"/>
      <c r="AZ237" s="66"/>
      <c r="BA237" s="66"/>
      <c r="BB237" s="22"/>
    </row>
    <row r="238" spans="2:54" x14ac:dyDescent="0.45">
      <c r="B238" s="45" t="s">
        <v>622</v>
      </c>
      <c r="C238" s="90"/>
      <c r="D238" s="56"/>
      <c r="E238" s="84"/>
      <c r="F238" s="58"/>
      <c r="G238" s="58"/>
      <c r="H238" s="58"/>
      <c r="I238" s="58"/>
      <c r="J238" s="58"/>
      <c r="K238" s="58"/>
      <c r="L238" s="59">
        <f t="shared" si="35"/>
        <v>0</v>
      </c>
      <c r="M238" s="68"/>
      <c r="N238" s="68"/>
      <c r="O238" s="68"/>
      <c r="P238" s="68"/>
      <c r="Q238" s="99" t="e">
        <f t="shared" si="36"/>
        <v>#DIV/0!</v>
      </c>
      <c r="R238" s="100">
        <f t="shared" si="37"/>
        <v>0.43387671059875982</v>
      </c>
      <c r="S238" s="83"/>
      <c r="T238" s="83"/>
      <c r="U238" s="101">
        <f t="shared" si="38"/>
        <v>2021.2824107652905</v>
      </c>
      <c r="V238" s="59" t="e">
        <f t="shared" si="34"/>
        <v>#DIV/0!</v>
      </c>
      <c r="W238" s="68"/>
      <c r="X238" s="68"/>
      <c r="Y238" s="68"/>
      <c r="Z238" s="68"/>
      <c r="AA238" s="45"/>
      <c r="AY238" s="66"/>
      <c r="AZ238" s="66"/>
      <c r="BA238" s="66"/>
      <c r="BB238" s="22"/>
    </row>
    <row r="239" spans="2:54" x14ac:dyDescent="0.45">
      <c r="B239" s="45" t="s">
        <v>623</v>
      </c>
      <c r="C239" s="90"/>
      <c r="D239" s="56"/>
      <c r="E239" s="57"/>
      <c r="F239" s="58"/>
      <c r="G239" s="58"/>
      <c r="H239" s="58"/>
      <c r="I239" s="58"/>
      <c r="J239" s="58"/>
      <c r="K239" s="58"/>
      <c r="L239" s="59">
        <f t="shared" si="35"/>
        <v>0</v>
      </c>
      <c r="M239" s="68"/>
      <c r="N239" s="68"/>
      <c r="O239" s="68"/>
      <c r="P239" s="68"/>
      <c r="Q239" s="99" t="e">
        <f t="shared" si="36"/>
        <v>#DIV/0!</v>
      </c>
      <c r="R239" s="100">
        <f t="shared" si="37"/>
        <v>0.43387671059875982</v>
      </c>
      <c r="S239" s="83"/>
      <c r="T239" s="83"/>
      <c r="U239" s="101">
        <f t="shared" si="38"/>
        <v>2021.2824107652905</v>
      </c>
      <c r="V239" s="59" t="e">
        <f t="shared" si="34"/>
        <v>#DIV/0!</v>
      </c>
      <c r="W239" s="68"/>
      <c r="X239" s="68"/>
      <c r="Y239" s="68"/>
      <c r="Z239" s="68"/>
      <c r="AA239" s="45"/>
      <c r="AY239" s="66"/>
      <c r="AZ239" s="66"/>
      <c r="BA239" s="66"/>
      <c r="BB239" s="22"/>
    </row>
    <row r="240" spans="2:54" x14ac:dyDescent="0.45">
      <c r="B240" s="45" t="s">
        <v>624</v>
      </c>
      <c r="C240" s="90"/>
      <c r="D240" s="56"/>
      <c r="E240" s="80"/>
      <c r="F240" s="58"/>
      <c r="G240" s="58"/>
      <c r="H240" s="58"/>
      <c r="I240" s="58"/>
      <c r="J240" s="58"/>
      <c r="K240" s="58"/>
      <c r="L240" s="59">
        <f t="shared" si="35"/>
        <v>0</v>
      </c>
      <c r="M240" s="68"/>
      <c r="N240" s="68"/>
      <c r="O240" s="68"/>
      <c r="P240" s="68"/>
      <c r="Q240" s="99" t="e">
        <f t="shared" si="36"/>
        <v>#DIV/0!</v>
      </c>
      <c r="R240" s="100">
        <f t="shared" si="37"/>
        <v>0.43387671059875982</v>
      </c>
      <c r="S240" s="83"/>
      <c r="T240" s="83"/>
      <c r="U240" s="101">
        <f t="shared" si="38"/>
        <v>2021.2824107652905</v>
      </c>
      <c r="V240" s="59" t="e">
        <f t="shared" si="34"/>
        <v>#DIV/0!</v>
      </c>
      <c r="W240" s="68"/>
      <c r="X240" s="68"/>
      <c r="Y240" s="68"/>
      <c r="Z240" s="68"/>
      <c r="AA240" s="45"/>
      <c r="AY240" s="66"/>
      <c r="AZ240" s="66"/>
      <c r="BA240" s="66"/>
      <c r="BB240" s="22"/>
    </row>
    <row r="241" spans="2:54" x14ac:dyDescent="0.45">
      <c r="B241" s="45" t="s">
        <v>625</v>
      </c>
      <c r="C241" s="90"/>
      <c r="D241" s="56"/>
      <c r="E241" s="84"/>
      <c r="F241" s="58"/>
      <c r="G241" s="58"/>
      <c r="H241" s="58"/>
      <c r="I241" s="58"/>
      <c r="J241" s="58"/>
      <c r="K241" s="58"/>
      <c r="L241" s="59">
        <f t="shared" si="35"/>
        <v>0</v>
      </c>
      <c r="M241" s="68"/>
      <c r="N241" s="68"/>
      <c r="O241" s="68"/>
      <c r="P241" s="68"/>
      <c r="Q241" s="99" t="e">
        <f t="shared" si="36"/>
        <v>#DIV/0!</v>
      </c>
      <c r="R241" s="100">
        <f t="shared" si="37"/>
        <v>0.43387671059875982</v>
      </c>
      <c r="S241" s="83"/>
      <c r="T241" s="83"/>
      <c r="U241" s="101">
        <f t="shared" si="38"/>
        <v>2021.2824107652905</v>
      </c>
      <c r="V241" s="59" t="e">
        <f t="shared" si="34"/>
        <v>#DIV/0!</v>
      </c>
      <c r="W241" s="68"/>
      <c r="X241" s="68"/>
      <c r="Y241" s="68"/>
      <c r="Z241" s="68"/>
      <c r="AA241" s="45"/>
      <c r="AY241" s="66"/>
      <c r="AZ241" s="66"/>
      <c r="BA241" s="66"/>
      <c r="BB241" s="22"/>
    </row>
    <row r="242" spans="2:54" x14ac:dyDescent="0.45">
      <c r="B242" s="45" t="s">
        <v>626</v>
      </c>
      <c r="C242" s="90"/>
      <c r="D242" s="56"/>
      <c r="E242" s="57"/>
      <c r="F242" s="58"/>
      <c r="G242" s="58"/>
      <c r="H242" s="58"/>
      <c r="I242" s="58"/>
      <c r="J242" s="58"/>
      <c r="K242" s="58"/>
      <c r="L242" s="59">
        <f t="shared" si="35"/>
        <v>0</v>
      </c>
      <c r="M242" s="68"/>
      <c r="N242" s="68"/>
      <c r="O242" s="68"/>
      <c r="P242" s="68"/>
      <c r="Q242" s="99" t="e">
        <f t="shared" si="36"/>
        <v>#DIV/0!</v>
      </c>
      <c r="R242" s="100">
        <f t="shared" si="37"/>
        <v>0.43387671059875982</v>
      </c>
      <c r="S242" s="83"/>
      <c r="T242" s="83"/>
      <c r="U242" s="101">
        <f t="shared" si="38"/>
        <v>2021.2824107652905</v>
      </c>
      <c r="V242" s="59" t="e">
        <f t="shared" si="34"/>
        <v>#DIV/0!</v>
      </c>
      <c r="W242" s="68"/>
      <c r="X242" s="68"/>
      <c r="Y242" s="68"/>
      <c r="Z242" s="68"/>
      <c r="AA242" s="45"/>
      <c r="AY242" s="66"/>
      <c r="AZ242" s="66"/>
      <c r="BA242" s="66"/>
      <c r="BB242" s="22"/>
    </row>
    <row r="243" spans="2:54" x14ac:dyDescent="0.45">
      <c r="B243" s="45" t="s">
        <v>627</v>
      </c>
      <c r="C243" s="90"/>
      <c r="D243" s="56"/>
      <c r="E243" s="80"/>
      <c r="F243" s="58"/>
      <c r="G243" s="58"/>
      <c r="H243" s="58"/>
      <c r="I243" s="58"/>
      <c r="J243" s="58"/>
      <c r="K243" s="58"/>
      <c r="L243" s="59">
        <f t="shared" si="35"/>
        <v>0</v>
      </c>
      <c r="M243" s="68"/>
      <c r="N243" s="68"/>
      <c r="O243" s="68"/>
      <c r="P243" s="68"/>
      <c r="Q243" s="99" t="e">
        <f t="shared" si="36"/>
        <v>#DIV/0!</v>
      </c>
      <c r="R243" s="100">
        <f t="shared" si="37"/>
        <v>0.43387671059875982</v>
      </c>
      <c r="S243" s="83"/>
      <c r="T243" s="83"/>
      <c r="U243" s="101">
        <f t="shared" si="38"/>
        <v>2021.2824107652905</v>
      </c>
      <c r="V243" s="59" t="e">
        <f t="shared" si="34"/>
        <v>#DIV/0!</v>
      </c>
      <c r="W243" s="68"/>
      <c r="X243" s="68"/>
      <c r="Y243" s="68"/>
      <c r="Z243" s="68"/>
      <c r="AA243" s="45"/>
      <c r="AY243" s="66"/>
      <c r="AZ243" s="66"/>
      <c r="BA243" s="66"/>
      <c r="BB243" s="22"/>
    </row>
    <row r="244" spans="2:54" x14ac:dyDescent="0.45">
      <c r="B244" s="45" t="s">
        <v>628</v>
      </c>
      <c r="C244" s="90"/>
      <c r="D244" s="56"/>
      <c r="E244" s="84"/>
      <c r="F244" s="58"/>
      <c r="G244" s="58"/>
      <c r="H244" s="58"/>
      <c r="I244" s="58"/>
      <c r="J244" s="58"/>
      <c r="K244" s="58"/>
      <c r="L244" s="59">
        <f t="shared" si="35"/>
        <v>0</v>
      </c>
      <c r="M244" s="68"/>
      <c r="N244" s="68"/>
      <c r="O244" s="68"/>
      <c r="P244" s="68"/>
      <c r="Q244" s="99" t="e">
        <f t="shared" si="36"/>
        <v>#DIV/0!</v>
      </c>
      <c r="R244" s="100">
        <f t="shared" si="37"/>
        <v>0.43387671059875982</v>
      </c>
      <c r="S244" s="83"/>
      <c r="T244" s="83"/>
      <c r="U244" s="101">
        <f t="shared" si="38"/>
        <v>2021.2824107652905</v>
      </c>
      <c r="V244" s="59" t="e">
        <f t="shared" si="34"/>
        <v>#DIV/0!</v>
      </c>
      <c r="W244" s="68"/>
      <c r="X244" s="68"/>
      <c r="Y244" s="68"/>
      <c r="Z244" s="68"/>
      <c r="AA244" s="45"/>
      <c r="AY244" s="66"/>
      <c r="AZ244" s="66"/>
      <c r="BA244" s="66"/>
      <c r="BB244" s="22"/>
    </row>
    <row r="245" spans="2:54" x14ac:dyDescent="0.45">
      <c r="B245" s="45" t="s">
        <v>629</v>
      </c>
      <c r="C245" s="90"/>
      <c r="D245" s="56"/>
      <c r="E245" s="57"/>
      <c r="F245" s="58"/>
      <c r="G245" s="58"/>
      <c r="H245" s="58"/>
      <c r="I245" s="58"/>
      <c r="J245" s="58"/>
      <c r="K245" s="58"/>
      <c r="L245" s="59">
        <f t="shared" si="35"/>
        <v>0</v>
      </c>
      <c r="M245" s="68"/>
      <c r="N245" s="68"/>
      <c r="O245" s="68"/>
      <c r="P245" s="68"/>
      <c r="Q245" s="99" t="e">
        <f t="shared" si="36"/>
        <v>#DIV/0!</v>
      </c>
      <c r="R245" s="100">
        <f t="shared" si="37"/>
        <v>0.43387671059875982</v>
      </c>
      <c r="S245" s="83"/>
      <c r="T245" s="83"/>
      <c r="U245" s="101">
        <f t="shared" si="38"/>
        <v>2021.2824107652905</v>
      </c>
      <c r="V245" s="59" t="e">
        <f t="shared" si="34"/>
        <v>#DIV/0!</v>
      </c>
      <c r="W245" s="68"/>
      <c r="X245" s="68"/>
      <c r="Y245" s="68"/>
      <c r="Z245" s="68"/>
      <c r="AA245" s="45"/>
      <c r="AY245" s="66"/>
      <c r="AZ245" s="66"/>
      <c r="BA245" s="66"/>
      <c r="BB245" s="22"/>
    </row>
    <row r="246" spans="2:54" x14ac:dyDescent="0.45">
      <c r="B246" s="45" t="s">
        <v>630</v>
      </c>
      <c r="C246" s="90"/>
      <c r="D246" s="56"/>
      <c r="E246" s="80"/>
      <c r="F246" s="58"/>
      <c r="G246" s="58"/>
      <c r="H246" s="58"/>
      <c r="I246" s="58"/>
      <c r="J246" s="58"/>
      <c r="K246" s="58"/>
      <c r="L246" s="59">
        <f t="shared" si="35"/>
        <v>0</v>
      </c>
      <c r="M246" s="68"/>
      <c r="N246" s="68"/>
      <c r="O246" s="68"/>
      <c r="P246" s="68"/>
      <c r="Q246" s="99" t="e">
        <f t="shared" si="36"/>
        <v>#DIV/0!</v>
      </c>
      <c r="R246" s="100">
        <f t="shared" si="37"/>
        <v>0.43387671059875982</v>
      </c>
      <c r="S246" s="83"/>
      <c r="T246" s="83"/>
      <c r="U246" s="101">
        <f t="shared" si="38"/>
        <v>2021.2824107652905</v>
      </c>
      <c r="V246" s="59" t="e">
        <f t="shared" si="34"/>
        <v>#DIV/0!</v>
      </c>
      <c r="W246" s="68"/>
      <c r="X246" s="68"/>
      <c r="Y246" s="68"/>
      <c r="Z246" s="68"/>
      <c r="AA246" s="45"/>
      <c r="AY246" s="66"/>
      <c r="AZ246" s="66"/>
      <c r="BA246" s="66"/>
      <c r="BB246" s="22"/>
    </row>
    <row r="247" spans="2:54" x14ac:dyDescent="0.45">
      <c r="B247" s="45" t="s">
        <v>631</v>
      </c>
      <c r="C247" s="90"/>
      <c r="D247" s="56"/>
      <c r="E247" s="84"/>
      <c r="F247" s="58"/>
      <c r="G247" s="58"/>
      <c r="H247" s="58"/>
      <c r="I247" s="58"/>
      <c r="J247" s="58"/>
      <c r="K247" s="58"/>
      <c r="L247" s="59">
        <f t="shared" si="35"/>
        <v>0</v>
      </c>
      <c r="M247" s="68"/>
      <c r="N247" s="68"/>
      <c r="O247" s="68"/>
      <c r="P247" s="68"/>
      <c r="Q247" s="99" t="e">
        <f t="shared" si="36"/>
        <v>#DIV/0!</v>
      </c>
      <c r="R247" s="100">
        <f t="shared" si="37"/>
        <v>0.43387671059875982</v>
      </c>
      <c r="S247" s="83"/>
      <c r="T247" s="83"/>
      <c r="U247" s="101">
        <f t="shared" si="38"/>
        <v>2021.2824107652905</v>
      </c>
      <c r="V247" s="59" t="e">
        <f t="shared" si="34"/>
        <v>#DIV/0!</v>
      </c>
      <c r="W247" s="68"/>
      <c r="X247" s="68"/>
      <c r="Y247" s="68"/>
      <c r="Z247" s="68"/>
      <c r="AA247" s="45"/>
      <c r="AY247" s="66"/>
      <c r="AZ247" s="66"/>
      <c r="BA247" s="66"/>
      <c r="BB247" s="22"/>
    </row>
    <row r="248" spans="2:54" x14ac:dyDescent="0.45">
      <c r="B248" s="45" t="s">
        <v>632</v>
      </c>
      <c r="C248" s="90"/>
      <c r="D248" s="56"/>
      <c r="E248" s="57"/>
      <c r="F248" s="58"/>
      <c r="G248" s="58"/>
      <c r="H248" s="58"/>
      <c r="I248" s="58"/>
      <c r="J248" s="58"/>
      <c r="K248" s="58"/>
      <c r="L248" s="59">
        <f t="shared" si="35"/>
        <v>0</v>
      </c>
      <c r="M248" s="68"/>
      <c r="N248" s="68"/>
      <c r="O248" s="68"/>
      <c r="P248" s="68"/>
      <c r="Q248" s="99" t="e">
        <f t="shared" si="36"/>
        <v>#DIV/0!</v>
      </c>
      <c r="R248" s="100">
        <f t="shared" si="37"/>
        <v>0.43387671059875982</v>
      </c>
      <c r="S248" s="83"/>
      <c r="T248" s="83"/>
      <c r="U248" s="101">
        <f t="shared" si="38"/>
        <v>2021.2824107652905</v>
      </c>
      <c r="V248" s="59" t="e">
        <f t="shared" si="34"/>
        <v>#DIV/0!</v>
      </c>
      <c r="W248" s="68"/>
      <c r="X248" s="68"/>
      <c r="Y248" s="68"/>
      <c r="Z248" s="68"/>
      <c r="AA248" s="45"/>
      <c r="AY248" s="66"/>
      <c r="AZ248" s="66"/>
      <c r="BA248" s="66"/>
      <c r="BB248" s="22"/>
    </row>
    <row r="249" spans="2:54" x14ac:dyDescent="0.45">
      <c r="B249" s="45" t="s">
        <v>633</v>
      </c>
      <c r="C249" s="90"/>
      <c r="D249" s="56"/>
      <c r="E249" s="80"/>
      <c r="F249" s="58"/>
      <c r="G249" s="58"/>
      <c r="H249" s="58"/>
      <c r="I249" s="58"/>
      <c r="J249" s="58"/>
      <c r="K249" s="58"/>
      <c r="L249" s="59">
        <f t="shared" si="35"/>
        <v>0</v>
      </c>
      <c r="M249" s="68"/>
      <c r="N249" s="68"/>
      <c r="O249" s="68"/>
      <c r="P249" s="68"/>
      <c r="Q249" s="99" t="e">
        <f t="shared" si="36"/>
        <v>#DIV/0!</v>
      </c>
      <c r="R249" s="100">
        <f t="shared" si="37"/>
        <v>0.43387671059875982</v>
      </c>
      <c r="S249" s="83"/>
      <c r="T249" s="83"/>
      <c r="U249" s="101">
        <f t="shared" si="38"/>
        <v>2021.2824107652905</v>
      </c>
      <c r="V249" s="59" t="e">
        <f t="shared" si="34"/>
        <v>#DIV/0!</v>
      </c>
      <c r="W249" s="68"/>
      <c r="X249" s="68"/>
      <c r="Y249" s="68"/>
      <c r="Z249" s="68"/>
      <c r="AA249" s="45"/>
      <c r="AY249" s="66"/>
      <c r="AZ249" s="66"/>
      <c r="BA249" s="66"/>
      <c r="BB249" s="22"/>
    </row>
    <row r="250" spans="2:54" x14ac:dyDescent="0.45">
      <c r="B250" s="45" t="s">
        <v>634</v>
      </c>
      <c r="C250" s="90"/>
      <c r="D250" s="56"/>
      <c r="E250" s="84"/>
      <c r="F250" s="58"/>
      <c r="G250" s="58"/>
      <c r="H250" s="58"/>
      <c r="I250" s="58"/>
      <c r="J250" s="58"/>
      <c r="K250" s="58"/>
      <c r="L250" s="59">
        <f t="shared" si="35"/>
        <v>0</v>
      </c>
      <c r="M250" s="68"/>
      <c r="N250" s="68"/>
      <c r="O250" s="68"/>
      <c r="P250" s="68"/>
      <c r="Q250" s="99" t="e">
        <f t="shared" si="36"/>
        <v>#DIV/0!</v>
      </c>
      <c r="R250" s="100">
        <f t="shared" si="37"/>
        <v>0.43387671059875982</v>
      </c>
      <c r="S250" s="83"/>
      <c r="T250" s="83"/>
      <c r="U250" s="101">
        <f t="shared" si="38"/>
        <v>2021.2824107652905</v>
      </c>
      <c r="V250" s="59" t="e">
        <f t="shared" si="34"/>
        <v>#DIV/0!</v>
      </c>
      <c r="W250" s="68"/>
      <c r="X250" s="68"/>
      <c r="Y250" s="68"/>
      <c r="Z250" s="68"/>
      <c r="AA250" s="45"/>
      <c r="AY250" s="66"/>
      <c r="AZ250" s="66"/>
      <c r="BA250" s="66"/>
      <c r="BB250" s="22"/>
    </row>
    <row r="251" spans="2:54" x14ac:dyDescent="0.45">
      <c r="B251" s="45" t="s">
        <v>635</v>
      </c>
      <c r="C251" s="90"/>
      <c r="D251" s="56"/>
      <c r="E251" s="57"/>
      <c r="F251" s="58"/>
      <c r="G251" s="58"/>
      <c r="H251" s="58"/>
      <c r="I251" s="58"/>
      <c r="J251" s="58"/>
      <c r="K251" s="58"/>
      <c r="L251" s="59">
        <f t="shared" si="35"/>
        <v>0</v>
      </c>
      <c r="M251" s="68"/>
      <c r="N251" s="68"/>
      <c r="O251" s="68"/>
      <c r="P251" s="68"/>
      <c r="Q251" s="99" t="e">
        <f t="shared" si="36"/>
        <v>#DIV/0!</v>
      </c>
      <c r="R251" s="100">
        <f t="shared" si="37"/>
        <v>0.43387671059875982</v>
      </c>
      <c r="S251" s="83"/>
      <c r="T251" s="83"/>
      <c r="U251" s="101">
        <f t="shared" si="38"/>
        <v>2021.2824107652905</v>
      </c>
      <c r="V251" s="59" t="e">
        <f t="shared" si="34"/>
        <v>#DIV/0!</v>
      </c>
      <c r="W251" s="68"/>
      <c r="X251" s="68"/>
      <c r="Y251" s="68"/>
      <c r="Z251" s="68"/>
      <c r="AA251" s="45"/>
      <c r="AY251" s="66"/>
      <c r="AZ251" s="66"/>
      <c r="BA251" s="66"/>
      <c r="BB251" s="22"/>
    </row>
    <row r="252" spans="2:54" x14ac:dyDescent="0.45">
      <c r="B252" s="45" t="s">
        <v>636</v>
      </c>
      <c r="C252" s="90"/>
      <c r="D252" s="56"/>
      <c r="E252" s="80"/>
      <c r="F252" s="58"/>
      <c r="G252" s="58"/>
      <c r="H252" s="58"/>
      <c r="I252" s="58"/>
      <c r="J252" s="58"/>
      <c r="K252" s="58"/>
      <c r="L252" s="59">
        <f t="shared" si="35"/>
        <v>0</v>
      </c>
      <c r="M252" s="68"/>
      <c r="N252" s="68"/>
      <c r="O252" s="68"/>
      <c r="P252" s="68"/>
      <c r="Q252" s="99" t="e">
        <f t="shared" si="36"/>
        <v>#DIV/0!</v>
      </c>
      <c r="R252" s="100">
        <f t="shared" si="37"/>
        <v>0.43387671059875982</v>
      </c>
      <c r="S252" s="83"/>
      <c r="T252" s="83"/>
      <c r="U252" s="101">
        <f t="shared" si="38"/>
        <v>2021.2824107652905</v>
      </c>
      <c r="V252" s="59" t="e">
        <f t="shared" si="34"/>
        <v>#DIV/0!</v>
      </c>
      <c r="W252" s="68"/>
      <c r="X252" s="68"/>
      <c r="Y252" s="68"/>
      <c r="Z252" s="68"/>
      <c r="AA252" s="45"/>
      <c r="AY252" s="66"/>
      <c r="AZ252" s="66"/>
      <c r="BA252" s="66"/>
      <c r="BB252" s="22"/>
    </row>
    <row r="253" spans="2:54" x14ac:dyDescent="0.45">
      <c r="B253" s="45" t="s">
        <v>637</v>
      </c>
      <c r="C253" s="90"/>
      <c r="D253" s="56"/>
      <c r="E253" s="84"/>
      <c r="F253" s="58"/>
      <c r="G253" s="58"/>
      <c r="H253" s="58"/>
      <c r="I253" s="58"/>
      <c r="J253" s="58"/>
      <c r="K253" s="58"/>
      <c r="L253" s="59">
        <f t="shared" si="35"/>
        <v>0</v>
      </c>
      <c r="M253" s="68"/>
      <c r="N253" s="68"/>
      <c r="O253" s="68"/>
      <c r="P253" s="68"/>
      <c r="Q253" s="99" t="e">
        <f t="shared" si="36"/>
        <v>#DIV/0!</v>
      </c>
      <c r="R253" s="100">
        <f t="shared" si="37"/>
        <v>0.43387671059875982</v>
      </c>
      <c r="S253" s="83"/>
      <c r="T253" s="83"/>
      <c r="U253" s="101">
        <f t="shared" si="38"/>
        <v>2021.2824107652905</v>
      </c>
      <c r="V253" s="59" t="e">
        <f t="shared" si="34"/>
        <v>#DIV/0!</v>
      </c>
      <c r="W253" s="68"/>
      <c r="X253" s="68"/>
      <c r="Y253" s="68"/>
      <c r="Z253" s="68"/>
      <c r="AA253" s="45"/>
      <c r="AY253" s="66"/>
      <c r="AZ253" s="66"/>
      <c r="BA253" s="66"/>
      <c r="BB253" s="22"/>
    </row>
    <row r="254" spans="2:54" x14ac:dyDescent="0.45">
      <c r="B254" s="45" t="s">
        <v>638</v>
      </c>
      <c r="C254" s="90"/>
      <c r="D254" s="56"/>
      <c r="E254" s="57"/>
      <c r="F254" s="58"/>
      <c r="G254" s="58"/>
      <c r="H254" s="58"/>
      <c r="I254" s="58"/>
      <c r="J254" s="58"/>
      <c r="K254" s="58"/>
      <c r="L254" s="59">
        <f t="shared" si="35"/>
        <v>0</v>
      </c>
      <c r="M254" s="68"/>
      <c r="N254" s="68"/>
      <c r="O254" s="68"/>
      <c r="P254" s="68"/>
      <c r="Q254" s="99" t="e">
        <f t="shared" si="36"/>
        <v>#DIV/0!</v>
      </c>
      <c r="R254" s="100">
        <f t="shared" si="37"/>
        <v>0.43387671059875982</v>
      </c>
      <c r="S254" s="83"/>
      <c r="T254" s="83"/>
      <c r="U254" s="101">
        <f t="shared" si="38"/>
        <v>2021.2824107652905</v>
      </c>
      <c r="V254" s="59" t="e">
        <f t="shared" si="34"/>
        <v>#DIV/0!</v>
      </c>
      <c r="W254" s="68"/>
      <c r="X254" s="68"/>
      <c r="Y254" s="68"/>
      <c r="Z254" s="68"/>
      <c r="AA254" s="45"/>
      <c r="AY254" s="66"/>
      <c r="AZ254" s="66"/>
      <c r="BA254" s="66"/>
      <c r="BB254" s="22"/>
    </row>
    <row r="255" spans="2:54" x14ac:dyDescent="0.45">
      <c r="B255" s="45" t="s">
        <v>639</v>
      </c>
      <c r="C255" s="90"/>
      <c r="D255" s="56"/>
      <c r="E255" s="80"/>
      <c r="F255" s="58"/>
      <c r="G255" s="58"/>
      <c r="H255" s="58"/>
      <c r="I255" s="58"/>
      <c r="J255" s="58"/>
      <c r="K255" s="58"/>
      <c r="L255" s="59">
        <f t="shared" si="35"/>
        <v>0</v>
      </c>
      <c r="M255" s="68"/>
      <c r="N255" s="68"/>
      <c r="O255" s="68"/>
      <c r="P255" s="68"/>
      <c r="Q255" s="99" t="e">
        <f t="shared" si="36"/>
        <v>#DIV/0!</v>
      </c>
      <c r="R255" s="100">
        <f t="shared" si="37"/>
        <v>0.43387671059875982</v>
      </c>
      <c r="S255" s="83"/>
      <c r="T255" s="83"/>
      <c r="U255" s="101">
        <f t="shared" si="38"/>
        <v>2021.2824107652905</v>
      </c>
      <c r="V255" s="59" t="e">
        <f t="shared" si="34"/>
        <v>#DIV/0!</v>
      </c>
      <c r="W255" s="68"/>
      <c r="X255" s="68"/>
      <c r="Y255" s="68"/>
      <c r="Z255" s="68"/>
      <c r="AA255" s="45"/>
      <c r="AY255" s="66"/>
      <c r="AZ255" s="66"/>
      <c r="BA255" s="66"/>
      <c r="BB255" s="22"/>
    </row>
    <row r="256" spans="2:54" x14ac:dyDescent="0.45">
      <c r="B256" s="45" t="s">
        <v>640</v>
      </c>
      <c r="C256" s="90"/>
      <c r="D256" s="56"/>
      <c r="E256" s="84"/>
      <c r="F256" s="58"/>
      <c r="G256" s="58"/>
      <c r="H256" s="58"/>
      <c r="I256" s="58"/>
      <c r="J256" s="58"/>
      <c r="K256" s="58"/>
      <c r="L256" s="59">
        <f t="shared" si="35"/>
        <v>0</v>
      </c>
      <c r="M256" s="68"/>
      <c r="N256" s="68"/>
      <c r="O256" s="68"/>
      <c r="P256" s="68"/>
      <c r="Q256" s="99" t="e">
        <f t="shared" si="36"/>
        <v>#DIV/0!</v>
      </c>
      <c r="R256" s="100">
        <f t="shared" si="37"/>
        <v>0.43387671059875982</v>
      </c>
      <c r="S256" s="83"/>
      <c r="T256" s="83"/>
      <c r="U256" s="101">
        <f t="shared" si="38"/>
        <v>2021.2824107652905</v>
      </c>
      <c r="V256" s="59" t="e">
        <f t="shared" si="34"/>
        <v>#DIV/0!</v>
      </c>
      <c r="W256" s="68"/>
      <c r="X256" s="68"/>
      <c r="Y256" s="68"/>
      <c r="Z256" s="68"/>
      <c r="AA256" s="45"/>
      <c r="AY256" s="66"/>
      <c r="AZ256" s="66"/>
      <c r="BA256" s="66"/>
      <c r="BB256" s="22"/>
    </row>
    <row r="257" spans="2:54" x14ac:dyDescent="0.45">
      <c r="B257" s="45" t="s">
        <v>641</v>
      </c>
      <c r="C257" s="90"/>
      <c r="D257" s="56"/>
      <c r="E257" s="57"/>
      <c r="F257" s="58"/>
      <c r="G257" s="58"/>
      <c r="H257" s="58"/>
      <c r="I257" s="58"/>
      <c r="J257" s="58"/>
      <c r="K257" s="58"/>
      <c r="L257" s="59">
        <f t="shared" si="35"/>
        <v>0</v>
      </c>
      <c r="M257" s="68"/>
      <c r="N257" s="68"/>
      <c r="O257" s="68"/>
      <c r="P257" s="68"/>
      <c r="Q257" s="99" t="e">
        <f t="shared" si="36"/>
        <v>#DIV/0!</v>
      </c>
      <c r="R257" s="100">
        <f t="shared" si="37"/>
        <v>0.43387671059875982</v>
      </c>
      <c r="S257" s="83"/>
      <c r="T257" s="83"/>
      <c r="U257" s="101">
        <f t="shared" si="38"/>
        <v>2021.2824107652905</v>
      </c>
      <c r="V257" s="59" t="e">
        <f t="shared" si="34"/>
        <v>#DIV/0!</v>
      </c>
      <c r="W257" s="68"/>
      <c r="X257" s="68"/>
      <c r="Y257" s="68"/>
      <c r="Z257" s="68"/>
      <c r="AA257" s="45"/>
      <c r="AY257" s="66"/>
      <c r="AZ257" s="66"/>
      <c r="BA257" s="66"/>
      <c r="BB257" s="22"/>
    </row>
    <row r="258" spans="2:54" x14ac:dyDescent="0.45">
      <c r="B258" s="45" t="s">
        <v>642</v>
      </c>
      <c r="C258" s="90"/>
      <c r="D258" s="56"/>
      <c r="E258" s="80"/>
      <c r="F258" s="58"/>
      <c r="G258" s="58"/>
      <c r="H258" s="58"/>
      <c r="I258" s="58"/>
      <c r="J258" s="58"/>
      <c r="K258" s="58"/>
      <c r="L258" s="59">
        <f t="shared" si="35"/>
        <v>0</v>
      </c>
      <c r="M258" s="68"/>
      <c r="N258" s="68"/>
      <c r="O258" s="68"/>
      <c r="P258" s="68"/>
      <c r="Q258" s="99" t="e">
        <f t="shared" si="36"/>
        <v>#DIV/0!</v>
      </c>
      <c r="R258" s="100">
        <f t="shared" si="37"/>
        <v>0.43387671059875982</v>
      </c>
      <c r="S258" s="83"/>
      <c r="T258" s="83"/>
      <c r="U258" s="101">
        <f t="shared" si="38"/>
        <v>2021.2824107652905</v>
      </c>
      <c r="V258" s="59" t="e">
        <f t="shared" si="34"/>
        <v>#DIV/0!</v>
      </c>
      <c r="W258" s="68"/>
      <c r="X258" s="68"/>
      <c r="Y258" s="68"/>
      <c r="Z258" s="68"/>
      <c r="AA258" s="45"/>
      <c r="AY258" s="66"/>
      <c r="AZ258" s="66"/>
      <c r="BA258" s="66"/>
      <c r="BB258" s="22"/>
    </row>
    <row r="259" spans="2:54" x14ac:dyDescent="0.45">
      <c r="B259" s="45" t="s">
        <v>643</v>
      </c>
      <c r="C259" s="90"/>
      <c r="D259" s="56"/>
      <c r="E259" s="84"/>
      <c r="F259" s="58"/>
      <c r="G259" s="58"/>
      <c r="H259" s="58"/>
      <c r="I259" s="58"/>
      <c r="J259" s="58"/>
      <c r="K259" s="58"/>
      <c r="L259" s="59">
        <f t="shared" si="35"/>
        <v>0</v>
      </c>
      <c r="M259" s="68"/>
      <c r="N259" s="68"/>
      <c r="O259" s="68"/>
      <c r="P259" s="68"/>
      <c r="Q259" s="99" t="e">
        <f t="shared" si="36"/>
        <v>#DIV/0!</v>
      </c>
      <c r="R259" s="100">
        <f t="shared" si="37"/>
        <v>0.43387671059875982</v>
      </c>
      <c r="S259" s="83"/>
      <c r="T259" s="83"/>
      <c r="U259" s="101">
        <f t="shared" si="38"/>
        <v>2021.2824107652905</v>
      </c>
      <c r="V259" s="59" t="e">
        <f t="shared" si="34"/>
        <v>#DIV/0!</v>
      </c>
      <c r="W259" s="68"/>
      <c r="X259" s="68"/>
      <c r="Y259" s="68"/>
      <c r="Z259" s="68"/>
      <c r="AA259" s="45"/>
      <c r="AY259" s="66"/>
      <c r="AZ259" s="66"/>
      <c r="BA259" s="66"/>
      <c r="BB259" s="22"/>
    </row>
    <row r="260" spans="2:54" x14ac:dyDescent="0.45">
      <c r="B260" s="45" t="s">
        <v>644</v>
      </c>
      <c r="C260" s="90"/>
      <c r="D260" s="56"/>
      <c r="E260" s="57"/>
      <c r="F260" s="58"/>
      <c r="G260" s="58"/>
      <c r="H260" s="58"/>
      <c r="I260" s="58"/>
      <c r="J260" s="58"/>
      <c r="K260" s="58"/>
      <c r="L260" s="59">
        <f t="shared" si="35"/>
        <v>0</v>
      </c>
      <c r="M260" s="68"/>
      <c r="N260" s="68"/>
      <c r="O260" s="68"/>
      <c r="P260" s="68"/>
      <c r="Q260" s="99" t="e">
        <f t="shared" si="36"/>
        <v>#DIV/0!</v>
      </c>
      <c r="R260" s="100">
        <f t="shared" si="37"/>
        <v>0.43387671059875982</v>
      </c>
      <c r="S260" s="83"/>
      <c r="T260" s="83"/>
      <c r="U260" s="101">
        <f t="shared" si="38"/>
        <v>2021.2824107652905</v>
      </c>
      <c r="V260" s="59" t="e">
        <f t="shared" si="34"/>
        <v>#DIV/0!</v>
      </c>
      <c r="W260" s="68"/>
      <c r="X260" s="68"/>
      <c r="Y260" s="68"/>
      <c r="Z260" s="68"/>
      <c r="AA260" s="45"/>
      <c r="AY260" s="66"/>
      <c r="AZ260" s="66"/>
      <c r="BA260" s="66"/>
      <c r="BB260" s="22"/>
    </row>
    <row r="261" spans="2:54" x14ac:dyDescent="0.45">
      <c r="B261" s="45" t="s">
        <v>645</v>
      </c>
      <c r="C261" s="90"/>
      <c r="D261" s="56"/>
      <c r="E261" s="80"/>
      <c r="F261" s="58"/>
      <c r="G261" s="58"/>
      <c r="H261" s="58"/>
      <c r="I261" s="58"/>
      <c r="J261" s="58"/>
      <c r="K261" s="58"/>
      <c r="L261" s="59">
        <f t="shared" si="35"/>
        <v>0</v>
      </c>
      <c r="M261" s="68"/>
      <c r="N261" s="68"/>
      <c r="O261" s="68"/>
      <c r="P261" s="68"/>
      <c r="Q261" s="99" t="e">
        <f t="shared" si="36"/>
        <v>#DIV/0!</v>
      </c>
      <c r="R261" s="100">
        <f t="shared" si="37"/>
        <v>0.43387671059875982</v>
      </c>
      <c r="S261" s="83"/>
      <c r="T261" s="83"/>
      <c r="U261" s="101">
        <f t="shared" si="38"/>
        <v>2021.2824107652905</v>
      </c>
      <c r="V261" s="59" t="e">
        <f t="shared" si="34"/>
        <v>#DIV/0!</v>
      </c>
      <c r="W261" s="68"/>
      <c r="X261" s="68"/>
      <c r="Y261" s="68"/>
      <c r="Z261" s="68"/>
      <c r="AA261" s="45"/>
      <c r="AY261" s="66"/>
      <c r="AZ261" s="66"/>
      <c r="BA261" s="66"/>
      <c r="BB261" s="22"/>
    </row>
    <row r="262" spans="2:54" x14ac:dyDescent="0.45">
      <c r="B262" s="45" t="s">
        <v>646</v>
      </c>
      <c r="C262" s="90"/>
      <c r="D262" s="56"/>
      <c r="E262" s="84"/>
      <c r="F262" s="58"/>
      <c r="G262" s="58"/>
      <c r="H262" s="58"/>
      <c r="I262" s="58"/>
      <c r="J262" s="58"/>
      <c r="K262" s="58"/>
      <c r="L262" s="59">
        <f t="shared" si="35"/>
        <v>0</v>
      </c>
      <c r="M262" s="68"/>
      <c r="N262" s="68"/>
      <c r="O262" s="68"/>
      <c r="P262" s="68"/>
      <c r="Q262" s="99" t="e">
        <f t="shared" si="36"/>
        <v>#DIV/0!</v>
      </c>
      <c r="R262" s="100">
        <f t="shared" si="37"/>
        <v>0.43387671059875982</v>
      </c>
      <c r="S262" s="83"/>
      <c r="T262" s="83"/>
      <c r="U262" s="101">
        <f t="shared" si="38"/>
        <v>2021.2824107652905</v>
      </c>
      <c r="V262" s="59" t="e">
        <f t="shared" si="34"/>
        <v>#DIV/0!</v>
      </c>
      <c r="W262" s="68"/>
      <c r="X262" s="68"/>
      <c r="Y262" s="68"/>
      <c r="Z262" s="68"/>
      <c r="AA262" s="45"/>
      <c r="AY262" s="66"/>
      <c r="AZ262" s="66"/>
      <c r="BA262" s="66"/>
      <c r="BB262" s="22"/>
    </row>
    <row r="263" spans="2:54" x14ac:dyDescent="0.45">
      <c r="B263" s="45" t="s">
        <v>647</v>
      </c>
      <c r="C263" s="90"/>
      <c r="D263" s="56"/>
      <c r="E263" s="57"/>
      <c r="F263" s="58"/>
      <c r="G263" s="58"/>
      <c r="H263" s="58"/>
      <c r="I263" s="58"/>
      <c r="J263" s="58"/>
      <c r="K263" s="58"/>
      <c r="L263" s="59">
        <f t="shared" si="35"/>
        <v>0</v>
      </c>
      <c r="M263" s="68"/>
      <c r="N263" s="68"/>
      <c r="O263" s="68"/>
      <c r="P263" s="68"/>
      <c r="Q263" s="99" t="e">
        <f t="shared" si="36"/>
        <v>#DIV/0!</v>
      </c>
      <c r="R263" s="100">
        <f t="shared" si="37"/>
        <v>0.43387671059875982</v>
      </c>
      <c r="S263" s="83"/>
      <c r="T263" s="83"/>
      <c r="U263" s="101">
        <f t="shared" si="38"/>
        <v>2021.2824107652905</v>
      </c>
      <c r="V263" s="59" t="e">
        <f t="shared" si="34"/>
        <v>#DIV/0!</v>
      </c>
      <c r="W263" s="68"/>
      <c r="X263" s="68"/>
      <c r="Y263" s="68"/>
      <c r="Z263" s="68"/>
      <c r="AA263" s="45"/>
      <c r="AY263" s="66"/>
      <c r="AZ263" s="66"/>
      <c r="BA263" s="66"/>
      <c r="BB263" s="22"/>
    </row>
    <row r="264" spans="2:54" x14ac:dyDescent="0.45">
      <c r="B264" s="45" t="s">
        <v>648</v>
      </c>
      <c r="C264" s="90"/>
      <c r="D264" s="56"/>
      <c r="E264" s="80"/>
      <c r="F264" s="58"/>
      <c r="G264" s="58"/>
      <c r="H264" s="58"/>
      <c r="I264" s="58"/>
      <c r="J264" s="58"/>
      <c r="K264" s="58"/>
      <c r="L264" s="59">
        <f t="shared" si="35"/>
        <v>0</v>
      </c>
      <c r="M264" s="68"/>
      <c r="N264" s="68"/>
      <c r="O264" s="68"/>
      <c r="P264" s="68"/>
      <c r="Q264" s="99" t="e">
        <f t="shared" si="36"/>
        <v>#DIV/0!</v>
      </c>
      <c r="R264" s="100">
        <f t="shared" si="37"/>
        <v>0.43387671059875982</v>
      </c>
      <c r="S264" s="83"/>
      <c r="T264" s="83"/>
      <c r="U264" s="101">
        <f t="shared" si="38"/>
        <v>2021.2824107652905</v>
      </c>
      <c r="V264" s="59" t="e">
        <f t="shared" si="34"/>
        <v>#DIV/0!</v>
      </c>
      <c r="W264" s="68"/>
      <c r="X264" s="68"/>
      <c r="Y264" s="68"/>
      <c r="Z264" s="68"/>
      <c r="AA264" s="45"/>
      <c r="AY264" s="66"/>
      <c r="AZ264" s="66"/>
      <c r="BA264" s="66"/>
      <c r="BB264" s="22"/>
    </row>
    <row r="265" spans="2:54" x14ac:dyDescent="0.45">
      <c r="B265" s="45" t="s">
        <v>649</v>
      </c>
      <c r="C265" s="90"/>
      <c r="D265" s="56"/>
      <c r="E265" s="84"/>
      <c r="F265" s="58"/>
      <c r="G265" s="58"/>
      <c r="H265" s="58"/>
      <c r="I265" s="58"/>
      <c r="J265" s="58"/>
      <c r="K265" s="58"/>
      <c r="L265" s="59">
        <f t="shared" si="35"/>
        <v>0</v>
      </c>
      <c r="M265" s="68"/>
      <c r="N265" s="68"/>
      <c r="O265" s="68"/>
      <c r="P265" s="68"/>
      <c r="Q265" s="99" t="e">
        <f t="shared" si="36"/>
        <v>#DIV/0!</v>
      </c>
      <c r="R265" s="100">
        <f t="shared" si="37"/>
        <v>0.43387671059875982</v>
      </c>
      <c r="S265" s="83"/>
      <c r="T265" s="83"/>
      <c r="U265" s="101">
        <f t="shared" si="38"/>
        <v>2021.2824107652905</v>
      </c>
      <c r="V265" s="59" t="e">
        <f t="shared" si="34"/>
        <v>#DIV/0!</v>
      </c>
      <c r="W265" s="68"/>
      <c r="X265" s="68"/>
      <c r="Y265" s="68"/>
      <c r="Z265" s="68"/>
      <c r="AA265" s="45"/>
      <c r="AY265" s="66"/>
      <c r="AZ265" s="66"/>
      <c r="BA265" s="66"/>
      <c r="BB265" s="22"/>
    </row>
    <row r="266" spans="2:54" x14ac:dyDescent="0.45">
      <c r="B266" s="45" t="s">
        <v>650</v>
      </c>
      <c r="C266" s="90"/>
      <c r="D266" s="56"/>
      <c r="E266" s="57"/>
      <c r="F266" s="58"/>
      <c r="G266" s="58"/>
      <c r="H266" s="58"/>
      <c r="I266" s="58"/>
      <c r="J266" s="58"/>
      <c r="K266" s="58"/>
      <c r="L266" s="59">
        <f t="shared" si="35"/>
        <v>0</v>
      </c>
      <c r="M266" s="68"/>
      <c r="N266" s="68"/>
      <c r="O266" s="68"/>
      <c r="P266" s="68"/>
      <c r="Q266" s="99" t="e">
        <f t="shared" si="36"/>
        <v>#DIV/0!</v>
      </c>
      <c r="R266" s="100">
        <f t="shared" si="37"/>
        <v>0.43387671059875982</v>
      </c>
      <c r="S266" s="83"/>
      <c r="T266" s="83"/>
      <c r="U266" s="101">
        <f t="shared" si="38"/>
        <v>2021.2824107652905</v>
      </c>
      <c r="V266" s="59" t="e">
        <f t="shared" si="34"/>
        <v>#DIV/0!</v>
      </c>
      <c r="W266" s="68"/>
      <c r="X266" s="68"/>
      <c r="Y266" s="68"/>
      <c r="Z266" s="68"/>
      <c r="AA266" s="45"/>
      <c r="AY266" s="66"/>
      <c r="AZ266" s="66"/>
      <c r="BA266" s="66"/>
      <c r="BB266" s="22"/>
    </row>
    <row r="267" spans="2:54" x14ac:dyDescent="0.45">
      <c r="B267" s="45" t="s">
        <v>651</v>
      </c>
      <c r="C267" s="90"/>
      <c r="D267" s="56"/>
      <c r="E267" s="80"/>
      <c r="F267" s="58"/>
      <c r="G267" s="58"/>
      <c r="H267" s="58"/>
      <c r="I267" s="58"/>
      <c r="J267" s="58"/>
      <c r="K267" s="58"/>
      <c r="L267" s="59">
        <f t="shared" si="35"/>
        <v>0</v>
      </c>
      <c r="M267" s="68"/>
      <c r="N267" s="68"/>
      <c r="O267" s="68"/>
      <c r="P267" s="68"/>
      <c r="Q267" s="99" t="e">
        <f t="shared" si="36"/>
        <v>#DIV/0!</v>
      </c>
      <c r="R267" s="100">
        <f t="shared" si="37"/>
        <v>0.43387671059875982</v>
      </c>
      <c r="S267" s="83"/>
      <c r="T267" s="83"/>
      <c r="U267" s="101">
        <f t="shared" si="38"/>
        <v>2021.2824107652905</v>
      </c>
      <c r="V267" s="59" t="e">
        <f t="shared" si="34"/>
        <v>#DIV/0!</v>
      </c>
      <c r="W267" s="68"/>
      <c r="X267" s="68"/>
      <c r="Y267" s="68"/>
      <c r="Z267" s="68"/>
      <c r="AA267" s="45"/>
      <c r="AY267" s="66"/>
      <c r="AZ267" s="66"/>
      <c r="BA267" s="66"/>
      <c r="BB267" s="22"/>
    </row>
    <row r="268" spans="2:54" x14ac:dyDescent="0.45">
      <c r="B268" s="45" t="s">
        <v>652</v>
      </c>
      <c r="C268" s="90"/>
      <c r="D268" s="56"/>
      <c r="E268" s="84"/>
      <c r="F268" s="58"/>
      <c r="G268" s="58"/>
      <c r="H268" s="58"/>
      <c r="I268" s="58"/>
      <c r="J268" s="58"/>
      <c r="K268" s="58"/>
      <c r="L268" s="59">
        <f t="shared" si="35"/>
        <v>0</v>
      </c>
      <c r="M268" s="68"/>
      <c r="N268" s="68"/>
      <c r="O268" s="68"/>
      <c r="P268" s="68"/>
      <c r="Q268" s="99" t="e">
        <f t="shared" si="36"/>
        <v>#DIV/0!</v>
      </c>
      <c r="R268" s="100">
        <f t="shared" si="37"/>
        <v>0.43387671059875982</v>
      </c>
      <c r="S268" s="83"/>
      <c r="T268" s="83"/>
      <c r="U268" s="101">
        <f t="shared" si="38"/>
        <v>2021.2824107652905</v>
      </c>
      <c r="V268" s="59" t="e">
        <f t="shared" si="34"/>
        <v>#DIV/0!</v>
      </c>
      <c r="W268" s="68"/>
      <c r="X268" s="68"/>
      <c r="Y268" s="68"/>
      <c r="Z268" s="68"/>
      <c r="AA268" s="45"/>
      <c r="AY268" s="66"/>
      <c r="AZ268" s="66"/>
      <c r="BA268" s="66"/>
      <c r="BB268" s="22"/>
    </row>
    <row r="269" spans="2:54" x14ac:dyDescent="0.45">
      <c r="B269" s="45" t="s">
        <v>653</v>
      </c>
      <c r="C269" s="90"/>
      <c r="D269" s="56"/>
      <c r="E269" s="57"/>
      <c r="F269" s="58"/>
      <c r="G269" s="58"/>
      <c r="H269" s="58"/>
      <c r="I269" s="58"/>
      <c r="J269" s="58"/>
      <c r="K269" s="58"/>
      <c r="L269" s="59">
        <f t="shared" si="35"/>
        <v>0</v>
      </c>
      <c r="M269" s="68"/>
      <c r="N269" s="68"/>
      <c r="O269" s="68"/>
      <c r="P269" s="68"/>
      <c r="Q269" s="99" t="e">
        <f t="shared" si="36"/>
        <v>#DIV/0!</v>
      </c>
      <c r="R269" s="100">
        <f t="shared" si="37"/>
        <v>0.43387671059875982</v>
      </c>
      <c r="S269" s="83"/>
      <c r="T269" s="83"/>
      <c r="U269" s="101">
        <f t="shared" si="38"/>
        <v>2021.2824107652905</v>
      </c>
      <c r="V269" s="59" t="e">
        <f t="shared" si="34"/>
        <v>#DIV/0!</v>
      </c>
      <c r="W269" s="68"/>
      <c r="X269" s="68"/>
      <c r="Y269" s="68"/>
      <c r="Z269" s="68"/>
      <c r="AA269" s="45"/>
      <c r="AY269" s="66"/>
      <c r="AZ269" s="66"/>
      <c r="BA269" s="66"/>
      <c r="BB269" s="22"/>
    </row>
    <row r="270" spans="2:54" x14ac:dyDescent="0.45">
      <c r="B270" s="45" t="s">
        <v>654</v>
      </c>
      <c r="C270" s="90"/>
      <c r="D270" s="56"/>
      <c r="E270" s="80"/>
      <c r="F270" s="58"/>
      <c r="G270" s="58"/>
      <c r="H270" s="58"/>
      <c r="I270" s="58"/>
      <c r="J270" s="58"/>
      <c r="K270" s="58"/>
      <c r="L270" s="59">
        <f t="shared" si="35"/>
        <v>0</v>
      </c>
      <c r="M270" s="68"/>
      <c r="N270" s="68"/>
      <c r="O270" s="68"/>
      <c r="P270" s="68"/>
      <c r="Q270" s="99" t="e">
        <f t="shared" si="36"/>
        <v>#DIV/0!</v>
      </c>
      <c r="R270" s="100">
        <f t="shared" si="37"/>
        <v>0.43387671059875982</v>
      </c>
      <c r="S270" s="83"/>
      <c r="T270" s="83"/>
      <c r="U270" s="101">
        <f t="shared" si="38"/>
        <v>2021.2824107652905</v>
      </c>
      <c r="V270" s="59" t="e">
        <f t="shared" si="34"/>
        <v>#DIV/0!</v>
      </c>
      <c r="W270" s="68"/>
      <c r="X270" s="68"/>
      <c r="Y270" s="68"/>
      <c r="Z270" s="68"/>
      <c r="AA270" s="45"/>
      <c r="AY270" s="66"/>
      <c r="AZ270" s="66"/>
      <c r="BA270" s="66"/>
      <c r="BB270" s="22"/>
    </row>
    <row r="271" spans="2:54" x14ac:dyDescent="0.45">
      <c r="B271" s="45" t="s">
        <v>655</v>
      </c>
      <c r="C271" s="90"/>
      <c r="D271" s="56"/>
      <c r="E271" s="84"/>
      <c r="F271" s="58"/>
      <c r="G271" s="58"/>
      <c r="H271" s="58"/>
      <c r="I271" s="58"/>
      <c r="J271" s="58"/>
      <c r="K271" s="58"/>
      <c r="L271" s="59">
        <f t="shared" si="35"/>
        <v>0</v>
      </c>
      <c r="M271" s="68"/>
      <c r="N271" s="68"/>
      <c r="O271" s="68"/>
      <c r="P271" s="68"/>
      <c r="Q271" s="99" t="e">
        <f t="shared" si="36"/>
        <v>#DIV/0!</v>
      </c>
      <c r="R271" s="100">
        <f t="shared" si="37"/>
        <v>0.43387671059875982</v>
      </c>
      <c r="S271" s="83"/>
      <c r="T271" s="83"/>
      <c r="U271" s="101">
        <f t="shared" si="38"/>
        <v>2021.2824107652905</v>
      </c>
      <c r="V271" s="59" t="e">
        <f t="shared" si="34"/>
        <v>#DIV/0!</v>
      </c>
      <c r="W271" s="68"/>
      <c r="X271" s="68"/>
      <c r="Y271" s="68"/>
      <c r="Z271" s="68"/>
      <c r="AA271" s="45"/>
      <c r="AY271" s="66"/>
      <c r="AZ271" s="66"/>
      <c r="BA271" s="66"/>
      <c r="BB271" s="22"/>
    </row>
    <row r="272" spans="2:54" x14ac:dyDescent="0.45">
      <c r="B272" s="45" t="s">
        <v>656</v>
      </c>
      <c r="C272" s="90"/>
      <c r="D272" s="56"/>
      <c r="E272" s="57"/>
      <c r="F272" s="58"/>
      <c r="G272" s="58"/>
      <c r="H272" s="58"/>
      <c r="I272" s="58"/>
      <c r="J272" s="58"/>
      <c r="K272" s="58"/>
      <c r="L272" s="59">
        <f t="shared" si="35"/>
        <v>0</v>
      </c>
      <c r="M272" s="68"/>
      <c r="N272" s="68"/>
      <c r="O272" s="68"/>
      <c r="P272" s="68"/>
      <c r="Q272" s="99" t="e">
        <f t="shared" si="36"/>
        <v>#DIV/0!</v>
      </c>
      <c r="R272" s="100">
        <f t="shared" si="37"/>
        <v>0.43387671059875982</v>
      </c>
      <c r="S272" s="83"/>
      <c r="T272" s="83"/>
      <c r="U272" s="101">
        <f t="shared" si="38"/>
        <v>2021.2824107652905</v>
      </c>
      <c r="V272" s="59" t="e">
        <f t="shared" si="34"/>
        <v>#DIV/0!</v>
      </c>
      <c r="W272" s="68"/>
      <c r="X272" s="68"/>
      <c r="Y272" s="68"/>
      <c r="Z272" s="68"/>
      <c r="AA272" s="45"/>
      <c r="AY272" s="66"/>
      <c r="AZ272" s="66"/>
      <c r="BA272" s="66"/>
      <c r="BB272" s="22"/>
    </row>
    <row r="273" spans="2:54" x14ac:dyDescent="0.45">
      <c r="B273" s="45" t="s">
        <v>657</v>
      </c>
      <c r="C273" s="90"/>
      <c r="D273" s="56"/>
      <c r="E273" s="80"/>
      <c r="F273" s="58"/>
      <c r="G273" s="58"/>
      <c r="H273" s="58"/>
      <c r="I273" s="58"/>
      <c r="J273" s="58"/>
      <c r="K273" s="58"/>
      <c r="L273" s="59">
        <f t="shared" si="35"/>
        <v>0</v>
      </c>
      <c r="M273" s="68"/>
      <c r="N273" s="68"/>
      <c r="O273" s="68"/>
      <c r="P273" s="68"/>
      <c r="Q273" s="99" t="e">
        <f t="shared" si="36"/>
        <v>#DIV/0!</v>
      </c>
      <c r="R273" s="100">
        <f t="shared" si="37"/>
        <v>0.43387671059875982</v>
      </c>
      <c r="S273" s="83"/>
      <c r="T273" s="83"/>
      <c r="U273" s="101">
        <f t="shared" si="38"/>
        <v>2021.2824107652905</v>
      </c>
      <c r="V273" s="59" t="e">
        <f t="shared" ref="V273:V336" si="39">1/2*((P273*S273+R273*U273+T273*Q273)-(Q273*R273+S273*T273+U273*P273))/0.1582*100</f>
        <v>#DIV/0!</v>
      </c>
      <c r="W273" s="68"/>
      <c r="X273" s="68"/>
      <c r="Y273" s="68"/>
      <c r="Z273" s="68"/>
      <c r="AA273" s="45"/>
      <c r="AY273" s="66"/>
      <c r="AZ273" s="66"/>
      <c r="BA273" s="66"/>
      <c r="BB273" s="22"/>
    </row>
    <row r="274" spans="2:54" x14ac:dyDescent="0.45">
      <c r="B274" s="45" t="s">
        <v>658</v>
      </c>
      <c r="C274" s="90"/>
      <c r="D274" s="56"/>
      <c r="E274" s="84"/>
      <c r="F274" s="58"/>
      <c r="G274" s="58"/>
      <c r="H274" s="58"/>
      <c r="I274" s="58"/>
      <c r="J274" s="58"/>
      <c r="K274" s="58"/>
      <c r="L274" s="59">
        <f t="shared" ref="L274:L337" si="40">1/2*((F274*I274+H274*K274+J274*G274)-(G274*H274+I274*J274+K274*F274))/0.1582*100</f>
        <v>0</v>
      </c>
      <c r="M274" s="68"/>
      <c r="N274" s="68"/>
      <c r="O274" s="68"/>
      <c r="P274" s="68"/>
      <c r="Q274" s="99" t="e">
        <f t="shared" ref="Q274:Q337" si="41">O274/P274</f>
        <v>#DIV/0!</v>
      </c>
      <c r="R274" s="100">
        <f t="shared" ref="R274:R337" si="42">SQRT(POWER(M274-$M$12,2)+POWER(N274-$N$12,2))</f>
        <v>0.43387671059875982</v>
      </c>
      <c r="S274" s="83"/>
      <c r="T274" s="83"/>
      <c r="U274" s="101">
        <f t="shared" ref="U274:U337" si="43">(-449*((M274-0.332)/(N274-0.1858))^3)+(3525*((M274-0.332)/(N274-0.1858))^2)+(-6823.3*(M274-0.332)/(N274-0.1858))+5520.33</f>
        <v>2021.2824107652905</v>
      </c>
      <c r="V274" s="59" t="e">
        <f t="shared" si="39"/>
        <v>#DIV/0!</v>
      </c>
      <c r="W274" s="68"/>
      <c r="X274" s="68"/>
      <c r="Y274" s="68"/>
      <c r="Z274" s="68"/>
      <c r="AA274" s="45"/>
      <c r="AY274" s="66"/>
      <c r="AZ274" s="66"/>
      <c r="BA274" s="66"/>
      <c r="BB274" s="22"/>
    </row>
    <row r="275" spans="2:54" x14ac:dyDescent="0.45">
      <c r="B275" s="45" t="s">
        <v>659</v>
      </c>
      <c r="C275" s="90"/>
      <c r="D275" s="56"/>
      <c r="E275" s="57"/>
      <c r="F275" s="58"/>
      <c r="G275" s="58"/>
      <c r="H275" s="58"/>
      <c r="I275" s="58"/>
      <c r="J275" s="58"/>
      <c r="K275" s="58"/>
      <c r="L275" s="59">
        <f t="shared" si="40"/>
        <v>0</v>
      </c>
      <c r="M275" s="68"/>
      <c r="N275" s="68"/>
      <c r="O275" s="68"/>
      <c r="P275" s="68"/>
      <c r="Q275" s="99" t="e">
        <f t="shared" si="41"/>
        <v>#DIV/0!</v>
      </c>
      <c r="R275" s="100">
        <f t="shared" si="42"/>
        <v>0.43387671059875982</v>
      </c>
      <c r="S275" s="83"/>
      <c r="T275" s="83"/>
      <c r="U275" s="101">
        <f t="shared" si="43"/>
        <v>2021.2824107652905</v>
      </c>
      <c r="V275" s="59" t="e">
        <f t="shared" si="39"/>
        <v>#DIV/0!</v>
      </c>
      <c r="W275" s="68"/>
      <c r="X275" s="68"/>
      <c r="Y275" s="68"/>
      <c r="Z275" s="68"/>
      <c r="AA275" s="45"/>
      <c r="AY275" s="66"/>
      <c r="AZ275" s="66"/>
      <c r="BA275" s="66"/>
      <c r="BB275" s="22"/>
    </row>
    <row r="276" spans="2:54" x14ac:dyDescent="0.45">
      <c r="B276" s="45" t="s">
        <v>660</v>
      </c>
      <c r="C276" s="90"/>
      <c r="D276" s="56"/>
      <c r="E276" s="80"/>
      <c r="F276" s="58"/>
      <c r="G276" s="58"/>
      <c r="H276" s="58"/>
      <c r="I276" s="58"/>
      <c r="J276" s="58"/>
      <c r="K276" s="58"/>
      <c r="L276" s="59">
        <f t="shared" si="40"/>
        <v>0</v>
      </c>
      <c r="M276" s="68"/>
      <c r="N276" s="68"/>
      <c r="O276" s="68"/>
      <c r="P276" s="68"/>
      <c r="Q276" s="99" t="e">
        <f t="shared" si="41"/>
        <v>#DIV/0!</v>
      </c>
      <c r="R276" s="100">
        <f t="shared" si="42"/>
        <v>0.43387671059875982</v>
      </c>
      <c r="S276" s="83"/>
      <c r="T276" s="83"/>
      <c r="U276" s="101">
        <f t="shared" si="43"/>
        <v>2021.2824107652905</v>
      </c>
      <c r="V276" s="59" t="e">
        <f t="shared" si="39"/>
        <v>#DIV/0!</v>
      </c>
      <c r="W276" s="68"/>
      <c r="X276" s="68"/>
      <c r="Y276" s="68"/>
      <c r="Z276" s="68"/>
      <c r="AA276" s="45"/>
      <c r="AY276" s="66"/>
      <c r="AZ276" s="66"/>
      <c r="BA276" s="66"/>
      <c r="BB276" s="22"/>
    </row>
    <row r="277" spans="2:54" x14ac:dyDescent="0.45">
      <c r="B277" s="45" t="s">
        <v>661</v>
      </c>
      <c r="C277" s="90"/>
      <c r="D277" s="56"/>
      <c r="E277" s="84"/>
      <c r="F277" s="58"/>
      <c r="G277" s="58"/>
      <c r="H277" s="58"/>
      <c r="I277" s="58"/>
      <c r="J277" s="58"/>
      <c r="K277" s="58"/>
      <c r="L277" s="59">
        <f t="shared" si="40"/>
        <v>0</v>
      </c>
      <c r="M277" s="68"/>
      <c r="N277" s="68"/>
      <c r="O277" s="68"/>
      <c r="P277" s="68"/>
      <c r="Q277" s="99" t="e">
        <f t="shared" si="41"/>
        <v>#DIV/0!</v>
      </c>
      <c r="R277" s="100">
        <f t="shared" si="42"/>
        <v>0.43387671059875982</v>
      </c>
      <c r="S277" s="83"/>
      <c r="T277" s="83"/>
      <c r="U277" s="101">
        <f t="shared" si="43"/>
        <v>2021.2824107652905</v>
      </c>
      <c r="V277" s="59" t="e">
        <f t="shared" si="39"/>
        <v>#DIV/0!</v>
      </c>
      <c r="W277" s="68"/>
      <c r="X277" s="68"/>
      <c r="Y277" s="68"/>
      <c r="Z277" s="68"/>
      <c r="AA277" s="45"/>
      <c r="AY277" s="66"/>
      <c r="AZ277" s="66"/>
      <c r="BA277" s="66"/>
      <c r="BB277" s="22"/>
    </row>
    <row r="278" spans="2:54" x14ac:dyDescent="0.45">
      <c r="B278" s="45" t="s">
        <v>662</v>
      </c>
      <c r="C278" s="90"/>
      <c r="D278" s="56"/>
      <c r="E278" s="57"/>
      <c r="F278" s="58"/>
      <c r="G278" s="58"/>
      <c r="H278" s="58"/>
      <c r="I278" s="58"/>
      <c r="J278" s="58"/>
      <c r="K278" s="58"/>
      <c r="L278" s="59">
        <f t="shared" si="40"/>
        <v>0</v>
      </c>
      <c r="M278" s="68"/>
      <c r="N278" s="68"/>
      <c r="O278" s="68"/>
      <c r="P278" s="68"/>
      <c r="Q278" s="99" t="e">
        <f t="shared" si="41"/>
        <v>#DIV/0!</v>
      </c>
      <c r="R278" s="100">
        <f t="shared" si="42"/>
        <v>0.43387671059875982</v>
      </c>
      <c r="S278" s="83"/>
      <c r="T278" s="83"/>
      <c r="U278" s="101">
        <f t="shared" si="43"/>
        <v>2021.2824107652905</v>
      </c>
      <c r="V278" s="59" t="e">
        <f t="shared" si="39"/>
        <v>#DIV/0!</v>
      </c>
      <c r="W278" s="68"/>
      <c r="X278" s="68"/>
      <c r="Y278" s="68"/>
      <c r="Z278" s="68"/>
      <c r="AA278" s="45"/>
      <c r="AY278" s="66"/>
      <c r="AZ278" s="66"/>
      <c r="BA278" s="66"/>
      <c r="BB278" s="22"/>
    </row>
    <row r="279" spans="2:54" x14ac:dyDescent="0.45">
      <c r="B279" s="45" t="s">
        <v>663</v>
      </c>
      <c r="C279" s="90"/>
      <c r="D279" s="56"/>
      <c r="E279" s="80"/>
      <c r="F279" s="58"/>
      <c r="G279" s="58"/>
      <c r="H279" s="58"/>
      <c r="I279" s="58"/>
      <c r="J279" s="58"/>
      <c r="K279" s="58"/>
      <c r="L279" s="59">
        <f t="shared" si="40"/>
        <v>0</v>
      </c>
      <c r="M279" s="68"/>
      <c r="N279" s="68"/>
      <c r="O279" s="68"/>
      <c r="P279" s="68"/>
      <c r="Q279" s="99" t="e">
        <f t="shared" si="41"/>
        <v>#DIV/0!</v>
      </c>
      <c r="R279" s="100">
        <f t="shared" si="42"/>
        <v>0.43387671059875982</v>
      </c>
      <c r="S279" s="83"/>
      <c r="T279" s="83"/>
      <c r="U279" s="101">
        <f t="shared" si="43"/>
        <v>2021.2824107652905</v>
      </c>
      <c r="V279" s="59" t="e">
        <f t="shared" si="39"/>
        <v>#DIV/0!</v>
      </c>
      <c r="W279" s="68"/>
      <c r="X279" s="68"/>
      <c r="Y279" s="68"/>
      <c r="Z279" s="68"/>
      <c r="AA279" s="45"/>
      <c r="AY279" s="66"/>
      <c r="AZ279" s="66"/>
      <c r="BA279" s="66"/>
      <c r="BB279" s="22"/>
    </row>
    <row r="280" spans="2:54" x14ac:dyDescent="0.45">
      <c r="B280" s="45" t="s">
        <v>664</v>
      </c>
      <c r="C280" s="90"/>
      <c r="D280" s="56"/>
      <c r="E280" s="84"/>
      <c r="F280" s="58"/>
      <c r="G280" s="58"/>
      <c r="H280" s="58"/>
      <c r="I280" s="58"/>
      <c r="J280" s="58"/>
      <c r="K280" s="58"/>
      <c r="L280" s="59">
        <f t="shared" si="40"/>
        <v>0</v>
      </c>
      <c r="M280" s="68"/>
      <c r="N280" s="68"/>
      <c r="O280" s="68"/>
      <c r="P280" s="68"/>
      <c r="Q280" s="99" t="e">
        <f t="shared" si="41"/>
        <v>#DIV/0!</v>
      </c>
      <c r="R280" s="100">
        <f t="shared" si="42"/>
        <v>0.43387671059875982</v>
      </c>
      <c r="S280" s="83"/>
      <c r="T280" s="83"/>
      <c r="U280" s="101">
        <f t="shared" si="43"/>
        <v>2021.2824107652905</v>
      </c>
      <c r="V280" s="59" t="e">
        <f t="shared" si="39"/>
        <v>#DIV/0!</v>
      </c>
      <c r="W280" s="68"/>
      <c r="X280" s="68"/>
      <c r="Y280" s="68"/>
      <c r="Z280" s="68"/>
      <c r="AA280" s="45"/>
      <c r="AY280" s="66"/>
      <c r="AZ280" s="66"/>
      <c r="BA280" s="66"/>
      <c r="BB280" s="22"/>
    </row>
    <row r="281" spans="2:54" x14ac:dyDescent="0.45">
      <c r="B281" s="45" t="s">
        <v>665</v>
      </c>
      <c r="C281" s="90"/>
      <c r="D281" s="56"/>
      <c r="E281" s="57"/>
      <c r="F281" s="58"/>
      <c r="G281" s="58"/>
      <c r="H281" s="58"/>
      <c r="I281" s="58"/>
      <c r="J281" s="58"/>
      <c r="K281" s="58"/>
      <c r="L281" s="59">
        <f t="shared" si="40"/>
        <v>0</v>
      </c>
      <c r="M281" s="68"/>
      <c r="N281" s="68"/>
      <c r="O281" s="68"/>
      <c r="P281" s="68"/>
      <c r="Q281" s="99" t="e">
        <f t="shared" si="41"/>
        <v>#DIV/0!</v>
      </c>
      <c r="R281" s="100">
        <f t="shared" si="42"/>
        <v>0.43387671059875982</v>
      </c>
      <c r="S281" s="83"/>
      <c r="T281" s="83"/>
      <c r="U281" s="101">
        <f t="shared" si="43"/>
        <v>2021.2824107652905</v>
      </c>
      <c r="V281" s="59" t="e">
        <f t="shared" si="39"/>
        <v>#DIV/0!</v>
      </c>
      <c r="W281" s="68"/>
      <c r="X281" s="68"/>
      <c r="Y281" s="68"/>
      <c r="Z281" s="68"/>
      <c r="AA281" s="45"/>
      <c r="AY281" s="66"/>
      <c r="AZ281" s="66"/>
      <c r="BA281" s="66"/>
      <c r="BB281" s="22"/>
    </row>
    <row r="282" spans="2:54" x14ac:dyDescent="0.45">
      <c r="B282" s="45" t="s">
        <v>666</v>
      </c>
      <c r="C282" s="90"/>
      <c r="D282" s="56"/>
      <c r="E282" s="80"/>
      <c r="F282" s="58"/>
      <c r="G282" s="58"/>
      <c r="H282" s="58"/>
      <c r="I282" s="58"/>
      <c r="J282" s="58"/>
      <c r="K282" s="58"/>
      <c r="L282" s="59">
        <f t="shared" si="40"/>
        <v>0</v>
      </c>
      <c r="M282" s="68"/>
      <c r="N282" s="68"/>
      <c r="O282" s="68"/>
      <c r="P282" s="68"/>
      <c r="Q282" s="99" t="e">
        <f t="shared" si="41"/>
        <v>#DIV/0!</v>
      </c>
      <c r="R282" s="100">
        <f t="shared" si="42"/>
        <v>0.43387671059875982</v>
      </c>
      <c r="S282" s="83"/>
      <c r="T282" s="83"/>
      <c r="U282" s="101">
        <f t="shared" si="43"/>
        <v>2021.2824107652905</v>
      </c>
      <c r="V282" s="59" t="e">
        <f t="shared" si="39"/>
        <v>#DIV/0!</v>
      </c>
      <c r="W282" s="68"/>
      <c r="X282" s="68"/>
      <c r="Y282" s="68"/>
      <c r="Z282" s="68"/>
      <c r="AA282" s="45"/>
      <c r="AY282" s="66"/>
      <c r="AZ282" s="66"/>
      <c r="BA282" s="66"/>
      <c r="BB282" s="22"/>
    </row>
    <row r="283" spans="2:54" x14ac:dyDescent="0.45">
      <c r="B283" s="45" t="s">
        <v>667</v>
      </c>
      <c r="C283" s="90"/>
      <c r="D283" s="56"/>
      <c r="E283" s="84"/>
      <c r="F283" s="58"/>
      <c r="G283" s="58"/>
      <c r="H283" s="58"/>
      <c r="I283" s="58"/>
      <c r="J283" s="58"/>
      <c r="K283" s="58"/>
      <c r="L283" s="59">
        <f t="shared" si="40"/>
        <v>0</v>
      </c>
      <c r="M283" s="68"/>
      <c r="N283" s="68"/>
      <c r="O283" s="68"/>
      <c r="P283" s="68"/>
      <c r="Q283" s="99" t="e">
        <f t="shared" si="41"/>
        <v>#DIV/0!</v>
      </c>
      <c r="R283" s="100">
        <f t="shared" si="42"/>
        <v>0.43387671059875982</v>
      </c>
      <c r="S283" s="83"/>
      <c r="T283" s="83"/>
      <c r="U283" s="101">
        <f t="shared" si="43"/>
        <v>2021.2824107652905</v>
      </c>
      <c r="V283" s="59" t="e">
        <f t="shared" si="39"/>
        <v>#DIV/0!</v>
      </c>
      <c r="W283" s="68"/>
      <c r="X283" s="68"/>
      <c r="Y283" s="68"/>
      <c r="Z283" s="68"/>
      <c r="AA283" s="45"/>
      <c r="AY283" s="66"/>
      <c r="AZ283" s="66"/>
      <c r="BA283" s="66"/>
      <c r="BB283" s="22"/>
    </row>
    <row r="284" spans="2:54" x14ac:dyDescent="0.45">
      <c r="B284" s="45" t="s">
        <v>668</v>
      </c>
      <c r="C284" s="90"/>
      <c r="D284" s="56"/>
      <c r="E284" s="57"/>
      <c r="F284" s="58"/>
      <c r="G284" s="58"/>
      <c r="H284" s="58"/>
      <c r="I284" s="58"/>
      <c r="J284" s="58"/>
      <c r="K284" s="58"/>
      <c r="L284" s="59">
        <f t="shared" si="40"/>
        <v>0</v>
      </c>
      <c r="M284" s="68"/>
      <c r="N284" s="68"/>
      <c r="O284" s="68"/>
      <c r="P284" s="68"/>
      <c r="Q284" s="99" t="e">
        <f t="shared" si="41"/>
        <v>#DIV/0!</v>
      </c>
      <c r="R284" s="100">
        <f t="shared" si="42"/>
        <v>0.43387671059875982</v>
      </c>
      <c r="S284" s="83"/>
      <c r="T284" s="83"/>
      <c r="U284" s="101">
        <f t="shared" si="43"/>
        <v>2021.2824107652905</v>
      </c>
      <c r="V284" s="59" t="e">
        <f t="shared" si="39"/>
        <v>#DIV/0!</v>
      </c>
      <c r="W284" s="68"/>
      <c r="X284" s="68"/>
      <c r="Y284" s="68"/>
      <c r="Z284" s="68"/>
      <c r="AA284" s="45"/>
      <c r="AY284" s="66"/>
      <c r="AZ284" s="66"/>
      <c r="BA284" s="66"/>
      <c r="BB284" s="22"/>
    </row>
    <row r="285" spans="2:54" x14ac:dyDescent="0.45">
      <c r="B285" s="45" t="s">
        <v>669</v>
      </c>
      <c r="C285" s="90"/>
      <c r="D285" s="56"/>
      <c r="E285" s="80"/>
      <c r="F285" s="58"/>
      <c r="G285" s="58"/>
      <c r="H285" s="58"/>
      <c r="I285" s="58"/>
      <c r="J285" s="58"/>
      <c r="K285" s="58"/>
      <c r="L285" s="59">
        <f t="shared" si="40"/>
        <v>0</v>
      </c>
      <c r="M285" s="68"/>
      <c r="N285" s="68"/>
      <c r="O285" s="68"/>
      <c r="P285" s="68"/>
      <c r="Q285" s="99" t="e">
        <f t="shared" si="41"/>
        <v>#DIV/0!</v>
      </c>
      <c r="R285" s="100">
        <f t="shared" si="42"/>
        <v>0.43387671059875982</v>
      </c>
      <c r="S285" s="83"/>
      <c r="T285" s="83"/>
      <c r="U285" s="101">
        <f t="shared" si="43"/>
        <v>2021.2824107652905</v>
      </c>
      <c r="V285" s="59" t="e">
        <f t="shared" si="39"/>
        <v>#DIV/0!</v>
      </c>
      <c r="W285" s="68"/>
      <c r="X285" s="68"/>
      <c r="Y285" s="68"/>
      <c r="Z285" s="68"/>
      <c r="AA285" s="45"/>
      <c r="AY285" s="66"/>
      <c r="AZ285" s="66"/>
      <c r="BA285" s="66"/>
      <c r="BB285" s="22"/>
    </row>
    <row r="286" spans="2:54" x14ac:dyDescent="0.45">
      <c r="B286" s="45" t="s">
        <v>670</v>
      </c>
      <c r="C286" s="90"/>
      <c r="D286" s="56"/>
      <c r="E286" s="84"/>
      <c r="F286" s="58"/>
      <c r="G286" s="58"/>
      <c r="H286" s="58"/>
      <c r="I286" s="58"/>
      <c r="J286" s="58"/>
      <c r="K286" s="58"/>
      <c r="L286" s="59">
        <f t="shared" si="40"/>
        <v>0</v>
      </c>
      <c r="M286" s="68"/>
      <c r="N286" s="68"/>
      <c r="O286" s="68"/>
      <c r="P286" s="68"/>
      <c r="Q286" s="99" t="e">
        <f t="shared" si="41"/>
        <v>#DIV/0!</v>
      </c>
      <c r="R286" s="100">
        <f t="shared" si="42"/>
        <v>0.43387671059875982</v>
      </c>
      <c r="S286" s="83"/>
      <c r="T286" s="83"/>
      <c r="U286" s="101">
        <f t="shared" si="43"/>
        <v>2021.2824107652905</v>
      </c>
      <c r="V286" s="59" t="e">
        <f t="shared" si="39"/>
        <v>#DIV/0!</v>
      </c>
      <c r="W286" s="68"/>
      <c r="X286" s="68"/>
      <c r="Y286" s="68"/>
      <c r="Z286" s="68"/>
      <c r="AA286" s="45"/>
      <c r="AY286" s="66"/>
      <c r="AZ286" s="66"/>
      <c r="BA286" s="66"/>
      <c r="BB286" s="22"/>
    </row>
    <row r="287" spans="2:54" x14ac:dyDescent="0.45">
      <c r="B287" s="45" t="s">
        <v>671</v>
      </c>
      <c r="C287" s="90"/>
      <c r="D287" s="56"/>
      <c r="E287" s="57"/>
      <c r="F287" s="58"/>
      <c r="G287" s="58"/>
      <c r="H287" s="58"/>
      <c r="I287" s="58"/>
      <c r="J287" s="58"/>
      <c r="K287" s="58"/>
      <c r="L287" s="59">
        <f t="shared" si="40"/>
        <v>0</v>
      </c>
      <c r="M287" s="68"/>
      <c r="N287" s="68"/>
      <c r="O287" s="68"/>
      <c r="P287" s="68"/>
      <c r="Q287" s="99" t="e">
        <f t="shared" si="41"/>
        <v>#DIV/0!</v>
      </c>
      <c r="R287" s="100">
        <f t="shared" si="42"/>
        <v>0.43387671059875982</v>
      </c>
      <c r="S287" s="83"/>
      <c r="T287" s="83"/>
      <c r="U287" s="101">
        <f t="shared" si="43"/>
        <v>2021.2824107652905</v>
      </c>
      <c r="V287" s="59" t="e">
        <f t="shared" si="39"/>
        <v>#DIV/0!</v>
      </c>
      <c r="W287" s="68"/>
      <c r="X287" s="68"/>
      <c r="Y287" s="68"/>
      <c r="Z287" s="68"/>
      <c r="AA287" s="45"/>
      <c r="AY287" s="66"/>
      <c r="AZ287" s="66"/>
      <c r="BA287" s="66"/>
      <c r="BB287" s="22"/>
    </row>
    <row r="288" spans="2:54" x14ac:dyDescent="0.45">
      <c r="B288" s="45" t="s">
        <v>672</v>
      </c>
      <c r="C288" s="90"/>
      <c r="D288" s="56"/>
      <c r="E288" s="80"/>
      <c r="F288" s="58"/>
      <c r="G288" s="58"/>
      <c r="H288" s="58"/>
      <c r="I288" s="58"/>
      <c r="J288" s="58"/>
      <c r="K288" s="58"/>
      <c r="L288" s="59">
        <f t="shared" si="40"/>
        <v>0</v>
      </c>
      <c r="M288" s="68"/>
      <c r="N288" s="68"/>
      <c r="O288" s="68"/>
      <c r="P288" s="68"/>
      <c r="Q288" s="99" t="e">
        <f t="shared" si="41"/>
        <v>#DIV/0!</v>
      </c>
      <c r="R288" s="100">
        <f t="shared" si="42"/>
        <v>0.43387671059875982</v>
      </c>
      <c r="S288" s="83"/>
      <c r="T288" s="83"/>
      <c r="U288" s="101">
        <f t="shared" si="43"/>
        <v>2021.2824107652905</v>
      </c>
      <c r="V288" s="59" t="e">
        <f t="shared" si="39"/>
        <v>#DIV/0!</v>
      </c>
      <c r="W288" s="68"/>
      <c r="X288" s="68"/>
      <c r="Y288" s="68"/>
      <c r="Z288" s="68"/>
      <c r="AA288" s="45"/>
      <c r="AY288" s="66"/>
      <c r="AZ288" s="66"/>
      <c r="BA288" s="66"/>
      <c r="BB288" s="22"/>
    </row>
    <row r="289" spans="2:54" x14ac:dyDescent="0.45">
      <c r="B289" s="45" t="s">
        <v>673</v>
      </c>
      <c r="C289" s="90"/>
      <c r="D289" s="56"/>
      <c r="E289" s="84"/>
      <c r="F289" s="58"/>
      <c r="G289" s="58"/>
      <c r="H289" s="58"/>
      <c r="I289" s="58"/>
      <c r="J289" s="58"/>
      <c r="K289" s="58"/>
      <c r="L289" s="59">
        <f t="shared" si="40"/>
        <v>0</v>
      </c>
      <c r="M289" s="68"/>
      <c r="N289" s="68"/>
      <c r="O289" s="68"/>
      <c r="P289" s="68"/>
      <c r="Q289" s="99" t="e">
        <f t="shared" si="41"/>
        <v>#DIV/0!</v>
      </c>
      <c r="R289" s="100">
        <f t="shared" si="42"/>
        <v>0.43387671059875982</v>
      </c>
      <c r="S289" s="83"/>
      <c r="T289" s="83"/>
      <c r="U289" s="101">
        <f t="shared" si="43"/>
        <v>2021.2824107652905</v>
      </c>
      <c r="V289" s="59" t="e">
        <f t="shared" si="39"/>
        <v>#DIV/0!</v>
      </c>
      <c r="W289" s="68"/>
      <c r="X289" s="68"/>
      <c r="Y289" s="68"/>
      <c r="Z289" s="68"/>
      <c r="AA289" s="45"/>
      <c r="AY289" s="66"/>
      <c r="AZ289" s="66"/>
      <c r="BA289" s="66"/>
      <c r="BB289" s="22"/>
    </row>
    <row r="290" spans="2:54" x14ac:dyDescent="0.45">
      <c r="B290" s="45" t="s">
        <v>674</v>
      </c>
      <c r="C290" s="90"/>
      <c r="D290" s="56"/>
      <c r="E290" s="57"/>
      <c r="F290" s="58"/>
      <c r="G290" s="58"/>
      <c r="H290" s="58"/>
      <c r="I290" s="58"/>
      <c r="J290" s="58"/>
      <c r="K290" s="58"/>
      <c r="L290" s="59">
        <f t="shared" si="40"/>
        <v>0</v>
      </c>
      <c r="M290" s="68"/>
      <c r="N290" s="68"/>
      <c r="O290" s="68"/>
      <c r="P290" s="68"/>
      <c r="Q290" s="99" t="e">
        <f t="shared" si="41"/>
        <v>#DIV/0!</v>
      </c>
      <c r="R290" s="100">
        <f t="shared" si="42"/>
        <v>0.43387671059875982</v>
      </c>
      <c r="S290" s="83"/>
      <c r="T290" s="83"/>
      <c r="U290" s="101">
        <f t="shared" si="43"/>
        <v>2021.2824107652905</v>
      </c>
      <c r="V290" s="59" t="e">
        <f t="shared" si="39"/>
        <v>#DIV/0!</v>
      </c>
      <c r="W290" s="68"/>
      <c r="X290" s="68"/>
      <c r="Y290" s="68"/>
      <c r="Z290" s="68"/>
      <c r="AA290" s="45"/>
      <c r="AY290" s="66"/>
      <c r="AZ290" s="66"/>
      <c r="BA290" s="66"/>
      <c r="BB290" s="22"/>
    </row>
    <row r="291" spans="2:54" x14ac:dyDescent="0.45">
      <c r="B291" s="45" t="s">
        <v>675</v>
      </c>
      <c r="C291" s="90"/>
      <c r="D291" s="56"/>
      <c r="E291" s="80"/>
      <c r="F291" s="58"/>
      <c r="G291" s="58"/>
      <c r="H291" s="58"/>
      <c r="I291" s="58"/>
      <c r="J291" s="58"/>
      <c r="K291" s="58"/>
      <c r="L291" s="59">
        <f t="shared" si="40"/>
        <v>0</v>
      </c>
      <c r="M291" s="68"/>
      <c r="N291" s="68"/>
      <c r="O291" s="68"/>
      <c r="P291" s="68"/>
      <c r="Q291" s="99" t="e">
        <f t="shared" si="41"/>
        <v>#DIV/0!</v>
      </c>
      <c r="R291" s="100">
        <f t="shared" si="42"/>
        <v>0.43387671059875982</v>
      </c>
      <c r="S291" s="83"/>
      <c r="T291" s="83"/>
      <c r="U291" s="101">
        <f t="shared" si="43"/>
        <v>2021.2824107652905</v>
      </c>
      <c r="V291" s="59" t="e">
        <f t="shared" si="39"/>
        <v>#DIV/0!</v>
      </c>
      <c r="W291" s="68"/>
      <c r="X291" s="68"/>
      <c r="Y291" s="68"/>
      <c r="Z291" s="68"/>
      <c r="AA291" s="45"/>
      <c r="AY291" s="66"/>
      <c r="AZ291" s="66"/>
      <c r="BA291" s="66"/>
      <c r="BB291" s="22"/>
    </row>
    <row r="292" spans="2:54" x14ac:dyDescent="0.45">
      <c r="B292" s="45" t="s">
        <v>676</v>
      </c>
      <c r="C292" s="90"/>
      <c r="D292" s="56"/>
      <c r="E292" s="84"/>
      <c r="F292" s="58"/>
      <c r="G292" s="58"/>
      <c r="H292" s="58"/>
      <c r="I292" s="58"/>
      <c r="J292" s="58"/>
      <c r="K292" s="58"/>
      <c r="L292" s="59">
        <f t="shared" si="40"/>
        <v>0</v>
      </c>
      <c r="M292" s="68"/>
      <c r="N292" s="68"/>
      <c r="O292" s="68"/>
      <c r="P292" s="68"/>
      <c r="Q292" s="99" t="e">
        <f t="shared" si="41"/>
        <v>#DIV/0!</v>
      </c>
      <c r="R292" s="100">
        <f t="shared" si="42"/>
        <v>0.43387671059875982</v>
      </c>
      <c r="S292" s="83"/>
      <c r="T292" s="83"/>
      <c r="U292" s="101">
        <f t="shared" si="43"/>
        <v>2021.2824107652905</v>
      </c>
      <c r="V292" s="59" t="e">
        <f t="shared" si="39"/>
        <v>#DIV/0!</v>
      </c>
      <c r="W292" s="68"/>
      <c r="X292" s="68"/>
      <c r="Y292" s="68"/>
      <c r="Z292" s="68"/>
      <c r="AA292" s="45"/>
      <c r="AY292" s="66"/>
      <c r="AZ292" s="66"/>
      <c r="BA292" s="66"/>
      <c r="BB292" s="22"/>
    </row>
    <row r="293" spans="2:54" x14ac:dyDescent="0.45">
      <c r="B293" s="45" t="s">
        <v>677</v>
      </c>
      <c r="C293" s="90"/>
      <c r="D293" s="56"/>
      <c r="E293" s="57"/>
      <c r="F293" s="58"/>
      <c r="G293" s="58"/>
      <c r="H293" s="58"/>
      <c r="I293" s="58"/>
      <c r="J293" s="58"/>
      <c r="K293" s="58"/>
      <c r="L293" s="59">
        <f t="shared" si="40"/>
        <v>0</v>
      </c>
      <c r="M293" s="68"/>
      <c r="N293" s="68"/>
      <c r="O293" s="68"/>
      <c r="P293" s="68"/>
      <c r="Q293" s="99" t="e">
        <f t="shared" si="41"/>
        <v>#DIV/0!</v>
      </c>
      <c r="R293" s="100">
        <f t="shared" si="42"/>
        <v>0.43387671059875982</v>
      </c>
      <c r="S293" s="83"/>
      <c r="T293" s="83"/>
      <c r="U293" s="101">
        <f t="shared" si="43"/>
        <v>2021.2824107652905</v>
      </c>
      <c r="V293" s="59" t="e">
        <f t="shared" si="39"/>
        <v>#DIV/0!</v>
      </c>
      <c r="W293" s="68"/>
      <c r="X293" s="68"/>
      <c r="Y293" s="68"/>
      <c r="Z293" s="68"/>
      <c r="AA293" s="45"/>
      <c r="AY293" s="66"/>
      <c r="AZ293" s="66"/>
      <c r="BA293" s="66"/>
      <c r="BB293" s="22"/>
    </row>
    <row r="294" spans="2:54" x14ac:dyDescent="0.45">
      <c r="B294" s="45" t="s">
        <v>678</v>
      </c>
      <c r="C294" s="90"/>
      <c r="D294" s="56"/>
      <c r="E294" s="80"/>
      <c r="F294" s="58"/>
      <c r="G294" s="58"/>
      <c r="H294" s="58"/>
      <c r="I294" s="58"/>
      <c r="J294" s="58"/>
      <c r="K294" s="58"/>
      <c r="L294" s="59">
        <f t="shared" si="40"/>
        <v>0</v>
      </c>
      <c r="M294" s="68"/>
      <c r="N294" s="68"/>
      <c r="O294" s="68"/>
      <c r="P294" s="68"/>
      <c r="Q294" s="99" t="e">
        <f t="shared" si="41"/>
        <v>#DIV/0!</v>
      </c>
      <c r="R294" s="100">
        <f t="shared" si="42"/>
        <v>0.43387671059875982</v>
      </c>
      <c r="S294" s="83"/>
      <c r="T294" s="83"/>
      <c r="U294" s="101">
        <f t="shared" si="43"/>
        <v>2021.2824107652905</v>
      </c>
      <c r="V294" s="59" t="e">
        <f t="shared" si="39"/>
        <v>#DIV/0!</v>
      </c>
      <c r="W294" s="68"/>
      <c r="X294" s="68"/>
      <c r="Y294" s="68"/>
      <c r="Z294" s="68"/>
      <c r="AA294" s="45"/>
      <c r="AY294" s="66"/>
      <c r="AZ294" s="66"/>
      <c r="BA294" s="66"/>
      <c r="BB294" s="22"/>
    </row>
    <row r="295" spans="2:54" x14ac:dyDescent="0.45">
      <c r="B295" s="45" t="s">
        <v>679</v>
      </c>
      <c r="C295" s="90"/>
      <c r="D295" s="56"/>
      <c r="E295" s="84"/>
      <c r="F295" s="58"/>
      <c r="G295" s="58"/>
      <c r="H295" s="58"/>
      <c r="I295" s="58"/>
      <c r="J295" s="58"/>
      <c r="K295" s="58"/>
      <c r="L295" s="59">
        <f t="shared" si="40"/>
        <v>0</v>
      </c>
      <c r="M295" s="68"/>
      <c r="N295" s="68"/>
      <c r="O295" s="68"/>
      <c r="P295" s="68"/>
      <c r="Q295" s="99" t="e">
        <f t="shared" si="41"/>
        <v>#DIV/0!</v>
      </c>
      <c r="R295" s="100">
        <f t="shared" si="42"/>
        <v>0.43387671059875982</v>
      </c>
      <c r="S295" s="83"/>
      <c r="T295" s="83"/>
      <c r="U295" s="101">
        <f t="shared" si="43"/>
        <v>2021.2824107652905</v>
      </c>
      <c r="V295" s="59" t="e">
        <f t="shared" si="39"/>
        <v>#DIV/0!</v>
      </c>
      <c r="W295" s="68"/>
      <c r="X295" s="68"/>
      <c r="Y295" s="68"/>
      <c r="Z295" s="68"/>
      <c r="AA295" s="45"/>
      <c r="AY295" s="66"/>
      <c r="AZ295" s="66"/>
      <c r="BA295" s="66"/>
      <c r="BB295" s="22"/>
    </row>
    <row r="296" spans="2:54" x14ac:dyDescent="0.45">
      <c r="B296" s="45" t="s">
        <v>680</v>
      </c>
      <c r="C296" s="90"/>
      <c r="D296" s="56"/>
      <c r="E296" s="57"/>
      <c r="F296" s="58"/>
      <c r="G296" s="58"/>
      <c r="H296" s="58"/>
      <c r="I296" s="58"/>
      <c r="J296" s="58"/>
      <c r="K296" s="58"/>
      <c r="L296" s="59">
        <f t="shared" si="40"/>
        <v>0</v>
      </c>
      <c r="M296" s="68"/>
      <c r="N296" s="68"/>
      <c r="O296" s="68"/>
      <c r="P296" s="68"/>
      <c r="Q296" s="99" t="e">
        <f t="shared" si="41"/>
        <v>#DIV/0!</v>
      </c>
      <c r="R296" s="100">
        <f t="shared" si="42"/>
        <v>0.43387671059875982</v>
      </c>
      <c r="S296" s="83"/>
      <c r="T296" s="83"/>
      <c r="U296" s="101">
        <f t="shared" si="43"/>
        <v>2021.2824107652905</v>
      </c>
      <c r="V296" s="59" t="e">
        <f t="shared" si="39"/>
        <v>#DIV/0!</v>
      </c>
      <c r="W296" s="68"/>
      <c r="X296" s="68"/>
      <c r="Y296" s="68"/>
      <c r="Z296" s="68"/>
      <c r="AA296" s="45"/>
      <c r="AY296" s="66"/>
      <c r="AZ296" s="66"/>
      <c r="BA296" s="66"/>
      <c r="BB296" s="22"/>
    </row>
    <row r="297" spans="2:54" x14ac:dyDescent="0.45">
      <c r="B297" s="45" t="s">
        <v>681</v>
      </c>
      <c r="C297" s="90"/>
      <c r="D297" s="56"/>
      <c r="E297" s="80"/>
      <c r="F297" s="58"/>
      <c r="G297" s="58"/>
      <c r="H297" s="58"/>
      <c r="I297" s="58"/>
      <c r="J297" s="58"/>
      <c r="K297" s="58"/>
      <c r="L297" s="59">
        <f t="shared" si="40"/>
        <v>0</v>
      </c>
      <c r="M297" s="68"/>
      <c r="N297" s="68"/>
      <c r="O297" s="68"/>
      <c r="P297" s="68"/>
      <c r="Q297" s="99" t="e">
        <f t="shared" si="41"/>
        <v>#DIV/0!</v>
      </c>
      <c r="R297" s="100">
        <f t="shared" si="42"/>
        <v>0.43387671059875982</v>
      </c>
      <c r="S297" s="83"/>
      <c r="T297" s="83"/>
      <c r="U297" s="101">
        <f t="shared" si="43"/>
        <v>2021.2824107652905</v>
      </c>
      <c r="V297" s="59" t="e">
        <f t="shared" si="39"/>
        <v>#DIV/0!</v>
      </c>
      <c r="W297" s="68"/>
      <c r="X297" s="68"/>
      <c r="Y297" s="68"/>
      <c r="Z297" s="68"/>
      <c r="AA297" s="45"/>
      <c r="AY297" s="66"/>
      <c r="AZ297" s="66"/>
      <c r="BA297" s="66"/>
      <c r="BB297" s="22"/>
    </row>
    <row r="298" spans="2:54" x14ac:dyDescent="0.45">
      <c r="B298" s="45" t="s">
        <v>682</v>
      </c>
      <c r="C298" s="90"/>
      <c r="D298" s="56"/>
      <c r="E298" s="84"/>
      <c r="F298" s="58"/>
      <c r="G298" s="58"/>
      <c r="H298" s="58"/>
      <c r="I298" s="58"/>
      <c r="J298" s="58"/>
      <c r="K298" s="58"/>
      <c r="L298" s="59">
        <f t="shared" si="40"/>
        <v>0</v>
      </c>
      <c r="M298" s="68"/>
      <c r="N298" s="68"/>
      <c r="O298" s="68"/>
      <c r="P298" s="68"/>
      <c r="Q298" s="99" t="e">
        <f t="shared" si="41"/>
        <v>#DIV/0!</v>
      </c>
      <c r="R298" s="100">
        <f t="shared" si="42"/>
        <v>0.43387671059875982</v>
      </c>
      <c r="S298" s="83"/>
      <c r="T298" s="83"/>
      <c r="U298" s="101">
        <f t="shared" si="43"/>
        <v>2021.2824107652905</v>
      </c>
      <c r="V298" s="59" t="e">
        <f t="shared" si="39"/>
        <v>#DIV/0!</v>
      </c>
      <c r="W298" s="68"/>
      <c r="X298" s="68"/>
      <c r="Y298" s="68"/>
      <c r="Z298" s="68"/>
      <c r="AA298" s="45"/>
      <c r="AY298" s="66"/>
      <c r="AZ298" s="66"/>
      <c r="BA298" s="66"/>
      <c r="BB298" s="22"/>
    </row>
    <row r="299" spans="2:54" x14ac:dyDescent="0.45">
      <c r="B299" s="45" t="s">
        <v>683</v>
      </c>
      <c r="C299" s="90"/>
      <c r="D299" s="56"/>
      <c r="E299" s="57"/>
      <c r="F299" s="58"/>
      <c r="G299" s="58"/>
      <c r="H299" s="58"/>
      <c r="I299" s="58"/>
      <c r="J299" s="58"/>
      <c r="K299" s="58"/>
      <c r="L299" s="59">
        <f t="shared" si="40"/>
        <v>0</v>
      </c>
      <c r="M299" s="68"/>
      <c r="N299" s="68"/>
      <c r="O299" s="68"/>
      <c r="P299" s="68"/>
      <c r="Q299" s="99" t="e">
        <f t="shared" si="41"/>
        <v>#DIV/0!</v>
      </c>
      <c r="R299" s="100">
        <f t="shared" si="42"/>
        <v>0.43387671059875982</v>
      </c>
      <c r="S299" s="83"/>
      <c r="T299" s="83"/>
      <c r="U299" s="101">
        <f t="shared" si="43"/>
        <v>2021.2824107652905</v>
      </c>
      <c r="V299" s="59" t="e">
        <f t="shared" si="39"/>
        <v>#DIV/0!</v>
      </c>
      <c r="W299" s="68"/>
      <c r="X299" s="68"/>
      <c r="Y299" s="68"/>
      <c r="Z299" s="68"/>
      <c r="AA299" s="45"/>
      <c r="AY299" s="66"/>
      <c r="AZ299" s="66"/>
      <c r="BA299" s="66"/>
      <c r="BB299" s="22"/>
    </row>
    <row r="300" spans="2:54" x14ac:dyDescent="0.45">
      <c r="B300" s="45" t="s">
        <v>684</v>
      </c>
      <c r="C300" s="90"/>
      <c r="D300" s="56"/>
      <c r="E300" s="80"/>
      <c r="F300" s="58"/>
      <c r="G300" s="58"/>
      <c r="H300" s="58"/>
      <c r="I300" s="58"/>
      <c r="J300" s="58"/>
      <c r="K300" s="58"/>
      <c r="L300" s="59">
        <f t="shared" si="40"/>
        <v>0</v>
      </c>
      <c r="M300" s="68"/>
      <c r="N300" s="68"/>
      <c r="O300" s="68"/>
      <c r="P300" s="68"/>
      <c r="Q300" s="99" t="e">
        <f t="shared" si="41"/>
        <v>#DIV/0!</v>
      </c>
      <c r="R300" s="100">
        <f t="shared" si="42"/>
        <v>0.43387671059875982</v>
      </c>
      <c r="S300" s="83"/>
      <c r="T300" s="83"/>
      <c r="U300" s="101">
        <f t="shared" si="43"/>
        <v>2021.2824107652905</v>
      </c>
      <c r="V300" s="59" t="e">
        <f t="shared" si="39"/>
        <v>#DIV/0!</v>
      </c>
      <c r="W300" s="68"/>
      <c r="X300" s="68"/>
      <c r="Y300" s="68"/>
      <c r="Z300" s="68"/>
      <c r="AA300" s="45"/>
      <c r="AY300" s="66"/>
      <c r="AZ300" s="66"/>
      <c r="BA300" s="66"/>
      <c r="BB300" s="22"/>
    </row>
    <row r="301" spans="2:54" x14ac:dyDescent="0.45">
      <c r="B301" s="45" t="s">
        <v>685</v>
      </c>
      <c r="C301" s="90"/>
      <c r="D301" s="56"/>
      <c r="E301" s="84"/>
      <c r="F301" s="58"/>
      <c r="G301" s="58"/>
      <c r="H301" s="58"/>
      <c r="I301" s="58"/>
      <c r="J301" s="58"/>
      <c r="K301" s="58"/>
      <c r="L301" s="59">
        <f t="shared" si="40"/>
        <v>0</v>
      </c>
      <c r="M301" s="68"/>
      <c r="N301" s="68"/>
      <c r="O301" s="68"/>
      <c r="P301" s="68"/>
      <c r="Q301" s="99" t="e">
        <f t="shared" si="41"/>
        <v>#DIV/0!</v>
      </c>
      <c r="R301" s="100">
        <f t="shared" si="42"/>
        <v>0.43387671059875982</v>
      </c>
      <c r="S301" s="83"/>
      <c r="T301" s="83"/>
      <c r="U301" s="101">
        <f t="shared" si="43"/>
        <v>2021.2824107652905</v>
      </c>
      <c r="V301" s="59" t="e">
        <f t="shared" si="39"/>
        <v>#DIV/0!</v>
      </c>
      <c r="W301" s="68"/>
      <c r="X301" s="68"/>
      <c r="Y301" s="68"/>
      <c r="Z301" s="68"/>
      <c r="AA301" s="45"/>
      <c r="AY301" s="66"/>
      <c r="AZ301" s="66"/>
      <c r="BA301" s="66"/>
      <c r="BB301" s="22"/>
    </row>
    <row r="302" spans="2:54" x14ac:dyDescent="0.45">
      <c r="B302" s="45" t="s">
        <v>686</v>
      </c>
      <c r="C302" s="90"/>
      <c r="D302" s="56"/>
      <c r="E302" s="57"/>
      <c r="F302" s="58"/>
      <c r="G302" s="58"/>
      <c r="H302" s="58"/>
      <c r="I302" s="58"/>
      <c r="J302" s="58"/>
      <c r="K302" s="58"/>
      <c r="L302" s="59">
        <f t="shared" si="40"/>
        <v>0</v>
      </c>
      <c r="M302" s="68"/>
      <c r="N302" s="68"/>
      <c r="O302" s="68"/>
      <c r="P302" s="68"/>
      <c r="Q302" s="99" t="e">
        <f t="shared" si="41"/>
        <v>#DIV/0!</v>
      </c>
      <c r="R302" s="100">
        <f t="shared" si="42"/>
        <v>0.43387671059875982</v>
      </c>
      <c r="S302" s="83"/>
      <c r="T302" s="83"/>
      <c r="U302" s="101">
        <f t="shared" si="43"/>
        <v>2021.2824107652905</v>
      </c>
      <c r="V302" s="59" t="e">
        <f t="shared" si="39"/>
        <v>#DIV/0!</v>
      </c>
      <c r="W302" s="68"/>
      <c r="X302" s="68"/>
      <c r="Y302" s="68"/>
      <c r="Z302" s="68"/>
      <c r="AA302" s="45"/>
      <c r="AY302" s="66"/>
      <c r="AZ302" s="66"/>
      <c r="BA302" s="66"/>
      <c r="BB302" s="22"/>
    </row>
    <row r="303" spans="2:54" x14ac:dyDescent="0.45">
      <c r="B303" s="45" t="s">
        <v>687</v>
      </c>
      <c r="C303" s="90"/>
      <c r="D303" s="56"/>
      <c r="E303" s="80"/>
      <c r="F303" s="58"/>
      <c r="G303" s="58"/>
      <c r="H303" s="58"/>
      <c r="I303" s="58"/>
      <c r="J303" s="58"/>
      <c r="K303" s="58"/>
      <c r="L303" s="59">
        <f t="shared" si="40"/>
        <v>0</v>
      </c>
      <c r="M303" s="68"/>
      <c r="N303" s="68"/>
      <c r="O303" s="68"/>
      <c r="P303" s="68"/>
      <c r="Q303" s="99" t="e">
        <f t="shared" si="41"/>
        <v>#DIV/0!</v>
      </c>
      <c r="R303" s="100">
        <f t="shared" si="42"/>
        <v>0.43387671059875982</v>
      </c>
      <c r="S303" s="83"/>
      <c r="T303" s="83"/>
      <c r="U303" s="101">
        <f t="shared" si="43"/>
        <v>2021.2824107652905</v>
      </c>
      <c r="V303" s="59" t="e">
        <f t="shared" si="39"/>
        <v>#DIV/0!</v>
      </c>
      <c r="W303" s="68"/>
      <c r="X303" s="68"/>
      <c r="Y303" s="68"/>
      <c r="Z303" s="68"/>
      <c r="AA303" s="45"/>
      <c r="AY303" s="66"/>
      <c r="AZ303" s="66"/>
      <c r="BA303" s="66"/>
      <c r="BB303" s="22"/>
    </row>
    <row r="304" spans="2:54" x14ac:dyDescent="0.45">
      <c r="B304" s="45" t="s">
        <v>688</v>
      </c>
      <c r="C304" s="90"/>
      <c r="D304" s="56"/>
      <c r="E304" s="84"/>
      <c r="F304" s="58"/>
      <c r="G304" s="58"/>
      <c r="H304" s="58"/>
      <c r="I304" s="58"/>
      <c r="J304" s="58"/>
      <c r="K304" s="58"/>
      <c r="L304" s="59">
        <f t="shared" si="40"/>
        <v>0</v>
      </c>
      <c r="M304" s="68"/>
      <c r="N304" s="68"/>
      <c r="O304" s="68"/>
      <c r="P304" s="68"/>
      <c r="Q304" s="99" t="e">
        <f t="shared" si="41"/>
        <v>#DIV/0!</v>
      </c>
      <c r="R304" s="100">
        <f t="shared" si="42"/>
        <v>0.43387671059875982</v>
      </c>
      <c r="S304" s="83"/>
      <c r="T304" s="83"/>
      <c r="U304" s="101">
        <f t="shared" si="43"/>
        <v>2021.2824107652905</v>
      </c>
      <c r="V304" s="59" t="e">
        <f t="shared" si="39"/>
        <v>#DIV/0!</v>
      </c>
      <c r="W304" s="68"/>
      <c r="X304" s="68"/>
      <c r="Y304" s="68"/>
      <c r="Z304" s="68"/>
      <c r="AA304" s="45"/>
      <c r="AY304" s="66"/>
      <c r="AZ304" s="66"/>
      <c r="BA304" s="66"/>
      <c r="BB304" s="22"/>
    </row>
    <row r="305" spans="2:54" x14ac:dyDescent="0.45">
      <c r="B305" s="45" t="s">
        <v>689</v>
      </c>
      <c r="C305" s="90"/>
      <c r="D305" s="56"/>
      <c r="E305" s="57"/>
      <c r="F305" s="58"/>
      <c r="G305" s="58"/>
      <c r="H305" s="58"/>
      <c r="I305" s="58"/>
      <c r="J305" s="58"/>
      <c r="K305" s="58"/>
      <c r="L305" s="59">
        <f t="shared" si="40"/>
        <v>0</v>
      </c>
      <c r="M305" s="68"/>
      <c r="N305" s="68"/>
      <c r="O305" s="68"/>
      <c r="P305" s="68"/>
      <c r="Q305" s="99" t="e">
        <f t="shared" si="41"/>
        <v>#DIV/0!</v>
      </c>
      <c r="R305" s="100">
        <f t="shared" si="42"/>
        <v>0.43387671059875982</v>
      </c>
      <c r="S305" s="83"/>
      <c r="T305" s="83"/>
      <c r="U305" s="101">
        <f t="shared" si="43"/>
        <v>2021.2824107652905</v>
      </c>
      <c r="V305" s="59" t="e">
        <f t="shared" si="39"/>
        <v>#DIV/0!</v>
      </c>
      <c r="W305" s="68"/>
      <c r="X305" s="68"/>
      <c r="Y305" s="68"/>
      <c r="Z305" s="68"/>
      <c r="AA305" s="45"/>
      <c r="AY305" s="66"/>
      <c r="AZ305" s="66"/>
      <c r="BA305" s="66"/>
      <c r="BB305" s="22"/>
    </row>
    <row r="306" spans="2:54" x14ac:dyDescent="0.45">
      <c r="B306" s="45" t="s">
        <v>690</v>
      </c>
      <c r="C306" s="90"/>
      <c r="D306" s="56"/>
      <c r="E306" s="80"/>
      <c r="F306" s="58"/>
      <c r="G306" s="58"/>
      <c r="H306" s="58"/>
      <c r="I306" s="58"/>
      <c r="J306" s="58"/>
      <c r="K306" s="58"/>
      <c r="L306" s="59">
        <f t="shared" si="40"/>
        <v>0</v>
      </c>
      <c r="M306" s="68"/>
      <c r="N306" s="68"/>
      <c r="O306" s="68"/>
      <c r="P306" s="68"/>
      <c r="Q306" s="99" t="e">
        <f t="shared" si="41"/>
        <v>#DIV/0!</v>
      </c>
      <c r="R306" s="100">
        <f t="shared" si="42"/>
        <v>0.43387671059875982</v>
      </c>
      <c r="S306" s="83"/>
      <c r="T306" s="83"/>
      <c r="U306" s="101">
        <f t="shared" si="43"/>
        <v>2021.2824107652905</v>
      </c>
      <c r="V306" s="59" t="e">
        <f t="shared" si="39"/>
        <v>#DIV/0!</v>
      </c>
      <c r="W306" s="68"/>
      <c r="X306" s="68"/>
      <c r="Y306" s="68"/>
      <c r="Z306" s="68"/>
      <c r="AA306" s="45"/>
      <c r="AY306" s="66"/>
      <c r="AZ306" s="66"/>
      <c r="BA306" s="66"/>
      <c r="BB306" s="22"/>
    </row>
    <row r="307" spans="2:54" x14ac:dyDescent="0.45">
      <c r="B307" s="45" t="s">
        <v>691</v>
      </c>
      <c r="C307" s="90"/>
      <c r="D307" s="56"/>
      <c r="E307" s="84"/>
      <c r="F307" s="58"/>
      <c r="G307" s="58"/>
      <c r="H307" s="58"/>
      <c r="I307" s="58"/>
      <c r="J307" s="58"/>
      <c r="K307" s="58"/>
      <c r="L307" s="59">
        <f t="shared" si="40"/>
        <v>0</v>
      </c>
      <c r="M307" s="68"/>
      <c r="N307" s="68"/>
      <c r="O307" s="68"/>
      <c r="P307" s="68"/>
      <c r="Q307" s="99" t="e">
        <f t="shared" si="41"/>
        <v>#DIV/0!</v>
      </c>
      <c r="R307" s="100">
        <f t="shared" si="42"/>
        <v>0.43387671059875982</v>
      </c>
      <c r="S307" s="83"/>
      <c r="T307" s="83"/>
      <c r="U307" s="101">
        <f t="shared" si="43"/>
        <v>2021.2824107652905</v>
      </c>
      <c r="V307" s="59" t="e">
        <f t="shared" si="39"/>
        <v>#DIV/0!</v>
      </c>
      <c r="W307" s="68"/>
      <c r="X307" s="68"/>
      <c r="Y307" s="68"/>
      <c r="Z307" s="68"/>
      <c r="AA307" s="45"/>
      <c r="AY307" s="66"/>
      <c r="AZ307" s="66"/>
      <c r="BA307" s="66"/>
      <c r="BB307" s="22"/>
    </row>
    <row r="308" spans="2:54" x14ac:dyDescent="0.45">
      <c r="B308" s="45" t="s">
        <v>692</v>
      </c>
      <c r="C308" s="90"/>
      <c r="D308" s="56"/>
      <c r="E308" s="57"/>
      <c r="F308" s="58"/>
      <c r="G308" s="58"/>
      <c r="H308" s="58"/>
      <c r="I308" s="58"/>
      <c r="J308" s="58"/>
      <c r="K308" s="58"/>
      <c r="L308" s="59">
        <f t="shared" si="40"/>
        <v>0</v>
      </c>
      <c r="M308" s="68"/>
      <c r="N308" s="68"/>
      <c r="O308" s="68"/>
      <c r="P308" s="68"/>
      <c r="Q308" s="99" t="e">
        <f t="shared" si="41"/>
        <v>#DIV/0!</v>
      </c>
      <c r="R308" s="100">
        <f t="shared" si="42"/>
        <v>0.43387671059875982</v>
      </c>
      <c r="S308" s="83"/>
      <c r="T308" s="83"/>
      <c r="U308" s="101">
        <f t="shared" si="43"/>
        <v>2021.2824107652905</v>
      </c>
      <c r="V308" s="59" t="e">
        <f t="shared" si="39"/>
        <v>#DIV/0!</v>
      </c>
      <c r="W308" s="68"/>
      <c r="X308" s="68"/>
      <c r="Y308" s="68"/>
      <c r="Z308" s="68"/>
      <c r="AA308" s="45"/>
      <c r="AY308" s="66"/>
      <c r="AZ308" s="66"/>
      <c r="BA308" s="66"/>
      <c r="BB308" s="22"/>
    </row>
    <row r="309" spans="2:54" x14ac:dyDescent="0.45">
      <c r="B309" s="45" t="s">
        <v>693</v>
      </c>
      <c r="C309" s="90"/>
      <c r="D309" s="56"/>
      <c r="E309" s="80"/>
      <c r="F309" s="58"/>
      <c r="G309" s="58"/>
      <c r="H309" s="58"/>
      <c r="I309" s="58"/>
      <c r="J309" s="58"/>
      <c r="K309" s="58"/>
      <c r="L309" s="59">
        <f t="shared" si="40"/>
        <v>0</v>
      </c>
      <c r="M309" s="68"/>
      <c r="N309" s="68"/>
      <c r="O309" s="68"/>
      <c r="P309" s="68"/>
      <c r="Q309" s="99" t="e">
        <f t="shared" si="41"/>
        <v>#DIV/0!</v>
      </c>
      <c r="R309" s="100">
        <f t="shared" si="42"/>
        <v>0.43387671059875982</v>
      </c>
      <c r="S309" s="83"/>
      <c r="T309" s="83"/>
      <c r="U309" s="101">
        <f t="shared" si="43"/>
        <v>2021.2824107652905</v>
      </c>
      <c r="V309" s="59" t="e">
        <f t="shared" si="39"/>
        <v>#DIV/0!</v>
      </c>
      <c r="W309" s="68"/>
      <c r="X309" s="68"/>
      <c r="Y309" s="68"/>
      <c r="Z309" s="68"/>
      <c r="AA309" s="45"/>
      <c r="AY309" s="66"/>
      <c r="AZ309" s="66"/>
      <c r="BA309" s="66"/>
      <c r="BB309" s="22"/>
    </row>
    <row r="310" spans="2:54" x14ac:dyDescent="0.45">
      <c r="B310" s="45" t="s">
        <v>694</v>
      </c>
      <c r="C310" s="90"/>
      <c r="D310" s="56"/>
      <c r="E310" s="84"/>
      <c r="F310" s="58"/>
      <c r="G310" s="58"/>
      <c r="H310" s="58"/>
      <c r="I310" s="58"/>
      <c r="J310" s="58"/>
      <c r="K310" s="58"/>
      <c r="L310" s="59">
        <f t="shared" si="40"/>
        <v>0</v>
      </c>
      <c r="M310" s="68"/>
      <c r="N310" s="68"/>
      <c r="O310" s="68"/>
      <c r="P310" s="68"/>
      <c r="Q310" s="99" t="e">
        <f t="shared" si="41"/>
        <v>#DIV/0!</v>
      </c>
      <c r="R310" s="100">
        <f t="shared" si="42"/>
        <v>0.43387671059875982</v>
      </c>
      <c r="S310" s="83"/>
      <c r="T310" s="83"/>
      <c r="U310" s="101">
        <f t="shared" si="43"/>
        <v>2021.2824107652905</v>
      </c>
      <c r="V310" s="59" t="e">
        <f t="shared" si="39"/>
        <v>#DIV/0!</v>
      </c>
      <c r="W310" s="68"/>
      <c r="X310" s="68"/>
      <c r="Y310" s="68"/>
      <c r="Z310" s="68"/>
      <c r="AA310" s="45"/>
      <c r="AY310" s="66"/>
      <c r="AZ310" s="66"/>
      <c r="BA310" s="66"/>
      <c r="BB310" s="22"/>
    </row>
    <row r="311" spans="2:54" x14ac:dyDescent="0.45">
      <c r="B311" s="45" t="s">
        <v>695</v>
      </c>
      <c r="C311" s="90"/>
      <c r="D311" s="56"/>
      <c r="E311" s="57"/>
      <c r="F311" s="58"/>
      <c r="G311" s="58"/>
      <c r="H311" s="58"/>
      <c r="I311" s="58"/>
      <c r="J311" s="58"/>
      <c r="K311" s="58"/>
      <c r="L311" s="59">
        <f t="shared" si="40"/>
        <v>0</v>
      </c>
      <c r="M311" s="68"/>
      <c r="N311" s="68"/>
      <c r="O311" s="68"/>
      <c r="P311" s="68"/>
      <c r="Q311" s="99" t="e">
        <f t="shared" si="41"/>
        <v>#DIV/0!</v>
      </c>
      <c r="R311" s="100">
        <f t="shared" si="42"/>
        <v>0.43387671059875982</v>
      </c>
      <c r="S311" s="83"/>
      <c r="T311" s="83"/>
      <c r="U311" s="101">
        <f t="shared" si="43"/>
        <v>2021.2824107652905</v>
      </c>
      <c r="V311" s="59" t="e">
        <f t="shared" si="39"/>
        <v>#DIV/0!</v>
      </c>
      <c r="W311" s="68"/>
      <c r="X311" s="68"/>
      <c r="Y311" s="68"/>
      <c r="Z311" s="68"/>
      <c r="AA311" s="45"/>
      <c r="AY311" s="66"/>
      <c r="AZ311" s="66"/>
      <c r="BA311" s="66"/>
      <c r="BB311" s="22"/>
    </row>
    <row r="312" spans="2:54" x14ac:dyDescent="0.45">
      <c r="B312" s="45" t="s">
        <v>696</v>
      </c>
      <c r="C312" s="90"/>
      <c r="D312" s="56"/>
      <c r="E312" s="80"/>
      <c r="F312" s="58"/>
      <c r="G312" s="58"/>
      <c r="H312" s="58"/>
      <c r="I312" s="58"/>
      <c r="J312" s="58"/>
      <c r="K312" s="58"/>
      <c r="L312" s="59">
        <f t="shared" si="40"/>
        <v>0</v>
      </c>
      <c r="M312" s="68"/>
      <c r="N312" s="68"/>
      <c r="O312" s="68"/>
      <c r="P312" s="68"/>
      <c r="Q312" s="99" t="e">
        <f t="shared" si="41"/>
        <v>#DIV/0!</v>
      </c>
      <c r="R312" s="100">
        <f t="shared" si="42"/>
        <v>0.43387671059875982</v>
      </c>
      <c r="S312" s="83"/>
      <c r="T312" s="83"/>
      <c r="U312" s="101">
        <f t="shared" si="43"/>
        <v>2021.2824107652905</v>
      </c>
      <c r="V312" s="59" t="e">
        <f t="shared" si="39"/>
        <v>#DIV/0!</v>
      </c>
      <c r="W312" s="68"/>
      <c r="X312" s="68"/>
      <c r="Y312" s="68"/>
      <c r="Z312" s="68"/>
      <c r="AA312" s="45"/>
      <c r="AY312" s="66"/>
      <c r="AZ312" s="66"/>
      <c r="BA312" s="66"/>
      <c r="BB312" s="22"/>
    </row>
    <row r="313" spans="2:54" x14ac:dyDescent="0.45">
      <c r="B313" s="45" t="s">
        <v>697</v>
      </c>
      <c r="C313" s="90"/>
      <c r="D313" s="56"/>
      <c r="E313" s="84"/>
      <c r="F313" s="58"/>
      <c r="G313" s="58"/>
      <c r="H313" s="58"/>
      <c r="I313" s="58"/>
      <c r="J313" s="58"/>
      <c r="K313" s="58"/>
      <c r="L313" s="59">
        <f t="shared" si="40"/>
        <v>0</v>
      </c>
      <c r="M313" s="68"/>
      <c r="N313" s="68"/>
      <c r="O313" s="68"/>
      <c r="P313" s="68"/>
      <c r="Q313" s="99" t="e">
        <f t="shared" si="41"/>
        <v>#DIV/0!</v>
      </c>
      <c r="R313" s="100">
        <f t="shared" si="42"/>
        <v>0.43387671059875982</v>
      </c>
      <c r="S313" s="83"/>
      <c r="T313" s="83"/>
      <c r="U313" s="101">
        <f t="shared" si="43"/>
        <v>2021.2824107652905</v>
      </c>
      <c r="V313" s="59" t="e">
        <f t="shared" si="39"/>
        <v>#DIV/0!</v>
      </c>
      <c r="W313" s="68"/>
      <c r="X313" s="68"/>
      <c r="Y313" s="68"/>
      <c r="Z313" s="68"/>
      <c r="AA313" s="45"/>
      <c r="AY313" s="66"/>
      <c r="AZ313" s="66"/>
      <c r="BA313" s="66"/>
      <c r="BB313" s="22"/>
    </row>
    <row r="314" spans="2:54" x14ac:dyDescent="0.45">
      <c r="B314" s="45" t="s">
        <v>698</v>
      </c>
      <c r="C314" s="90"/>
      <c r="D314" s="56"/>
      <c r="E314" s="57"/>
      <c r="F314" s="58"/>
      <c r="G314" s="58"/>
      <c r="H314" s="58"/>
      <c r="I314" s="58"/>
      <c r="J314" s="58"/>
      <c r="K314" s="58"/>
      <c r="L314" s="59">
        <f t="shared" si="40"/>
        <v>0</v>
      </c>
      <c r="M314" s="68"/>
      <c r="N314" s="68"/>
      <c r="O314" s="68"/>
      <c r="P314" s="68"/>
      <c r="Q314" s="99" t="e">
        <f t="shared" si="41"/>
        <v>#DIV/0!</v>
      </c>
      <c r="R314" s="100">
        <f t="shared" si="42"/>
        <v>0.43387671059875982</v>
      </c>
      <c r="S314" s="83"/>
      <c r="T314" s="83"/>
      <c r="U314" s="101">
        <f t="shared" si="43"/>
        <v>2021.2824107652905</v>
      </c>
      <c r="V314" s="59" t="e">
        <f t="shared" si="39"/>
        <v>#DIV/0!</v>
      </c>
      <c r="W314" s="68"/>
      <c r="X314" s="68"/>
      <c r="Y314" s="68"/>
      <c r="Z314" s="68"/>
      <c r="AA314" s="45"/>
      <c r="AY314" s="66"/>
      <c r="AZ314" s="66"/>
      <c r="BA314" s="66"/>
      <c r="BB314" s="22"/>
    </row>
    <row r="315" spans="2:54" x14ac:dyDescent="0.45">
      <c r="B315" s="45" t="s">
        <v>699</v>
      </c>
      <c r="C315" s="90"/>
      <c r="D315" s="56"/>
      <c r="E315" s="80"/>
      <c r="F315" s="58"/>
      <c r="G315" s="58"/>
      <c r="H315" s="58"/>
      <c r="I315" s="58"/>
      <c r="J315" s="58"/>
      <c r="K315" s="58"/>
      <c r="L315" s="59">
        <f t="shared" si="40"/>
        <v>0</v>
      </c>
      <c r="M315" s="68"/>
      <c r="N315" s="68"/>
      <c r="O315" s="68"/>
      <c r="P315" s="68"/>
      <c r="Q315" s="99" t="e">
        <f t="shared" si="41"/>
        <v>#DIV/0!</v>
      </c>
      <c r="R315" s="100">
        <f t="shared" si="42"/>
        <v>0.43387671059875982</v>
      </c>
      <c r="S315" s="83"/>
      <c r="T315" s="83"/>
      <c r="U315" s="101">
        <f t="shared" si="43"/>
        <v>2021.2824107652905</v>
      </c>
      <c r="V315" s="59" t="e">
        <f t="shared" si="39"/>
        <v>#DIV/0!</v>
      </c>
      <c r="W315" s="68"/>
      <c r="X315" s="68"/>
      <c r="Y315" s="68"/>
      <c r="Z315" s="68"/>
      <c r="AA315" s="45"/>
      <c r="AY315" s="66"/>
      <c r="AZ315" s="66"/>
      <c r="BA315" s="66"/>
      <c r="BB315" s="22"/>
    </row>
    <row r="316" spans="2:54" x14ac:dyDescent="0.45">
      <c r="B316" s="45" t="s">
        <v>700</v>
      </c>
      <c r="C316" s="90"/>
      <c r="D316" s="56"/>
      <c r="E316" s="84"/>
      <c r="F316" s="58"/>
      <c r="G316" s="58"/>
      <c r="H316" s="58"/>
      <c r="I316" s="58"/>
      <c r="J316" s="58"/>
      <c r="K316" s="58"/>
      <c r="L316" s="59">
        <f t="shared" si="40"/>
        <v>0</v>
      </c>
      <c r="M316" s="68"/>
      <c r="N316" s="68"/>
      <c r="O316" s="68"/>
      <c r="P316" s="68"/>
      <c r="Q316" s="99" t="e">
        <f t="shared" si="41"/>
        <v>#DIV/0!</v>
      </c>
      <c r="R316" s="100">
        <f t="shared" si="42"/>
        <v>0.43387671059875982</v>
      </c>
      <c r="S316" s="83"/>
      <c r="T316" s="83"/>
      <c r="U316" s="101">
        <f t="shared" si="43"/>
        <v>2021.2824107652905</v>
      </c>
      <c r="V316" s="59" t="e">
        <f t="shared" si="39"/>
        <v>#DIV/0!</v>
      </c>
      <c r="W316" s="68"/>
      <c r="X316" s="68"/>
      <c r="Y316" s="68"/>
      <c r="Z316" s="68"/>
      <c r="AA316" s="45"/>
      <c r="AY316" s="66"/>
      <c r="AZ316" s="66"/>
      <c r="BA316" s="66"/>
      <c r="BB316" s="22"/>
    </row>
    <row r="317" spans="2:54" x14ac:dyDescent="0.45">
      <c r="B317" s="45" t="s">
        <v>701</v>
      </c>
      <c r="C317" s="90"/>
      <c r="D317" s="56"/>
      <c r="E317" s="57"/>
      <c r="F317" s="58"/>
      <c r="G317" s="58"/>
      <c r="H317" s="58"/>
      <c r="I317" s="58"/>
      <c r="J317" s="58"/>
      <c r="K317" s="58"/>
      <c r="L317" s="59">
        <f t="shared" si="40"/>
        <v>0</v>
      </c>
      <c r="M317" s="68"/>
      <c r="N317" s="68"/>
      <c r="O317" s="68"/>
      <c r="P317" s="68"/>
      <c r="Q317" s="99" t="e">
        <f t="shared" si="41"/>
        <v>#DIV/0!</v>
      </c>
      <c r="R317" s="100">
        <f t="shared" si="42"/>
        <v>0.43387671059875982</v>
      </c>
      <c r="S317" s="83"/>
      <c r="T317" s="83"/>
      <c r="U317" s="101">
        <f t="shared" si="43"/>
        <v>2021.2824107652905</v>
      </c>
      <c r="V317" s="59" t="e">
        <f t="shared" si="39"/>
        <v>#DIV/0!</v>
      </c>
      <c r="W317" s="68"/>
      <c r="X317" s="68"/>
      <c r="Y317" s="68"/>
      <c r="Z317" s="68"/>
      <c r="AA317" s="45"/>
      <c r="AY317" s="66"/>
      <c r="AZ317" s="66"/>
      <c r="BA317" s="66"/>
      <c r="BB317" s="22"/>
    </row>
    <row r="318" spans="2:54" x14ac:dyDescent="0.45">
      <c r="B318" s="45" t="s">
        <v>702</v>
      </c>
      <c r="C318" s="90"/>
      <c r="D318" s="56"/>
      <c r="E318" s="80"/>
      <c r="F318" s="58"/>
      <c r="G318" s="58"/>
      <c r="H318" s="58"/>
      <c r="I318" s="58"/>
      <c r="J318" s="58"/>
      <c r="K318" s="58"/>
      <c r="L318" s="59">
        <f t="shared" si="40"/>
        <v>0</v>
      </c>
      <c r="M318" s="68"/>
      <c r="N318" s="68"/>
      <c r="O318" s="68"/>
      <c r="P318" s="68"/>
      <c r="Q318" s="99" t="e">
        <f t="shared" si="41"/>
        <v>#DIV/0!</v>
      </c>
      <c r="R318" s="100">
        <f t="shared" si="42"/>
        <v>0.43387671059875982</v>
      </c>
      <c r="S318" s="83"/>
      <c r="T318" s="83"/>
      <c r="U318" s="101">
        <f t="shared" si="43"/>
        <v>2021.2824107652905</v>
      </c>
      <c r="V318" s="59" t="e">
        <f t="shared" si="39"/>
        <v>#DIV/0!</v>
      </c>
      <c r="W318" s="68"/>
      <c r="X318" s="68"/>
      <c r="Y318" s="68"/>
      <c r="Z318" s="68"/>
      <c r="AA318" s="45"/>
      <c r="AY318" s="66"/>
      <c r="AZ318" s="66"/>
      <c r="BA318" s="66"/>
      <c r="BB318" s="22"/>
    </row>
    <row r="319" spans="2:54" x14ac:dyDescent="0.45">
      <c r="B319" s="45" t="s">
        <v>703</v>
      </c>
      <c r="C319" s="90"/>
      <c r="D319" s="56"/>
      <c r="E319" s="84"/>
      <c r="F319" s="58"/>
      <c r="G319" s="58"/>
      <c r="H319" s="58"/>
      <c r="I319" s="58"/>
      <c r="J319" s="58"/>
      <c r="K319" s="58"/>
      <c r="L319" s="59">
        <f t="shared" si="40"/>
        <v>0</v>
      </c>
      <c r="M319" s="68"/>
      <c r="N319" s="68"/>
      <c r="O319" s="68"/>
      <c r="P319" s="68"/>
      <c r="Q319" s="99" t="e">
        <f t="shared" si="41"/>
        <v>#DIV/0!</v>
      </c>
      <c r="R319" s="100">
        <f t="shared" si="42"/>
        <v>0.43387671059875982</v>
      </c>
      <c r="S319" s="83"/>
      <c r="T319" s="83"/>
      <c r="U319" s="101">
        <f t="shared" si="43"/>
        <v>2021.2824107652905</v>
      </c>
      <c r="V319" s="59" t="e">
        <f t="shared" si="39"/>
        <v>#DIV/0!</v>
      </c>
      <c r="W319" s="68"/>
      <c r="X319" s="68"/>
      <c r="Y319" s="68"/>
      <c r="Z319" s="68"/>
      <c r="AA319" s="45"/>
      <c r="AY319" s="66"/>
      <c r="AZ319" s="66"/>
      <c r="BA319" s="66"/>
      <c r="BB319" s="22"/>
    </row>
    <row r="320" spans="2:54" x14ac:dyDescent="0.45">
      <c r="B320" s="45" t="s">
        <v>704</v>
      </c>
      <c r="C320" s="90"/>
      <c r="D320" s="56"/>
      <c r="E320" s="57"/>
      <c r="F320" s="58"/>
      <c r="G320" s="58"/>
      <c r="H320" s="58"/>
      <c r="I320" s="58"/>
      <c r="J320" s="58"/>
      <c r="K320" s="58"/>
      <c r="L320" s="59">
        <f t="shared" si="40"/>
        <v>0</v>
      </c>
      <c r="M320" s="68"/>
      <c r="N320" s="68"/>
      <c r="O320" s="68"/>
      <c r="P320" s="68"/>
      <c r="Q320" s="99" t="e">
        <f t="shared" si="41"/>
        <v>#DIV/0!</v>
      </c>
      <c r="R320" s="100">
        <f t="shared" si="42"/>
        <v>0.43387671059875982</v>
      </c>
      <c r="S320" s="83"/>
      <c r="T320" s="83"/>
      <c r="U320" s="101">
        <f t="shared" si="43"/>
        <v>2021.2824107652905</v>
      </c>
      <c r="V320" s="59" t="e">
        <f t="shared" si="39"/>
        <v>#DIV/0!</v>
      </c>
      <c r="W320" s="68"/>
      <c r="X320" s="68"/>
      <c r="Y320" s="68"/>
      <c r="Z320" s="68"/>
      <c r="AA320" s="45"/>
      <c r="AY320" s="66"/>
      <c r="AZ320" s="66"/>
      <c r="BA320" s="66"/>
      <c r="BB320" s="22"/>
    </row>
    <row r="321" spans="2:54" x14ac:dyDescent="0.45">
      <c r="B321" s="45" t="s">
        <v>705</v>
      </c>
      <c r="C321" s="90"/>
      <c r="D321" s="56"/>
      <c r="E321" s="80"/>
      <c r="F321" s="58"/>
      <c r="G321" s="58"/>
      <c r="H321" s="58"/>
      <c r="I321" s="58"/>
      <c r="J321" s="58"/>
      <c r="K321" s="58"/>
      <c r="L321" s="59">
        <f t="shared" si="40"/>
        <v>0</v>
      </c>
      <c r="M321" s="68"/>
      <c r="N321" s="68"/>
      <c r="O321" s="68"/>
      <c r="P321" s="68"/>
      <c r="Q321" s="99" t="e">
        <f t="shared" si="41"/>
        <v>#DIV/0!</v>
      </c>
      <c r="R321" s="100">
        <f t="shared" si="42"/>
        <v>0.43387671059875982</v>
      </c>
      <c r="S321" s="83"/>
      <c r="T321" s="83"/>
      <c r="U321" s="101">
        <f t="shared" si="43"/>
        <v>2021.2824107652905</v>
      </c>
      <c r="V321" s="59" t="e">
        <f t="shared" si="39"/>
        <v>#DIV/0!</v>
      </c>
      <c r="W321" s="68"/>
      <c r="X321" s="68"/>
      <c r="Y321" s="68"/>
      <c r="Z321" s="68"/>
      <c r="AA321" s="45"/>
      <c r="AY321" s="66"/>
      <c r="AZ321" s="66"/>
      <c r="BA321" s="66"/>
      <c r="BB321" s="22"/>
    </row>
    <row r="322" spans="2:54" x14ac:dyDescent="0.45">
      <c r="B322" s="45" t="s">
        <v>706</v>
      </c>
      <c r="C322" s="90"/>
      <c r="D322" s="56"/>
      <c r="E322" s="84"/>
      <c r="F322" s="58"/>
      <c r="G322" s="58"/>
      <c r="H322" s="58"/>
      <c r="I322" s="58"/>
      <c r="J322" s="58"/>
      <c r="K322" s="58"/>
      <c r="L322" s="59">
        <f t="shared" si="40"/>
        <v>0</v>
      </c>
      <c r="M322" s="68"/>
      <c r="N322" s="68"/>
      <c r="O322" s="68"/>
      <c r="P322" s="68"/>
      <c r="Q322" s="99" t="e">
        <f t="shared" si="41"/>
        <v>#DIV/0!</v>
      </c>
      <c r="R322" s="100">
        <f t="shared" si="42"/>
        <v>0.43387671059875982</v>
      </c>
      <c r="S322" s="83"/>
      <c r="T322" s="83"/>
      <c r="U322" s="101">
        <f t="shared" si="43"/>
        <v>2021.2824107652905</v>
      </c>
      <c r="V322" s="59" t="e">
        <f t="shared" si="39"/>
        <v>#DIV/0!</v>
      </c>
      <c r="W322" s="68"/>
      <c r="X322" s="68"/>
      <c r="Y322" s="68"/>
      <c r="Z322" s="68"/>
      <c r="AA322" s="45"/>
      <c r="AY322" s="66"/>
      <c r="AZ322" s="66"/>
      <c r="BA322" s="66"/>
      <c r="BB322" s="22"/>
    </row>
    <row r="323" spans="2:54" x14ac:dyDescent="0.45">
      <c r="B323" s="45" t="s">
        <v>707</v>
      </c>
      <c r="C323" s="90"/>
      <c r="D323" s="56"/>
      <c r="E323" s="57"/>
      <c r="F323" s="58"/>
      <c r="G323" s="58"/>
      <c r="H323" s="58"/>
      <c r="I323" s="58"/>
      <c r="J323" s="58"/>
      <c r="K323" s="58"/>
      <c r="L323" s="59">
        <f t="shared" si="40"/>
        <v>0</v>
      </c>
      <c r="M323" s="68"/>
      <c r="N323" s="68"/>
      <c r="O323" s="68"/>
      <c r="P323" s="68"/>
      <c r="Q323" s="99" t="e">
        <f t="shared" si="41"/>
        <v>#DIV/0!</v>
      </c>
      <c r="R323" s="100">
        <f t="shared" si="42"/>
        <v>0.43387671059875982</v>
      </c>
      <c r="S323" s="83"/>
      <c r="T323" s="83"/>
      <c r="U323" s="101">
        <f t="shared" si="43"/>
        <v>2021.2824107652905</v>
      </c>
      <c r="V323" s="59" t="e">
        <f t="shared" si="39"/>
        <v>#DIV/0!</v>
      </c>
      <c r="W323" s="68"/>
      <c r="X323" s="68"/>
      <c r="Y323" s="68"/>
      <c r="Z323" s="68"/>
      <c r="AA323" s="45"/>
      <c r="AY323" s="66"/>
      <c r="AZ323" s="66"/>
      <c r="BA323" s="66"/>
      <c r="BB323" s="22"/>
    </row>
    <row r="324" spans="2:54" x14ac:dyDescent="0.45">
      <c r="B324" s="45" t="s">
        <v>708</v>
      </c>
      <c r="C324" s="90"/>
      <c r="D324" s="56"/>
      <c r="E324" s="80"/>
      <c r="F324" s="58"/>
      <c r="G324" s="58"/>
      <c r="H324" s="58"/>
      <c r="I324" s="58"/>
      <c r="J324" s="58"/>
      <c r="K324" s="58"/>
      <c r="L324" s="59">
        <f t="shared" si="40"/>
        <v>0</v>
      </c>
      <c r="M324" s="68"/>
      <c r="N324" s="68"/>
      <c r="O324" s="68"/>
      <c r="P324" s="68"/>
      <c r="Q324" s="99" t="e">
        <f t="shared" si="41"/>
        <v>#DIV/0!</v>
      </c>
      <c r="R324" s="100">
        <f t="shared" si="42"/>
        <v>0.43387671059875982</v>
      </c>
      <c r="S324" s="83"/>
      <c r="T324" s="83"/>
      <c r="U324" s="101">
        <f t="shared" si="43"/>
        <v>2021.2824107652905</v>
      </c>
      <c r="V324" s="59" t="e">
        <f t="shared" si="39"/>
        <v>#DIV/0!</v>
      </c>
      <c r="W324" s="68"/>
      <c r="X324" s="68"/>
      <c r="Y324" s="68"/>
      <c r="Z324" s="68"/>
      <c r="AA324" s="45"/>
      <c r="AY324" s="66"/>
      <c r="AZ324" s="66"/>
      <c r="BA324" s="66"/>
      <c r="BB324" s="22"/>
    </row>
    <row r="325" spans="2:54" x14ac:dyDescent="0.45">
      <c r="B325" s="45" t="s">
        <v>709</v>
      </c>
      <c r="C325" s="90"/>
      <c r="D325" s="56"/>
      <c r="E325" s="84"/>
      <c r="F325" s="58"/>
      <c r="G325" s="58"/>
      <c r="H325" s="58"/>
      <c r="I325" s="58"/>
      <c r="J325" s="58"/>
      <c r="K325" s="58"/>
      <c r="L325" s="59">
        <f t="shared" si="40"/>
        <v>0</v>
      </c>
      <c r="M325" s="68"/>
      <c r="N325" s="68"/>
      <c r="O325" s="68"/>
      <c r="P325" s="68"/>
      <c r="Q325" s="99" t="e">
        <f t="shared" si="41"/>
        <v>#DIV/0!</v>
      </c>
      <c r="R325" s="100">
        <f t="shared" si="42"/>
        <v>0.43387671059875982</v>
      </c>
      <c r="S325" s="83"/>
      <c r="T325" s="83"/>
      <c r="U325" s="101">
        <f t="shared" si="43"/>
        <v>2021.2824107652905</v>
      </c>
      <c r="V325" s="59" t="e">
        <f t="shared" si="39"/>
        <v>#DIV/0!</v>
      </c>
      <c r="W325" s="68"/>
      <c r="X325" s="68"/>
      <c r="Y325" s="68"/>
      <c r="Z325" s="68"/>
      <c r="AA325" s="45"/>
      <c r="AY325" s="66"/>
      <c r="AZ325" s="66"/>
      <c r="BA325" s="66"/>
      <c r="BB325" s="22"/>
    </row>
    <row r="326" spans="2:54" x14ac:dyDescent="0.45">
      <c r="B326" s="45" t="s">
        <v>710</v>
      </c>
      <c r="C326" s="90"/>
      <c r="D326" s="56"/>
      <c r="E326" s="57"/>
      <c r="F326" s="58"/>
      <c r="G326" s="58"/>
      <c r="H326" s="58"/>
      <c r="I326" s="58"/>
      <c r="J326" s="58"/>
      <c r="K326" s="58"/>
      <c r="L326" s="59">
        <f t="shared" si="40"/>
        <v>0</v>
      </c>
      <c r="M326" s="68"/>
      <c r="N326" s="68"/>
      <c r="O326" s="68"/>
      <c r="P326" s="68"/>
      <c r="Q326" s="99" t="e">
        <f t="shared" si="41"/>
        <v>#DIV/0!</v>
      </c>
      <c r="R326" s="100">
        <f t="shared" si="42"/>
        <v>0.43387671059875982</v>
      </c>
      <c r="S326" s="83"/>
      <c r="T326" s="83"/>
      <c r="U326" s="101">
        <f t="shared" si="43"/>
        <v>2021.2824107652905</v>
      </c>
      <c r="V326" s="59" t="e">
        <f t="shared" si="39"/>
        <v>#DIV/0!</v>
      </c>
      <c r="W326" s="68"/>
      <c r="X326" s="68"/>
      <c r="Y326" s="68"/>
      <c r="Z326" s="68"/>
      <c r="AA326" s="45"/>
      <c r="AY326" s="66"/>
      <c r="AZ326" s="66"/>
      <c r="BA326" s="66"/>
      <c r="BB326" s="22"/>
    </row>
    <row r="327" spans="2:54" x14ac:dyDescent="0.45">
      <c r="B327" s="45" t="s">
        <v>711</v>
      </c>
      <c r="C327" s="90"/>
      <c r="D327" s="56"/>
      <c r="E327" s="80"/>
      <c r="F327" s="58"/>
      <c r="G327" s="58"/>
      <c r="H327" s="58"/>
      <c r="I327" s="58"/>
      <c r="J327" s="58"/>
      <c r="K327" s="58"/>
      <c r="L327" s="59">
        <f t="shared" si="40"/>
        <v>0</v>
      </c>
      <c r="M327" s="68"/>
      <c r="N327" s="68"/>
      <c r="O327" s="68"/>
      <c r="P327" s="68"/>
      <c r="Q327" s="99" t="e">
        <f t="shared" si="41"/>
        <v>#DIV/0!</v>
      </c>
      <c r="R327" s="100">
        <f t="shared" si="42"/>
        <v>0.43387671059875982</v>
      </c>
      <c r="S327" s="83"/>
      <c r="T327" s="83"/>
      <c r="U327" s="101">
        <f t="shared" si="43"/>
        <v>2021.2824107652905</v>
      </c>
      <c r="V327" s="59" t="e">
        <f t="shared" si="39"/>
        <v>#DIV/0!</v>
      </c>
      <c r="W327" s="68"/>
      <c r="X327" s="68"/>
      <c r="Y327" s="68"/>
      <c r="Z327" s="68"/>
      <c r="AA327" s="45"/>
      <c r="AY327" s="66"/>
      <c r="AZ327" s="66"/>
      <c r="BA327" s="66"/>
      <c r="BB327" s="22"/>
    </row>
    <row r="328" spans="2:54" x14ac:dyDescent="0.45">
      <c r="B328" s="45" t="s">
        <v>712</v>
      </c>
      <c r="C328" s="90"/>
      <c r="D328" s="56"/>
      <c r="E328" s="84"/>
      <c r="F328" s="58"/>
      <c r="G328" s="58"/>
      <c r="H328" s="58"/>
      <c r="I328" s="58"/>
      <c r="J328" s="58"/>
      <c r="K328" s="58"/>
      <c r="L328" s="59">
        <f t="shared" si="40"/>
        <v>0</v>
      </c>
      <c r="M328" s="68"/>
      <c r="N328" s="68"/>
      <c r="O328" s="68"/>
      <c r="P328" s="68"/>
      <c r="Q328" s="99" t="e">
        <f t="shared" si="41"/>
        <v>#DIV/0!</v>
      </c>
      <c r="R328" s="100">
        <f t="shared" si="42"/>
        <v>0.43387671059875982</v>
      </c>
      <c r="S328" s="83"/>
      <c r="T328" s="83"/>
      <c r="U328" s="101">
        <f t="shared" si="43"/>
        <v>2021.2824107652905</v>
      </c>
      <c r="V328" s="59" t="e">
        <f t="shared" si="39"/>
        <v>#DIV/0!</v>
      </c>
      <c r="W328" s="68"/>
      <c r="X328" s="68"/>
      <c r="Y328" s="68"/>
      <c r="Z328" s="68"/>
      <c r="AA328" s="45"/>
      <c r="AY328" s="66"/>
      <c r="AZ328" s="66"/>
      <c r="BA328" s="66"/>
      <c r="BB328" s="22"/>
    </row>
    <row r="329" spans="2:54" x14ac:dyDescent="0.45">
      <c r="B329" s="45" t="s">
        <v>713</v>
      </c>
      <c r="C329" s="90"/>
      <c r="D329" s="56"/>
      <c r="E329" s="57"/>
      <c r="F329" s="58"/>
      <c r="G329" s="58"/>
      <c r="H329" s="58"/>
      <c r="I329" s="58"/>
      <c r="J329" s="58"/>
      <c r="K329" s="58"/>
      <c r="L329" s="59">
        <f t="shared" si="40"/>
        <v>0</v>
      </c>
      <c r="M329" s="68"/>
      <c r="N329" s="68"/>
      <c r="O329" s="68"/>
      <c r="P329" s="68"/>
      <c r="Q329" s="99" t="e">
        <f t="shared" si="41"/>
        <v>#DIV/0!</v>
      </c>
      <c r="R329" s="100">
        <f t="shared" si="42"/>
        <v>0.43387671059875982</v>
      </c>
      <c r="S329" s="83"/>
      <c r="T329" s="83"/>
      <c r="U329" s="101">
        <f t="shared" si="43"/>
        <v>2021.2824107652905</v>
      </c>
      <c r="V329" s="59" t="e">
        <f t="shared" si="39"/>
        <v>#DIV/0!</v>
      </c>
      <c r="W329" s="68"/>
      <c r="X329" s="68"/>
      <c r="Y329" s="68"/>
      <c r="Z329" s="68"/>
      <c r="AA329" s="45"/>
      <c r="AY329" s="66"/>
      <c r="AZ329" s="66"/>
      <c r="BA329" s="66"/>
      <c r="BB329" s="22"/>
    </row>
    <row r="330" spans="2:54" x14ac:dyDescent="0.45">
      <c r="B330" s="45" t="s">
        <v>714</v>
      </c>
      <c r="C330" s="90"/>
      <c r="D330" s="56"/>
      <c r="E330" s="80"/>
      <c r="F330" s="58"/>
      <c r="G330" s="58"/>
      <c r="H330" s="58"/>
      <c r="I330" s="58"/>
      <c r="J330" s="58"/>
      <c r="K330" s="58"/>
      <c r="L330" s="59">
        <f t="shared" si="40"/>
        <v>0</v>
      </c>
      <c r="M330" s="68"/>
      <c r="N330" s="68"/>
      <c r="O330" s="68"/>
      <c r="P330" s="68"/>
      <c r="Q330" s="99" t="e">
        <f t="shared" si="41"/>
        <v>#DIV/0!</v>
      </c>
      <c r="R330" s="100">
        <f t="shared" si="42"/>
        <v>0.43387671059875982</v>
      </c>
      <c r="S330" s="83"/>
      <c r="T330" s="83"/>
      <c r="U330" s="101">
        <f t="shared" si="43"/>
        <v>2021.2824107652905</v>
      </c>
      <c r="V330" s="59" t="e">
        <f t="shared" si="39"/>
        <v>#DIV/0!</v>
      </c>
      <c r="W330" s="68"/>
      <c r="X330" s="68"/>
      <c r="Y330" s="68"/>
      <c r="Z330" s="68"/>
      <c r="AA330" s="45"/>
      <c r="AY330" s="66"/>
      <c r="AZ330" s="66"/>
      <c r="BA330" s="66"/>
      <c r="BB330" s="22"/>
    </row>
    <row r="331" spans="2:54" x14ac:dyDescent="0.45">
      <c r="B331" s="45" t="s">
        <v>715</v>
      </c>
      <c r="C331" s="90"/>
      <c r="D331" s="56"/>
      <c r="E331" s="84"/>
      <c r="F331" s="58"/>
      <c r="G331" s="58"/>
      <c r="H331" s="58"/>
      <c r="I331" s="58"/>
      <c r="J331" s="58"/>
      <c r="K331" s="58"/>
      <c r="L331" s="59">
        <f t="shared" si="40"/>
        <v>0</v>
      </c>
      <c r="M331" s="68"/>
      <c r="N331" s="68"/>
      <c r="O331" s="68"/>
      <c r="P331" s="68"/>
      <c r="Q331" s="99" t="e">
        <f t="shared" si="41"/>
        <v>#DIV/0!</v>
      </c>
      <c r="R331" s="100">
        <f t="shared" si="42"/>
        <v>0.43387671059875982</v>
      </c>
      <c r="S331" s="83"/>
      <c r="T331" s="83"/>
      <c r="U331" s="101">
        <f t="shared" si="43"/>
        <v>2021.2824107652905</v>
      </c>
      <c r="V331" s="59" t="e">
        <f t="shared" si="39"/>
        <v>#DIV/0!</v>
      </c>
      <c r="W331" s="68"/>
      <c r="X331" s="68"/>
      <c r="Y331" s="68"/>
      <c r="Z331" s="68"/>
      <c r="AA331" s="45"/>
    </row>
    <row r="332" spans="2:54" x14ac:dyDescent="0.45">
      <c r="B332" s="45" t="s">
        <v>716</v>
      </c>
      <c r="C332" s="90"/>
      <c r="D332" s="56"/>
      <c r="E332" s="57"/>
      <c r="F332" s="58"/>
      <c r="G332" s="58"/>
      <c r="H332" s="58"/>
      <c r="I332" s="58"/>
      <c r="J332" s="58"/>
      <c r="K332" s="58"/>
      <c r="L332" s="59">
        <f t="shared" si="40"/>
        <v>0</v>
      </c>
      <c r="M332" s="68"/>
      <c r="N332" s="68"/>
      <c r="O332" s="68"/>
      <c r="P332" s="68"/>
      <c r="Q332" s="99" t="e">
        <f t="shared" si="41"/>
        <v>#DIV/0!</v>
      </c>
      <c r="R332" s="100">
        <f t="shared" si="42"/>
        <v>0.43387671059875982</v>
      </c>
      <c r="S332" s="83"/>
      <c r="T332" s="83"/>
      <c r="U332" s="101">
        <f t="shared" si="43"/>
        <v>2021.2824107652905</v>
      </c>
      <c r="V332" s="59" t="e">
        <f t="shared" si="39"/>
        <v>#DIV/0!</v>
      </c>
      <c r="W332" s="68"/>
      <c r="X332" s="68"/>
      <c r="Y332" s="68"/>
      <c r="Z332" s="68"/>
      <c r="AA332" s="45"/>
    </row>
    <row r="333" spans="2:54" x14ac:dyDescent="0.45">
      <c r="B333" s="45" t="s">
        <v>717</v>
      </c>
      <c r="C333" s="90"/>
      <c r="D333" s="56"/>
      <c r="E333" s="80"/>
      <c r="F333" s="58"/>
      <c r="G333" s="58"/>
      <c r="H333" s="58"/>
      <c r="I333" s="58"/>
      <c r="J333" s="58"/>
      <c r="K333" s="58"/>
      <c r="L333" s="59">
        <f t="shared" si="40"/>
        <v>0</v>
      </c>
      <c r="M333" s="68"/>
      <c r="N333" s="68"/>
      <c r="O333" s="68"/>
      <c r="P333" s="68"/>
      <c r="Q333" s="99" t="e">
        <f t="shared" si="41"/>
        <v>#DIV/0!</v>
      </c>
      <c r="R333" s="100">
        <f t="shared" si="42"/>
        <v>0.43387671059875982</v>
      </c>
      <c r="S333" s="83"/>
      <c r="T333" s="83"/>
      <c r="U333" s="101">
        <f t="shared" si="43"/>
        <v>2021.2824107652905</v>
      </c>
      <c r="V333" s="59" t="e">
        <f t="shared" si="39"/>
        <v>#DIV/0!</v>
      </c>
      <c r="W333" s="68"/>
      <c r="X333" s="68"/>
      <c r="Y333" s="68"/>
      <c r="Z333" s="68"/>
      <c r="AA333" s="45"/>
    </row>
    <row r="334" spans="2:54" x14ac:dyDescent="0.45">
      <c r="B334" s="45" t="s">
        <v>718</v>
      </c>
      <c r="C334" s="90"/>
      <c r="D334" s="56"/>
      <c r="E334" s="84"/>
      <c r="F334" s="58"/>
      <c r="G334" s="58"/>
      <c r="H334" s="58"/>
      <c r="I334" s="58"/>
      <c r="J334" s="58"/>
      <c r="K334" s="58"/>
      <c r="L334" s="59">
        <f t="shared" si="40"/>
        <v>0</v>
      </c>
      <c r="M334" s="68"/>
      <c r="N334" s="68"/>
      <c r="O334" s="68"/>
      <c r="P334" s="68"/>
      <c r="Q334" s="99" t="e">
        <f t="shared" si="41"/>
        <v>#DIV/0!</v>
      </c>
      <c r="R334" s="100">
        <f t="shared" si="42"/>
        <v>0.43387671059875982</v>
      </c>
      <c r="S334" s="83"/>
      <c r="T334" s="83"/>
      <c r="U334" s="101">
        <f t="shared" si="43"/>
        <v>2021.2824107652905</v>
      </c>
      <c r="V334" s="59" t="e">
        <f t="shared" si="39"/>
        <v>#DIV/0!</v>
      </c>
      <c r="W334" s="68"/>
      <c r="X334" s="68"/>
      <c r="Y334" s="68"/>
      <c r="Z334" s="68"/>
      <c r="AA334" s="45"/>
    </row>
    <row r="335" spans="2:54" x14ac:dyDescent="0.45">
      <c r="B335" s="45" t="s">
        <v>719</v>
      </c>
      <c r="C335" s="90"/>
      <c r="D335" s="56"/>
      <c r="E335" s="57"/>
      <c r="F335" s="58"/>
      <c r="G335" s="58"/>
      <c r="H335" s="58"/>
      <c r="I335" s="58"/>
      <c r="J335" s="58"/>
      <c r="K335" s="58"/>
      <c r="L335" s="59">
        <f t="shared" si="40"/>
        <v>0</v>
      </c>
      <c r="M335" s="68"/>
      <c r="N335" s="68"/>
      <c r="O335" s="68"/>
      <c r="P335" s="68"/>
      <c r="Q335" s="99" t="e">
        <f t="shared" si="41"/>
        <v>#DIV/0!</v>
      </c>
      <c r="R335" s="100">
        <f t="shared" si="42"/>
        <v>0.43387671059875982</v>
      </c>
      <c r="S335" s="83"/>
      <c r="T335" s="83"/>
      <c r="U335" s="101">
        <f t="shared" si="43"/>
        <v>2021.2824107652905</v>
      </c>
      <c r="V335" s="59" t="e">
        <f t="shared" si="39"/>
        <v>#DIV/0!</v>
      </c>
      <c r="W335" s="68"/>
      <c r="X335" s="68"/>
      <c r="Y335" s="68"/>
      <c r="Z335" s="68"/>
      <c r="AA335" s="45"/>
    </row>
    <row r="336" spans="2:54" x14ac:dyDescent="0.45">
      <c r="B336" s="45" t="s">
        <v>720</v>
      </c>
      <c r="C336" s="90"/>
      <c r="D336" s="56"/>
      <c r="E336" s="80"/>
      <c r="F336" s="58"/>
      <c r="G336" s="58"/>
      <c r="H336" s="58"/>
      <c r="I336" s="58"/>
      <c r="J336" s="58"/>
      <c r="K336" s="58"/>
      <c r="L336" s="59">
        <f t="shared" si="40"/>
        <v>0</v>
      </c>
      <c r="M336" s="68"/>
      <c r="N336" s="68"/>
      <c r="O336" s="68"/>
      <c r="P336" s="68"/>
      <c r="Q336" s="99" t="e">
        <f t="shared" si="41"/>
        <v>#DIV/0!</v>
      </c>
      <c r="R336" s="100">
        <f t="shared" si="42"/>
        <v>0.43387671059875982</v>
      </c>
      <c r="S336" s="83"/>
      <c r="T336" s="83"/>
      <c r="U336" s="101">
        <f t="shared" si="43"/>
        <v>2021.2824107652905</v>
      </c>
      <c r="V336" s="59" t="e">
        <f t="shared" si="39"/>
        <v>#DIV/0!</v>
      </c>
      <c r="W336" s="68"/>
      <c r="X336" s="68"/>
      <c r="Y336" s="68"/>
      <c r="Z336" s="68"/>
      <c r="AA336" s="45"/>
    </row>
    <row r="337" spans="2:27" x14ac:dyDescent="0.45">
      <c r="B337" s="45" t="s">
        <v>721</v>
      </c>
      <c r="C337" s="90"/>
      <c r="D337" s="56"/>
      <c r="E337" s="84"/>
      <c r="F337" s="58"/>
      <c r="G337" s="58"/>
      <c r="H337" s="58"/>
      <c r="I337" s="58"/>
      <c r="J337" s="58"/>
      <c r="K337" s="58"/>
      <c r="L337" s="59">
        <f t="shared" si="40"/>
        <v>0</v>
      </c>
      <c r="M337" s="68"/>
      <c r="N337" s="68"/>
      <c r="O337" s="68"/>
      <c r="P337" s="68"/>
      <c r="Q337" s="99" t="e">
        <f t="shared" si="41"/>
        <v>#DIV/0!</v>
      </c>
      <c r="R337" s="100">
        <f t="shared" si="42"/>
        <v>0.43387671059875982</v>
      </c>
      <c r="S337" s="83"/>
      <c r="T337" s="83"/>
      <c r="U337" s="101">
        <f t="shared" si="43"/>
        <v>2021.2824107652905</v>
      </c>
      <c r="V337" s="59" t="e">
        <f t="shared" ref="V337:V400" si="44">1/2*((P337*S337+R337*U337+T337*Q337)-(Q337*R337+S337*T337+U337*P337))/0.1582*100</f>
        <v>#DIV/0!</v>
      </c>
      <c r="W337" s="68"/>
      <c r="X337" s="68"/>
      <c r="Y337" s="68"/>
      <c r="Z337" s="68"/>
      <c r="AA337" s="45"/>
    </row>
    <row r="338" spans="2:27" x14ac:dyDescent="0.45">
      <c r="B338" s="45" t="s">
        <v>722</v>
      </c>
      <c r="C338" s="90"/>
      <c r="D338" s="56"/>
      <c r="E338" s="57"/>
      <c r="F338" s="58"/>
      <c r="G338" s="58"/>
      <c r="H338" s="58"/>
      <c r="I338" s="58"/>
      <c r="J338" s="58"/>
      <c r="K338" s="58"/>
      <c r="L338" s="59">
        <f t="shared" ref="L338:L401" si="45">1/2*((F338*I338+H338*K338+J338*G338)-(G338*H338+I338*J338+K338*F338))/0.1582*100</f>
        <v>0</v>
      </c>
      <c r="M338" s="68"/>
      <c r="N338" s="68"/>
      <c r="O338" s="68"/>
      <c r="P338" s="68"/>
      <c r="Q338" s="99" t="e">
        <f t="shared" ref="Q338:Q401" si="46">O338/P338</f>
        <v>#DIV/0!</v>
      </c>
      <c r="R338" s="100">
        <f t="shared" ref="R338:R401" si="47">SQRT(POWER(M338-$M$12,2)+POWER(N338-$N$12,2))</f>
        <v>0.43387671059875982</v>
      </c>
      <c r="S338" s="83"/>
      <c r="T338" s="83"/>
      <c r="U338" s="101">
        <f t="shared" ref="U338:U401" si="48">(-449*((M338-0.332)/(N338-0.1858))^3)+(3525*((M338-0.332)/(N338-0.1858))^2)+(-6823.3*(M338-0.332)/(N338-0.1858))+5520.33</f>
        <v>2021.2824107652905</v>
      </c>
      <c r="V338" s="59" t="e">
        <f t="shared" si="44"/>
        <v>#DIV/0!</v>
      </c>
      <c r="W338" s="68"/>
      <c r="X338" s="68"/>
      <c r="Y338" s="68"/>
      <c r="Z338" s="68"/>
      <c r="AA338" s="45"/>
    </row>
    <row r="339" spans="2:27" x14ac:dyDescent="0.45">
      <c r="B339" s="45" t="s">
        <v>723</v>
      </c>
      <c r="C339" s="90"/>
      <c r="D339" s="56"/>
      <c r="E339" s="80"/>
      <c r="F339" s="58"/>
      <c r="G339" s="58"/>
      <c r="H339" s="58"/>
      <c r="I339" s="58"/>
      <c r="J339" s="58"/>
      <c r="K339" s="58"/>
      <c r="L339" s="59">
        <f t="shared" si="45"/>
        <v>0</v>
      </c>
      <c r="M339" s="68"/>
      <c r="N339" s="68"/>
      <c r="O339" s="68"/>
      <c r="P339" s="68"/>
      <c r="Q339" s="99" t="e">
        <f t="shared" si="46"/>
        <v>#DIV/0!</v>
      </c>
      <c r="R339" s="100">
        <f t="shared" si="47"/>
        <v>0.43387671059875982</v>
      </c>
      <c r="S339" s="83"/>
      <c r="T339" s="83"/>
      <c r="U339" s="101">
        <f t="shared" si="48"/>
        <v>2021.2824107652905</v>
      </c>
      <c r="V339" s="59" t="e">
        <f t="shared" si="44"/>
        <v>#DIV/0!</v>
      </c>
      <c r="W339" s="68"/>
      <c r="X339" s="68"/>
      <c r="Y339" s="68"/>
      <c r="Z339" s="68"/>
      <c r="AA339" s="45"/>
    </row>
    <row r="340" spans="2:27" x14ac:dyDescent="0.45">
      <c r="B340" s="45" t="s">
        <v>724</v>
      </c>
      <c r="C340" s="90"/>
      <c r="D340" s="56"/>
      <c r="E340" s="84"/>
      <c r="F340" s="58"/>
      <c r="G340" s="58"/>
      <c r="H340" s="58"/>
      <c r="I340" s="58"/>
      <c r="J340" s="58"/>
      <c r="K340" s="58"/>
      <c r="L340" s="59">
        <f t="shared" si="45"/>
        <v>0</v>
      </c>
      <c r="M340" s="68"/>
      <c r="N340" s="68"/>
      <c r="O340" s="68"/>
      <c r="P340" s="68"/>
      <c r="Q340" s="99" t="e">
        <f t="shared" si="46"/>
        <v>#DIV/0!</v>
      </c>
      <c r="R340" s="100">
        <f t="shared" si="47"/>
        <v>0.43387671059875982</v>
      </c>
      <c r="S340" s="83"/>
      <c r="T340" s="83"/>
      <c r="U340" s="101">
        <f t="shared" si="48"/>
        <v>2021.2824107652905</v>
      </c>
      <c r="V340" s="59" t="e">
        <f t="shared" si="44"/>
        <v>#DIV/0!</v>
      </c>
      <c r="W340" s="68"/>
      <c r="X340" s="68"/>
      <c r="Y340" s="68"/>
      <c r="Z340" s="68"/>
      <c r="AA340" s="45"/>
    </row>
    <row r="341" spans="2:27" x14ac:dyDescent="0.45">
      <c r="B341" s="45" t="s">
        <v>725</v>
      </c>
      <c r="C341" s="90"/>
      <c r="D341" s="56"/>
      <c r="E341" s="57"/>
      <c r="F341" s="58"/>
      <c r="G341" s="58"/>
      <c r="H341" s="58"/>
      <c r="I341" s="58"/>
      <c r="J341" s="58"/>
      <c r="K341" s="58"/>
      <c r="L341" s="59">
        <f t="shared" si="45"/>
        <v>0</v>
      </c>
      <c r="M341" s="68"/>
      <c r="N341" s="68"/>
      <c r="O341" s="68"/>
      <c r="P341" s="68"/>
      <c r="Q341" s="99" t="e">
        <f t="shared" si="46"/>
        <v>#DIV/0!</v>
      </c>
      <c r="R341" s="100">
        <f t="shared" si="47"/>
        <v>0.43387671059875982</v>
      </c>
      <c r="S341" s="83"/>
      <c r="T341" s="83"/>
      <c r="U341" s="101">
        <f t="shared" si="48"/>
        <v>2021.2824107652905</v>
      </c>
      <c r="V341" s="59" t="e">
        <f t="shared" si="44"/>
        <v>#DIV/0!</v>
      </c>
      <c r="W341" s="68"/>
      <c r="X341" s="68"/>
      <c r="Y341" s="68"/>
      <c r="Z341" s="68"/>
      <c r="AA341" s="45"/>
    </row>
    <row r="342" spans="2:27" x14ac:dyDescent="0.45">
      <c r="B342" s="45" t="s">
        <v>726</v>
      </c>
      <c r="C342" s="90"/>
      <c r="D342" s="56"/>
      <c r="E342" s="80"/>
      <c r="F342" s="58"/>
      <c r="G342" s="58"/>
      <c r="H342" s="58"/>
      <c r="I342" s="58"/>
      <c r="J342" s="58"/>
      <c r="K342" s="58"/>
      <c r="L342" s="59">
        <f t="shared" si="45"/>
        <v>0</v>
      </c>
      <c r="M342" s="68"/>
      <c r="N342" s="68"/>
      <c r="O342" s="68"/>
      <c r="P342" s="68"/>
      <c r="Q342" s="99" t="e">
        <f t="shared" si="46"/>
        <v>#DIV/0!</v>
      </c>
      <c r="R342" s="100">
        <f t="shared" si="47"/>
        <v>0.43387671059875982</v>
      </c>
      <c r="S342" s="83"/>
      <c r="T342" s="83"/>
      <c r="U342" s="101">
        <f t="shared" si="48"/>
        <v>2021.2824107652905</v>
      </c>
      <c r="V342" s="59" t="e">
        <f t="shared" si="44"/>
        <v>#DIV/0!</v>
      </c>
      <c r="W342" s="68"/>
      <c r="X342" s="68"/>
      <c r="Y342" s="68"/>
      <c r="Z342" s="68"/>
      <c r="AA342" s="45"/>
    </row>
    <row r="343" spans="2:27" x14ac:dyDescent="0.45">
      <c r="B343" s="45" t="s">
        <v>149</v>
      </c>
      <c r="C343" s="90"/>
      <c r="D343" s="56"/>
      <c r="E343" s="84"/>
      <c r="F343" s="58"/>
      <c r="G343" s="58"/>
      <c r="H343" s="58"/>
      <c r="I343" s="58"/>
      <c r="J343" s="58"/>
      <c r="K343" s="58"/>
      <c r="L343" s="59">
        <f t="shared" si="45"/>
        <v>0</v>
      </c>
      <c r="M343" s="68"/>
      <c r="N343" s="68"/>
      <c r="O343" s="68"/>
      <c r="P343" s="68"/>
      <c r="Q343" s="99" t="e">
        <f t="shared" si="46"/>
        <v>#DIV/0!</v>
      </c>
      <c r="R343" s="100">
        <f t="shared" si="47"/>
        <v>0.43387671059875982</v>
      </c>
      <c r="S343" s="83"/>
      <c r="T343" s="83"/>
      <c r="U343" s="101">
        <f t="shared" si="48"/>
        <v>2021.2824107652905</v>
      </c>
      <c r="V343" s="59" t="e">
        <f t="shared" si="44"/>
        <v>#DIV/0!</v>
      </c>
      <c r="W343" s="68"/>
      <c r="X343" s="68"/>
      <c r="Y343" s="68"/>
      <c r="Z343" s="68"/>
      <c r="AA343" s="45"/>
    </row>
    <row r="344" spans="2:27" x14ac:dyDescent="0.45">
      <c r="B344" s="45" t="s">
        <v>150</v>
      </c>
      <c r="C344" s="90"/>
      <c r="D344" s="56"/>
      <c r="E344" s="57"/>
      <c r="F344" s="58"/>
      <c r="G344" s="58"/>
      <c r="H344" s="58"/>
      <c r="I344" s="58"/>
      <c r="J344" s="58"/>
      <c r="K344" s="58"/>
      <c r="L344" s="59">
        <f t="shared" si="45"/>
        <v>0</v>
      </c>
      <c r="M344" s="68"/>
      <c r="N344" s="68"/>
      <c r="O344" s="68"/>
      <c r="P344" s="68"/>
      <c r="Q344" s="99" t="e">
        <f t="shared" si="46"/>
        <v>#DIV/0!</v>
      </c>
      <c r="R344" s="100">
        <f t="shared" si="47"/>
        <v>0.43387671059875982</v>
      </c>
      <c r="S344" s="83"/>
      <c r="T344" s="83"/>
      <c r="U344" s="101">
        <f t="shared" si="48"/>
        <v>2021.2824107652905</v>
      </c>
      <c r="V344" s="59" t="e">
        <f t="shared" si="44"/>
        <v>#DIV/0!</v>
      </c>
      <c r="W344" s="68"/>
      <c r="X344" s="68"/>
      <c r="Y344" s="68"/>
      <c r="Z344" s="68"/>
      <c r="AA344" s="45"/>
    </row>
    <row r="345" spans="2:27" x14ac:dyDescent="0.45">
      <c r="B345" s="45" t="s">
        <v>151</v>
      </c>
      <c r="C345" s="90"/>
      <c r="D345" s="56"/>
      <c r="E345" s="80"/>
      <c r="F345" s="58"/>
      <c r="G345" s="58"/>
      <c r="H345" s="58"/>
      <c r="I345" s="58"/>
      <c r="J345" s="58"/>
      <c r="K345" s="58"/>
      <c r="L345" s="59">
        <f t="shared" si="45"/>
        <v>0</v>
      </c>
      <c r="M345" s="68"/>
      <c r="N345" s="68"/>
      <c r="O345" s="68"/>
      <c r="P345" s="68"/>
      <c r="Q345" s="99" t="e">
        <f t="shared" si="46"/>
        <v>#DIV/0!</v>
      </c>
      <c r="R345" s="100">
        <f t="shared" si="47"/>
        <v>0.43387671059875982</v>
      </c>
      <c r="S345" s="83"/>
      <c r="T345" s="83"/>
      <c r="U345" s="101">
        <f t="shared" si="48"/>
        <v>2021.2824107652905</v>
      </c>
      <c r="V345" s="59" t="e">
        <f t="shared" si="44"/>
        <v>#DIV/0!</v>
      </c>
      <c r="W345" s="68"/>
      <c r="X345" s="68"/>
      <c r="Y345" s="68"/>
      <c r="Z345" s="68"/>
      <c r="AA345" s="45"/>
    </row>
    <row r="346" spans="2:27" x14ac:dyDescent="0.45">
      <c r="B346" s="45" t="s">
        <v>152</v>
      </c>
      <c r="C346" s="90"/>
      <c r="D346" s="56"/>
      <c r="E346" s="84"/>
      <c r="F346" s="58"/>
      <c r="G346" s="58"/>
      <c r="H346" s="58"/>
      <c r="I346" s="58"/>
      <c r="J346" s="58"/>
      <c r="K346" s="58"/>
      <c r="L346" s="59">
        <f t="shared" si="45"/>
        <v>0</v>
      </c>
      <c r="M346" s="68"/>
      <c r="N346" s="68"/>
      <c r="O346" s="68"/>
      <c r="P346" s="68"/>
      <c r="Q346" s="99" t="e">
        <f t="shared" si="46"/>
        <v>#DIV/0!</v>
      </c>
      <c r="R346" s="100">
        <f t="shared" si="47"/>
        <v>0.43387671059875982</v>
      </c>
      <c r="S346" s="83"/>
      <c r="T346" s="83"/>
      <c r="U346" s="101">
        <f t="shared" si="48"/>
        <v>2021.2824107652905</v>
      </c>
      <c r="V346" s="59" t="e">
        <f t="shared" si="44"/>
        <v>#DIV/0!</v>
      </c>
      <c r="W346" s="68"/>
      <c r="X346" s="68"/>
      <c r="Y346" s="68"/>
      <c r="Z346" s="68"/>
      <c r="AA346" s="45"/>
    </row>
    <row r="347" spans="2:27" x14ac:dyDescent="0.45">
      <c r="B347" s="45" t="s">
        <v>153</v>
      </c>
      <c r="C347" s="90"/>
      <c r="D347" s="56"/>
      <c r="E347" s="57"/>
      <c r="F347" s="58"/>
      <c r="G347" s="58"/>
      <c r="H347" s="58"/>
      <c r="I347" s="58"/>
      <c r="J347" s="58"/>
      <c r="K347" s="58"/>
      <c r="L347" s="59">
        <f t="shared" si="45"/>
        <v>0</v>
      </c>
      <c r="M347" s="68"/>
      <c r="N347" s="68"/>
      <c r="O347" s="68"/>
      <c r="P347" s="68"/>
      <c r="Q347" s="99" t="e">
        <f t="shared" si="46"/>
        <v>#DIV/0!</v>
      </c>
      <c r="R347" s="100">
        <f t="shared" si="47"/>
        <v>0.43387671059875982</v>
      </c>
      <c r="S347" s="83"/>
      <c r="T347" s="83"/>
      <c r="U347" s="101">
        <f t="shared" si="48"/>
        <v>2021.2824107652905</v>
      </c>
      <c r="V347" s="59" t="e">
        <f t="shared" si="44"/>
        <v>#DIV/0!</v>
      </c>
      <c r="W347" s="68"/>
      <c r="X347" s="68"/>
      <c r="Y347" s="68"/>
      <c r="Z347" s="68"/>
      <c r="AA347" s="45"/>
    </row>
    <row r="348" spans="2:27" x14ac:dyDescent="0.45">
      <c r="B348" s="45" t="s">
        <v>154</v>
      </c>
      <c r="C348" s="90"/>
      <c r="D348" s="56"/>
      <c r="E348" s="80"/>
      <c r="F348" s="58"/>
      <c r="G348" s="58"/>
      <c r="H348" s="58"/>
      <c r="I348" s="58"/>
      <c r="J348" s="58"/>
      <c r="K348" s="58"/>
      <c r="L348" s="59">
        <f t="shared" si="45"/>
        <v>0</v>
      </c>
      <c r="M348" s="68"/>
      <c r="N348" s="68"/>
      <c r="O348" s="68"/>
      <c r="P348" s="68"/>
      <c r="Q348" s="99" t="e">
        <f t="shared" si="46"/>
        <v>#DIV/0!</v>
      </c>
      <c r="R348" s="100">
        <f t="shared" si="47"/>
        <v>0.43387671059875982</v>
      </c>
      <c r="S348" s="83"/>
      <c r="T348" s="83"/>
      <c r="U348" s="101">
        <f t="shared" si="48"/>
        <v>2021.2824107652905</v>
      </c>
      <c r="V348" s="59" t="e">
        <f t="shared" si="44"/>
        <v>#DIV/0!</v>
      </c>
      <c r="W348" s="68"/>
      <c r="X348" s="68"/>
      <c r="Y348" s="68"/>
      <c r="Z348" s="68"/>
      <c r="AA348" s="45"/>
    </row>
    <row r="349" spans="2:27" x14ac:dyDescent="0.45">
      <c r="B349" s="45" t="s">
        <v>155</v>
      </c>
      <c r="C349" s="90"/>
      <c r="D349" s="56"/>
      <c r="E349" s="84"/>
      <c r="F349" s="58"/>
      <c r="G349" s="58"/>
      <c r="H349" s="58"/>
      <c r="I349" s="58"/>
      <c r="J349" s="58"/>
      <c r="K349" s="58"/>
      <c r="L349" s="59">
        <f t="shared" si="45"/>
        <v>0</v>
      </c>
      <c r="M349" s="68"/>
      <c r="N349" s="68"/>
      <c r="O349" s="68"/>
      <c r="P349" s="68"/>
      <c r="Q349" s="99" t="e">
        <f t="shared" si="46"/>
        <v>#DIV/0!</v>
      </c>
      <c r="R349" s="100">
        <f t="shared" si="47"/>
        <v>0.43387671059875982</v>
      </c>
      <c r="S349" s="83"/>
      <c r="T349" s="83"/>
      <c r="U349" s="101">
        <f t="shared" si="48"/>
        <v>2021.2824107652905</v>
      </c>
      <c r="V349" s="59" t="e">
        <f t="shared" si="44"/>
        <v>#DIV/0!</v>
      </c>
      <c r="W349" s="68"/>
      <c r="X349" s="68"/>
      <c r="Y349" s="68"/>
      <c r="Z349" s="68"/>
      <c r="AA349" s="45"/>
    </row>
    <row r="350" spans="2:27" x14ac:dyDescent="0.45">
      <c r="B350" s="45" t="s">
        <v>156</v>
      </c>
      <c r="C350" s="90"/>
      <c r="D350" s="56"/>
      <c r="E350" s="57"/>
      <c r="F350" s="58"/>
      <c r="G350" s="58"/>
      <c r="H350" s="58"/>
      <c r="I350" s="58"/>
      <c r="J350" s="58"/>
      <c r="K350" s="58"/>
      <c r="L350" s="59">
        <f t="shared" si="45"/>
        <v>0</v>
      </c>
      <c r="M350" s="68"/>
      <c r="N350" s="68"/>
      <c r="O350" s="68"/>
      <c r="P350" s="68"/>
      <c r="Q350" s="99" t="e">
        <f t="shared" si="46"/>
        <v>#DIV/0!</v>
      </c>
      <c r="R350" s="100">
        <f t="shared" si="47"/>
        <v>0.43387671059875982</v>
      </c>
      <c r="S350" s="83"/>
      <c r="T350" s="83"/>
      <c r="U350" s="101">
        <f t="shared" si="48"/>
        <v>2021.2824107652905</v>
      </c>
      <c r="V350" s="59" t="e">
        <f t="shared" si="44"/>
        <v>#DIV/0!</v>
      </c>
      <c r="W350" s="68"/>
      <c r="X350" s="68"/>
      <c r="Y350" s="68"/>
      <c r="Z350" s="68"/>
      <c r="AA350" s="45"/>
    </row>
    <row r="351" spans="2:27" x14ac:dyDescent="0.45">
      <c r="B351" s="45" t="s">
        <v>157</v>
      </c>
      <c r="C351" s="90"/>
      <c r="D351" s="56"/>
      <c r="E351" s="80"/>
      <c r="F351" s="58"/>
      <c r="G351" s="58"/>
      <c r="H351" s="58"/>
      <c r="I351" s="58"/>
      <c r="J351" s="58"/>
      <c r="K351" s="58"/>
      <c r="L351" s="59">
        <f t="shared" si="45"/>
        <v>0</v>
      </c>
      <c r="M351" s="68"/>
      <c r="N351" s="68"/>
      <c r="O351" s="68"/>
      <c r="P351" s="68"/>
      <c r="Q351" s="99" t="e">
        <f t="shared" si="46"/>
        <v>#DIV/0!</v>
      </c>
      <c r="R351" s="100">
        <f t="shared" si="47"/>
        <v>0.43387671059875982</v>
      </c>
      <c r="S351" s="83"/>
      <c r="T351" s="83"/>
      <c r="U351" s="101">
        <f t="shared" si="48"/>
        <v>2021.2824107652905</v>
      </c>
      <c r="V351" s="59" t="e">
        <f t="shared" si="44"/>
        <v>#DIV/0!</v>
      </c>
      <c r="W351" s="68"/>
      <c r="X351" s="68"/>
      <c r="Y351" s="68"/>
      <c r="Z351" s="68"/>
      <c r="AA351" s="45"/>
    </row>
    <row r="352" spans="2:27" x14ac:dyDescent="0.45">
      <c r="B352" s="45" t="s">
        <v>158</v>
      </c>
      <c r="C352" s="90"/>
      <c r="D352" s="56"/>
      <c r="E352" s="84"/>
      <c r="F352" s="58"/>
      <c r="G352" s="58"/>
      <c r="H352" s="58"/>
      <c r="I352" s="58"/>
      <c r="J352" s="58"/>
      <c r="K352" s="58"/>
      <c r="L352" s="59">
        <f t="shared" si="45"/>
        <v>0</v>
      </c>
      <c r="M352" s="68"/>
      <c r="N352" s="68"/>
      <c r="O352" s="68"/>
      <c r="P352" s="68"/>
      <c r="Q352" s="99" t="e">
        <f t="shared" si="46"/>
        <v>#DIV/0!</v>
      </c>
      <c r="R352" s="100">
        <f t="shared" si="47"/>
        <v>0.43387671059875982</v>
      </c>
      <c r="S352" s="83"/>
      <c r="T352" s="83"/>
      <c r="U352" s="101">
        <f t="shared" si="48"/>
        <v>2021.2824107652905</v>
      </c>
      <c r="V352" s="59" t="e">
        <f t="shared" si="44"/>
        <v>#DIV/0!</v>
      </c>
      <c r="W352" s="68"/>
      <c r="X352" s="68"/>
      <c r="Y352" s="68"/>
      <c r="Z352" s="68"/>
      <c r="AA352" s="45"/>
    </row>
    <row r="353" spans="2:27" x14ac:dyDescent="0.45">
      <c r="B353" s="45" t="s">
        <v>159</v>
      </c>
      <c r="C353" s="90"/>
      <c r="D353" s="56"/>
      <c r="E353" s="57"/>
      <c r="F353" s="58"/>
      <c r="G353" s="58"/>
      <c r="H353" s="58"/>
      <c r="I353" s="58"/>
      <c r="J353" s="58"/>
      <c r="K353" s="58"/>
      <c r="L353" s="59">
        <f t="shared" si="45"/>
        <v>0</v>
      </c>
      <c r="M353" s="68"/>
      <c r="N353" s="68"/>
      <c r="O353" s="68"/>
      <c r="P353" s="68"/>
      <c r="Q353" s="99" t="e">
        <f t="shared" si="46"/>
        <v>#DIV/0!</v>
      </c>
      <c r="R353" s="100">
        <f t="shared" si="47"/>
        <v>0.43387671059875982</v>
      </c>
      <c r="S353" s="83"/>
      <c r="T353" s="83"/>
      <c r="U353" s="101">
        <f t="shared" si="48"/>
        <v>2021.2824107652905</v>
      </c>
      <c r="V353" s="59" t="e">
        <f t="shared" si="44"/>
        <v>#DIV/0!</v>
      </c>
      <c r="W353" s="68"/>
      <c r="X353" s="68"/>
      <c r="Y353" s="68"/>
      <c r="Z353" s="68"/>
      <c r="AA353" s="45"/>
    </row>
    <row r="354" spans="2:27" x14ac:dyDescent="0.45">
      <c r="B354" s="45" t="s">
        <v>160</v>
      </c>
      <c r="C354" s="90"/>
      <c r="D354" s="56"/>
      <c r="E354" s="80"/>
      <c r="F354" s="58"/>
      <c r="G354" s="58"/>
      <c r="H354" s="58"/>
      <c r="I354" s="58"/>
      <c r="J354" s="58"/>
      <c r="K354" s="58"/>
      <c r="L354" s="59">
        <f t="shared" si="45"/>
        <v>0</v>
      </c>
      <c r="M354" s="68"/>
      <c r="N354" s="68"/>
      <c r="O354" s="68"/>
      <c r="P354" s="68"/>
      <c r="Q354" s="99" t="e">
        <f t="shared" si="46"/>
        <v>#DIV/0!</v>
      </c>
      <c r="R354" s="100">
        <f t="shared" si="47"/>
        <v>0.43387671059875982</v>
      </c>
      <c r="S354" s="83"/>
      <c r="T354" s="83"/>
      <c r="U354" s="101">
        <f t="shared" si="48"/>
        <v>2021.2824107652905</v>
      </c>
      <c r="V354" s="59" t="e">
        <f t="shared" si="44"/>
        <v>#DIV/0!</v>
      </c>
      <c r="W354" s="68"/>
      <c r="X354" s="68"/>
      <c r="Y354" s="68"/>
      <c r="Z354" s="68"/>
      <c r="AA354" s="45"/>
    </row>
    <row r="355" spans="2:27" x14ac:dyDescent="0.45">
      <c r="B355" s="45" t="s">
        <v>161</v>
      </c>
      <c r="C355" s="90"/>
      <c r="D355" s="56"/>
      <c r="E355" s="84"/>
      <c r="F355" s="58"/>
      <c r="G355" s="58"/>
      <c r="H355" s="58"/>
      <c r="I355" s="58"/>
      <c r="J355" s="58"/>
      <c r="K355" s="58"/>
      <c r="L355" s="59">
        <f t="shared" si="45"/>
        <v>0</v>
      </c>
      <c r="M355" s="68"/>
      <c r="N355" s="68"/>
      <c r="O355" s="68"/>
      <c r="P355" s="68"/>
      <c r="Q355" s="99" t="e">
        <f t="shared" si="46"/>
        <v>#DIV/0!</v>
      </c>
      <c r="R355" s="100">
        <f t="shared" si="47"/>
        <v>0.43387671059875982</v>
      </c>
      <c r="S355" s="83"/>
      <c r="T355" s="83"/>
      <c r="U355" s="101">
        <f t="shared" si="48"/>
        <v>2021.2824107652905</v>
      </c>
      <c r="V355" s="59" t="e">
        <f t="shared" si="44"/>
        <v>#DIV/0!</v>
      </c>
      <c r="W355" s="68"/>
      <c r="X355" s="68"/>
      <c r="Y355" s="68"/>
      <c r="Z355" s="68"/>
      <c r="AA355" s="45"/>
    </row>
    <row r="356" spans="2:27" x14ac:dyDescent="0.45">
      <c r="B356" s="45" t="s">
        <v>162</v>
      </c>
      <c r="C356" s="90"/>
      <c r="D356" s="56"/>
      <c r="E356" s="57"/>
      <c r="F356" s="58"/>
      <c r="G356" s="58"/>
      <c r="H356" s="58"/>
      <c r="I356" s="58"/>
      <c r="J356" s="58"/>
      <c r="K356" s="58"/>
      <c r="L356" s="59">
        <f t="shared" si="45"/>
        <v>0</v>
      </c>
      <c r="M356" s="68"/>
      <c r="N356" s="68"/>
      <c r="O356" s="68"/>
      <c r="P356" s="68"/>
      <c r="Q356" s="99" t="e">
        <f t="shared" si="46"/>
        <v>#DIV/0!</v>
      </c>
      <c r="R356" s="100">
        <f t="shared" si="47"/>
        <v>0.43387671059875982</v>
      </c>
      <c r="S356" s="83"/>
      <c r="T356" s="83"/>
      <c r="U356" s="101">
        <f t="shared" si="48"/>
        <v>2021.2824107652905</v>
      </c>
      <c r="V356" s="59" t="e">
        <f t="shared" si="44"/>
        <v>#DIV/0!</v>
      </c>
      <c r="W356" s="68"/>
      <c r="X356" s="68"/>
      <c r="Y356" s="68"/>
      <c r="Z356" s="68"/>
      <c r="AA356" s="45"/>
    </row>
    <row r="357" spans="2:27" x14ac:dyDescent="0.45">
      <c r="B357" s="45" t="s">
        <v>163</v>
      </c>
      <c r="C357" s="90"/>
      <c r="D357" s="56"/>
      <c r="E357" s="80"/>
      <c r="F357" s="58"/>
      <c r="G357" s="58"/>
      <c r="H357" s="58"/>
      <c r="I357" s="58"/>
      <c r="J357" s="58"/>
      <c r="K357" s="58"/>
      <c r="L357" s="59">
        <f t="shared" si="45"/>
        <v>0</v>
      </c>
      <c r="M357" s="68"/>
      <c r="N357" s="68"/>
      <c r="O357" s="68"/>
      <c r="P357" s="68"/>
      <c r="Q357" s="99" t="e">
        <f t="shared" si="46"/>
        <v>#DIV/0!</v>
      </c>
      <c r="R357" s="100">
        <f t="shared" si="47"/>
        <v>0.43387671059875982</v>
      </c>
      <c r="S357" s="83"/>
      <c r="T357" s="83"/>
      <c r="U357" s="101">
        <f t="shared" si="48"/>
        <v>2021.2824107652905</v>
      </c>
      <c r="V357" s="59" t="e">
        <f t="shared" si="44"/>
        <v>#DIV/0!</v>
      </c>
      <c r="W357" s="68"/>
      <c r="X357" s="68"/>
      <c r="Y357" s="68"/>
      <c r="Z357" s="68"/>
      <c r="AA357" s="45"/>
    </row>
    <row r="358" spans="2:27" x14ac:dyDescent="0.45">
      <c r="B358" s="45" t="s">
        <v>164</v>
      </c>
      <c r="C358" s="90"/>
      <c r="D358" s="56"/>
      <c r="E358" s="84"/>
      <c r="F358" s="58"/>
      <c r="G358" s="58"/>
      <c r="H358" s="58"/>
      <c r="I358" s="58"/>
      <c r="J358" s="58"/>
      <c r="K358" s="58"/>
      <c r="L358" s="59">
        <f t="shared" si="45"/>
        <v>0</v>
      </c>
      <c r="M358" s="68"/>
      <c r="N358" s="68"/>
      <c r="O358" s="68"/>
      <c r="P358" s="68"/>
      <c r="Q358" s="99" t="e">
        <f t="shared" si="46"/>
        <v>#DIV/0!</v>
      </c>
      <c r="R358" s="100">
        <f t="shared" si="47"/>
        <v>0.43387671059875982</v>
      </c>
      <c r="S358" s="83"/>
      <c r="T358" s="83"/>
      <c r="U358" s="101">
        <f t="shared" si="48"/>
        <v>2021.2824107652905</v>
      </c>
      <c r="V358" s="59" t="e">
        <f t="shared" si="44"/>
        <v>#DIV/0!</v>
      </c>
      <c r="W358" s="68"/>
      <c r="X358" s="68"/>
      <c r="Y358" s="68"/>
      <c r="Z358" s="68"/>
      <c r="AA358" s="45"/>
    </row>
    <row r="359" spans="2:27" x14ac:dyDescent="0.45">
      <c r="B359" s="45" t="s">
        <v>165</v>
      </c>
      <c r="C359" s="90"/>
      <c r="D359" s="56"/>
      <c r="E359" s="57"/>
      <c r="F359" s="58"/>
      <c r="G359" s="58"/>
      <c r="H359" s="58"/>
      <c r="I359" s="58"/>
      <c r="J359" s="58"/>
      <c r="K359" s="58"/>
      <c r="L359" s="59">
        <f t="shared" si="45"/>
        <v>0</v>
      </c>
      <c r="M359" s="68"/>
      <c r="N359" s="68"/>
      <c r="O359" s="68"/>
      <c r="P359" s="68"/>
      <c r="Q359" s="99" t="e">
        <f t="shared" si="46"/>
        <v>#DIV/0!</v>
      </c>
      <c r="R359" s="100">
        <f t="shared" si="47"/>
        <v>0.43387671059875982</v>
      </c>
      <c r="S359" s="83"/>
      <c r="T359" s="83"/>
      <c r="U359" s="101">
        <f t="shared" si="48"/>
        <v>2021.2824107652905</v>
      </c>
      <c r="V359" s="59" t="e">
        <f t="shared" si="44"/>
        <v>#DIV/0!</v>
      </c>
      <c r="W359" s="68"/>
      <c r="X359" s="68"/>
      <c r="Y359" s="68"/>
      <c r="Z359" s="68"/>
      <c r="AA359" s="45"/>
    </row>
    <row r="360" spans="2:27" x14ac:dyDescent="0.45">
      <c r="B360" s="45" t="s">
        <v>166</v>
      </c>
      <c r="C360" s="90"/>
      <c r="D360" s="56"/>
      <c r="E360" s="80"/>
      <c r="F360" s="58"/>
      <c r="G360" s="58"/>
      <c r="H360" s="58"/>
      <c r="I360" s="58"/>
      <c r="J360" s="58"/>
      <c r="K360" s="58"/>
      <c r="L360" s="59">
        <f t="shared" si="45"/>
        <v>0</v>
      </c>
      <c r="M360" s="68"/>
      <c r="N360" s="68"/>
      <c r="O360" s="68"/>
      <c r="P360" s="68"/>
      <c r="Q360" s="99" t="e">
        <f t="shared" si="46"/>
        <v>#DIV/0!</v>
      </c>
      <c r="R360" s="100">
        <f t="shared" si="47"/>
        <v>0.43387671059875982</v>
      </c>
      <c r="S360" s="83"/>
      <c r="T360" s="83"/>
      <c r="U360" s="101">
        <f t="shared" si="48"/>
        <v>2021.2824107652905</v>
      </c>
      <c r="V360" s="59" t="e">
        <f t="shared" si="44"/>
        <v>#DIV/0!</v>
      </c>
      <c r="W360" s="68"/>
      <c r="X360" s="68"/>
      <c r="Y360" s="68"/>
      <c r="Z360" s="68"/>
      <c r="AA360" s="45"/>
    </row>
    <row r="361" spans="2:27" x14ac:dyDescent="0.45">
      <c r="B361" s="45" t="s">
        <v>167</v>
      </c>
      <c r="C361" s="90"/>
      <c r="D361" s="56"/>
      <c r="E361" s="84"/>
      <c r="F361" s="58"/>
      <c r="G361" s="58"/>
      <c r="H361" s="58"/>
      <c r="I361" s="58"/>
      <c r="J361" s="58"/>
      <c r="K361" s="58"/>
      <c r="L361" s="59">
        <f t="shared" si="45"/>
        <v>0</v>
      </c>
      <c r="M361" s="68"/>
      <c r="N361" s="68"/>
      <c r="O361" s="68"/>
      <c r="P361" s="68"/>
      <c r="Q361" s="99" t="e">
        <f t="shared" si="46"/>
        <v>#DIV/0!</v>
      </c>
      <c r="R361" s="100">
        <f t="shared" si="47"/>
        <v>0.43387671059875982</v>
      </c>
      <c r="S361" s="83"/>
      <c r="T361" s="83"/>
      <c r="U361" s="101">
        <f t="shared" si="48"/>
        <v>2021.2824107652905</v>
      </c>
      <c r="V361" s="59" t="e">
        <f t="shared" si="44"/>
        <v>#DIV/0!</v>
      </c>
      <c r="W361" s="68"/>
      <c r="X361" s="68"/>
      <c r="Y361" s="68"/>
      <c r="Z361" s="68"/>
      <c r="AA361" s="45"/>
    </row>
    <row r="362" spans="2:27" x14ac:dyDescent="0.45">
      <c r="B362" s="45" t="s">
        <v>168</v>
      </c>
      <c r="C362" s="90"/>
      <c r="D362" s="56"/>
      <c r="E362" s="57"/>
      <c r="F362" s="58"/>
      <c r="G362" s="58"/>
      <c r="H362" s="58"/>
      <c r="I362" s="58"/>
      <c r="J362" s="58"/>
      <c r="K362" s="58"/>
      <c r="L362" s="59">
        <f t="shared" si="45"/>
        <v>0</v>
      </c>
      <c r="M362" s="68"/>
      <c r="N362" s="68"/>
      <c r="O362" s="68"/>
      <c r="P362" s="68"/>
      <c r="Q362" s="99" t="e">
        <f t="shared" si="46"/>
        <v>#DIV/0!</v>
      </c>
      <c r="R362" s="100">
        <f t="shared" si="47"/>
        <v>0.43387671059875982</v>
      </c>
      <c r="S362" s="83"/>
      <c r="T362" s="83"/>
      <c r="U362" s="101">
        <f t="shared" si="48"/>
        <v>2021.2824107652905</v>
      </c>
      <c r="V362" s="59" t="e">
        <f t="shared" si="44"/>
        <v>#DIV/0!</v>
      </c>
      <c r="W362" s="68"/>
      <c r="X362" s="68"/>
      <c r="Y362" s="68"/>
      <c r="Z362" s="68"/>
      <c r="AA362" s="45"/>
    </row>
    <row r="363" spans="2:27" x14ac:dyDescent="0.45">
      <c r="B363" s="45" t="s">
        <v>169</v>
      </c>
      <c r="C363" s="90"/>
      <c r="D363" s="56"/>
      <c r="E363" s="80"/>
      <c r="F363" s="58"/>
      <c r="G363" s="58"/>
      <c r="H363" s="58"/>
      <c r="I363" s="58"/>
      <c r="J363" s="58"/>
      <c r="K363" s="58"/>
      <c r="L363" s="59">
        <f t="shared" si="45"/>
        <v>0</v>
      </c>
      <c r="M363" s="68"/>
      <c r="N363" s="68"/>
      <c r="O363" s="68"/>
      <c r="P363" s="68"/>
      <c r="Q363" s="99" t="e">
        <f t="shared" si="46"/>
        <v>#DIV/0!</v>
      </c>
      <c r="R363" s="100">
        <f t="shared" si="47"/>
        <v>0.43387671059875982</v>
      </c>
      <c r="S363" s="83"/>
      <c r="T363" s="83"/>
      <c r="U363" s="101">
        <f t="shared" si="48"/>
        <v>2021.2824107652905</v>
      </c>
      <c r="V363" s="59" t="e">
        <f t="shared" si="44"/>
        <v>#DIV/0!</v>
      </c>
      <c r="W363" s="68"/>
      <c r="X363" s="68"/>
      <c r="Y363" s="68"/>
      <c r="Z363" s="68"/>
      <c r="AA363" s="45"/>
    </row>
    <row r="364" spans="2:27" x14ac:dyDescent="0.45">
      <c r="B364" s="45" t="s">
        <v>170</v>
      </c>
      <c r="C364" s="90"/>
      <c r="D364" s="56"/>
      <c r="E364" s="84"/>
      <c r="F364" s="58"/>
      <c r="G364" s="58"/>
      <c r="H364" s="58"/>
      <c r="I364" s="58"/>
      <c r="J364" s="58"/>
      <c r="K364" s="58"/>
      <c r="L364" s="59">
        <f t="shared" si="45"/>
        <v>0</v>
      </c>
      <c r="M364" s="68"/>
      <c r="N364" s="68"/>
      <c r="O364" s="68"/>
      <c r="P364" s="68"/>
      <c r="Q364" s="99" t="e">
        <f t="shared" si="46"/>
        <v>#DIV/0!</v>
      </c>
      <c r="R364" s="100">
        <f t="shared" si="47"/>
        <v>0.43387671059875982</v>
      </c>
      <c r="S364" s="83"/>
      <c r="T364" s="83"/>
      <c r="U364" s="101">
        <f t="shared" si="48"/>
        <v>2021.2824107652905</v>
      </c>
      <c r="V364" s="59" t="e">
        <f t="shared" si="44"/>
        <v>#DIV/0!</v>
      </c>
      <c r="W364" s="68"/>
      <c r="X364" s="68"/>
      <c r="Y364" s="68"/>
      <c r="Z364" s="68"/>
      <c r="AA364" s="45"/>
    </row>
    <row r="365" spans="2:27" x14ac:dyDescent="0.45">
      <c r="B365" s="45" t="s">
        <v>171</v>
      </c>
      <c r="C365" s="90"/>
      <c r="D365" s="56"/>
      <c r="E365" s="57"/>
      <c r="F365" s="58"/>
      <c r="G365" s="58"/>
      <c r="H365" s="58"/>
      <c r="I365" s="58"/>
      <c r="J365" s="58"/>
      <c r="K365" s="58"/>
      <c r="L365" s="59">
        <f t="shared" si="45"/>
        <v>0</v>
      </c>
      <c r="M365" s="68"/>
      <c r="N365" s="68"/>
      <c r="O365" s="68"/>
      <c r="P365" s="68"/>
      <c r="Q365" s="99" t="e">
        <f t="shared" si="46"/>
        <v>#DIV/0!</v>
      </c>
      <c r="R365" s="100">
        <f t="shared" si="47"/>
        <v>0.43387671059875982</v>
      </c>
      <c r="S365" s="83"/>
      <c r="T365" s="83"/>
      <c r="U365" s="101">
        <f t="shared" si="48"/>
        <v>2021.2824107652905</v>
      </c>
      <c r="V365" s="59" t="e">
        <f t="shared" si="44"/>
        <v>#DIV/0!</v>
      </c>
      <c r="W365" s="68"/>
      <c r="X365" s="68"/>
      <c r="Y365" s="68"/>
      <c r="Z365" s="68"/>
      <c r="AA365" s="45"/>
    </row>
    <row r="366" spans="2:27" x14ac:dyDescent="0.45">
      <c r="B366" s="45" t="s">
        <v>172</v>
      </c>
      <c r="C366" s="90"/>
      <c r="D366" s="56"/>
      <c r="E366" s="80"/>
      <c r="F366" s="58"/>
      <c r="G366" s="58"/>
      <c r="H366" s="58"/>
      <c r="I366" s="58"/>
      <c r="J366" s="58"/>
      <c r="K366" s="58"/>
      <c r="L366" s="59">
        <f t="shared" si="45"/>
        <v>0</v>
      </c>
      <c r="M366" s="68"/>
      <c r="N366" s="68"/>
      <c r="O366" s="68"/>
      <c r="P366" s="68"/>
      <c r="Q366" s="99" t="e">
        <f t="shared" si="46"/>
        <v>#DIV/0!</v>
      </c>
      <c r="R366" s="100">
        <f t="shared" si="47"/>
        <v>0.43387671059875982</v>
      </c>
      <c r="S366" s="83"/>
      <c r="T366" s="83"/>
      <c r="U366" s="101">
        <f t="shared" si="48"/>
        <v>2021.2824107652905</v>
      </c>
      <c r="V366" s="59" t="e">
        <f t="shared" si="44"/>
        <v>#DIV/0!</v>
      </c>
      <c r="W366" s="68"/>
      <c r="X366" s="68"/>
      <c r="Y366" s="68"/>
      <c r="Z366" s="68"/>
      <c r="AA366" s="45"/>
    </row>
    <row r="367" spans="2:27" x14ac:dyDescent="0.45">
      <c r="B367" s="45" t="s">
        <v>173</v>
      </c>
      <c r="C367" s="90"/>
      <c r="D367" s="56"/>
      <c r="E367" s="84"/>
      <c r="F367" s="58"/>
      <c r="G367" s="58"/>
      <c r="H367" s="58"/>
      <c r="I367" s="58"/>
      <c r="J367" s="58"/>
      <c r="K367" s="58"/>
      <c r="L367" s="59">
        <f t="shared" si="45"/>
        <v>0</v>
      </c>
      <c r="M367" s="68"/>
      <c r="N367" s="68"/>
      <c r="O367" s="68"/>
      <c r="P367" s="68"/>
      <c r="Q367" s="99" t="e">
        <f t="shared" si="46"/>
        <v>#DIV/0!</v>
      </c>
      <c r="R367" s="100">
        <f t="shared" si="47"/>
        <v>0.43387671059875982</v>
      </c>
      <c r="S367" s="83"/>
      <c r="T367" s="83"/>
      <c r="U367" s="101">
        <f t="shared" si="48"/>
        <v>2021.2824107652905</v>
      </c>
      <c r="V367" s="59" t="e">
        <f t="shared" si="44"/>
        <v>#DIV/0!</v>
      </c>
      <c r="W367" s="68"/>
      <c r="X367" s="68"/>
      <c r="Y367" s="68"/>
      <c r="Z367" s="68"/>
      <c r="AA367" s="45"/>
    </row>
    <row r="368" spans="2:27" x14ac:dyDescent="0.45">
      <c r="B368" s="45" t="s">
        <v>174</v>
      </c>
      <c r="C368" s="90"/>
      <c r="D368" s="56"/>
      <c r="E368" s="57"/>
      <c r="F368" s="58"/>
      <c r="G368" s="58"/>
      <c r="H368" s="58"/>
      <c r="I368" s="58"/>
      <c r="J368" s="58"/>
      <c r="K368" s="58"/>
      <c r="L368" s="59">
        <f t="shared" si="45"/>
        <v>0</v>
      </c>
      <c r="M368" s="68"/>
      <c r="N368" s="68"/>
      <c r="O368" s="68"/>
      <c r="P368" s="68"/>
      <c r="Q368" s="99" t="e">
        <f t="shared" si="46"/>
        <v>#DIV/0!</v>
      </c>
      <c r="R368" s="100">
        <f t="shared" si="47"/>
        <v>0.43387671059875982</v>
      </c>
      <c r="S368" s="83"/>
      <c r="T368" s="83"/>
      <c r="U368" s="101">
        <f t="shared" si="48"/>
        <v>2021.2824107652905</v>
      </c>
      <c r="V368" s="59" t="e">
        <f t="shared" si="44"/>
        <v>#DIV/0!</v>
      </c>
      <c r="W368" s="68"/>
      <c r="X368" s="68"/>
      <c r="Y368" s="68"/>
      <c r="Z368" s="68"/>
      <c r="AA368" s="45"/>
    </row>
    <row r="369" spans="2:27" x14ac:dyDescent="0.45">
      <c r="B369" s="45" t="s">
        <v>175</v>
      </c>
      <c r="C369" s="90"/>
      <c r="D369" s="56"/>
      <c r="E369" s="80"/>
      <c r="F369" s="58"/>
      <c r="G369" s="58"/>
      <c r="H369" s="58"/>
      <c r="I369" s="58"/>
      <c r="J369" s="58"/>
      <c r="K369" s="58"/>
      <c r="L369" s="59">
        <f t="shared" si="45"/>
        <v>0</v>
      </c>
      <c r="M369" s="68"/>
      <c r="N369" s="68"/>
      <c r="O369" s="68"/>
      <c r="P369" s="68"/>
      <c r="Q369" s="99" t="e">
        <f t="shared" si="46"/>
        <v>#DIV/0!</v>
      </c>
      <c r="R369" s="100">
        <f t="shared" si="47"/>
        <v>0.43387671059875982</v>
      </c>
      <c r="S369" s="83"/>
      <c r="T369" s="83"/>
      <c r="U369" s="101">
        <f t="shared" si="48"/>
        <v>2021.2824107652905</v>
      </c>
      <c r="V369" s="59" t="e">
        <f t="shared" si="44"/>
        <v>#DIV/0!</v>
      </c>
      <c r="W369" s="68"/>
      <c r="X369" s="68"/>
      <c r="Y369" s="68"/>
      <c r="Z369" s="68"/>
      <c r="AA369" s="45"/>
    </row>
    <row r="370" spans="2:27" x14ac:dyDescent="0.45">
      <c r="B370" s="45" t="s">
        <v>176</v>
      </c>
      <c r="C370" s="90"/>
      <c r="D370" s="56"/>
      <c r="E370" s="84"/>
      <c r="F370" s="58"/>
      <c r="G370" s="58"/>
      <c r="H370" s="58"/>
      <c r="I370" s="58"/>
      <c r="J370" s="58"/>
      <c r="K370" s="58"/>
      <c r="L370" s="59">
        <f t="shared" si="45"/>
        <v>0</v>
      </c>
      <c r="M370" s="68"/>
      <c r="N370" s="68"/>
      <c r="O370" s="68"/>
      <c r="P370" s="68"/>
      <c r="Q370" s="99" t="e">
        <f t="shared" si="46"/>
        <v>#DIV/0!</v>
      </c>
      <c r="R370" s="100">
        <f t="shared" si="47"/>
        <v>0.43387671059875982</v>
      </c>
      <c r="S370" s="83"/>
      <c r="T370" s="83"/>
      <c r="U370" s="101">
        <f t="shared" si="48"/>
        <v>2021.2824107652905</v>
      </c>
      <c r="V370" s="59" t="e">
        <f t="shared" si="44"/>
        <v>#DIV/0!</v>
      </c>
      <c r="W370" s="68"/>
      <c r="X370" s="68"/>
      <c r="Y370" s="68"/>
      <c r="Z370" s="68"/>
      <c r="AA370" s="45"/>
    </row>
    <row r="371" spans="2:27" x14ac:dyDescent="0.45">
      <c r="B371" s="45" t="s">
        <v>177</v>
      </c>
      <c r="C371" s="90"/>
      <c r="D371" s="56"/>
      <c r="E371" s="57"/>
      <c r="F371" s="58"/>
      <c r="G371" s="58"/>
      <c r="H371" s="58"/>
      <c r="I371" s="58"/>
      <c r="J371" s="58"/>
      <c r="K371" s="58"/>
      <c r="L371" s="59">
        <f t="shared" si="45"/>
        <v>0</v>
      </c>
      <c r="M371" s="68"/>
      <c r="N371" s="68"/>
      <c r="O371" s="68"/>
      <c r="P371" s="68"/>
      <c r="Q371" s="99" t="e">
        <f t="shared" si="46"/>
        <v>#DIV/0!</v>
      </c>
      <c r="R371" s="100">
        <f t="shared" si="47"/>
        <v>0.43387671059875982</v>
      </c>
      <c r="S371" s="83"/>
      <c r="T371" s="83"/>
      <c r="U371" s="101">
        <f t="shared" si="48"/>
        <v>2021.2824107652905</v>
      </c>
      <c r="V371" s="59" t="e">
        <f t="shared" si="44"/>
        <v>#DIV/0!</v>
      </c>
      <c r="W371" s="68"/>
      <c r="X371" s="68"/>
      <c r="Y371" s="68"/>
      <c r="Z371" s="68"/>
      <c r="AA371" s="45"/>
    </row>
    <row r="372" spans="2:27" x14ac:dyDescent="0.45">
      <c r="B372" s="45" t="s">
        <v>178</v>
      </c>
      <c r="C372" s="90"/>
      <c r="D372" s="56"/>
      <c r="E372" s="80"/>
      <c r="F372" s="58"/>
      <c r="G372" s="58"/>
      <c r="H372" s="58"/>
      <c r="I372" s="58"/>
      <c r="J372" s="58"/>
      <c r="K372" s="58"/>
      <c r="L372" s="59">
        <f t="shared" si="45"/>
        <v>0</v>
      </c>
      <c r="M372" s="68"/>
      <c r="N372" s="68"/>
      <c r="O372" s="68"/>
      <c r="P372" s="68"/>
      <c r="Q372" s="99" t="e">
        <f t="shared" si="46"/>
        <v>#DIV/0!</v>
      </c>
      <c r="R372" s="100">
        <f t="shared" si="47"/>
        <v>0.43387671059875982</v>
      </c>
      <c r="S372" s="83"/>
      <c r="T372" s="83"/>
      <c r="U372" s="101">
        <f t="shared" si="48"/>
        <v>2021.2824107652905</v>
      </c>
      <c r="V372" s="59" t="e">
        <f t="shared" si="44"/>
        <v>#DIV/0!</v>
      </c>
      <c r="W372" s="68"/>
      <c r="X372" s="68"/>
      <c r="Y372" s="68"/>
      <c r="Z372" s="68"/>
      <c r="AA372" s="45"/>
    </row>
    <row r="373" spans="2:27" x14ac:dyDescent="0.45">
      <c r="B373" s="45" t="s">
        <v>179</v>
      </c>
      <c r="C373" s="90"/>
      <c r="D373" s="56"/>
      <c r="E373" s="84"/>
      <c r="F373" s="58"/>
      <c r="G373" s="58"/>
      <c r="H373" s="58"/>
      <c r="I373" s="58"/>
      <c r="J373" s="58"/>
      <c r="K373" s="58"/>
      <c r="L373" s="59">
        <f t="shared" si="45"/>
        <v>0</v>
      </c>
      <c r="M373" s="68"/>
      <c r="N373" s="68"/>
      <c r="O373" s="68"/>
      <c r="P373" s="68"/>
      <c r="Q373" s="99" t="e">
        <f t="shared" si="46"/>
        <v>#DIV/0!</v>
      </c>
      <c r="R373" s="100">
        <f t="shared" si="47"/>
        <v>0.43387671059875982</v>
      </c>
      <c r="S373" s="83"/>
      <c r="T373" s="83"/>
      <c r="U373" s="101">
        <f t="shared" si="48"/>
        <v>2021.2824107652905</v>
      </c>
      <c r="V373" s="59" t="e">
        <f t="shared" si="44"/>
        <v>#DIV/0!</v>
      </c>
      <c r="W373" s="68"/>
      <c r="X373" s="68"/>
      <c r="Y373" s="68"/>
      <c r="Z373" s="68"/>
      <c r="AA373" s="45"/>
    </row>
    <row r="374" spans="2:27" x14ac:dyDescent="0.45">
      <c r="B374" s="45" t="s">
        <v>180</v>
      </c>
      <c r="C374" s="90"/>
      <c r="D374" s="56"/>
      <c r="E374" s="57"/>
      <c r="F374" s="58"/>
      <c r="G374" s="58"/>
      <c r="H374" s="58"/>
      <c r="I374" s="58"/>
      <c r="J374" s="58"/>
      <c r="K374" s="58"/>
      <c r="L374" s="59">
        <f t="shared" si="45"/>
        <v>0</v>
      </c>
      <c r="M374" s="68"/>
      <c r="N374" s="68"/>
      <c r="O374" s="68"/>
      <c r="P374" s="68"/>
      <c r="Q374" s="99" t="e">
        <f t="shared" si="46"/>
        <v>#DIV/0!</v>
      </c>
      <c r="R374" s="100">
        <f t="shared" si="47"/>
        <v>0.43387671059875982</v>
      </c>
      <c r="S374" s="83"/>
      <c r="T374" s="83"/>
      <c r="U374" s="101">
        <f t="shared" si="48"/>
        <v>2021.2824107652905</v>
      </c>
      <c r="V374" s="59" t="e">
        <f t="shared" si="44"/>
        <v>#DIV/0!</v>
      </c>
      <c r="W374" s="68"/>
      <c r="X374" s="68"/>
      <c r="Y374" s="68"/>
      <c r="Z374" s="68"/>
      <c r="AA374" s="45"/>
    </row>
    <row r="375" spans="2:27" x14ac:dyDescent="0.45">
      <c r="B375" s="45" t="s">
        <v>181</v>
      </c>
      <c r="C375" s="90"/>
      <c r="D375" s="56"/>
      <c r="E375" s="80"/>
      <c r="F375" s="58"/>
      <c r="G375" s="58"/>
      <c r="H375" s="58"/>
      <c r="I375" s="58"/>
      <c r="J375" s="58"/>
      <c r="K375" s="58"/>
      <c r="L375" s="59">
        <f t="shared" si="45"/>
        <v>0</v>
      </c>
      <c r="M375" s="68"/>
      <c r="N375" s="68"/>
      <c r="O375" s="68"/>
      <c r="P375" s="68"/>
      <c r="Q375" s="99" t="e">
        <f t="shared" si="46"/>
        <v>#DIV/0!</v>
      </c>
      <c r="R375" s="100">
        <f t="shared" si="47"/>
        <v>0.43387671059875982</v>
      </c>
      <c r="S375" s="83"/>
      <c r="T375" s="83"/>
      <c r="U375" s="101">
        <f t="shared" si="48"/>
        <v>2021.2824107652905</v>
      </c>
      <c r="V375" s="59" t="e">
        <f t="shared" si="44"/>
        <v>#DIV/0!</v>
      </c>
      <c r="W375" s="68"/>
      <c r="X375" s="68"/>
      <c r="Y375" s="68"/>
      <c r="Z375" s="68"/>
      <c r="AA375" s="45"/>
    </row>
    <row r="376" spans="2:27" x14ac:dyDescent="0.45">
      <c r="B376" s="45" t="s">
        <v>182</v>
      </c>
      <c r="C376" s="90"/>
      <c r="D376" s="56"/>
      <c r="E376" s="84"/>
      <c r="F376" s="58"/>
      <c r="G376" s="58"/>
      <c r="H376" s="58"/>
      <c r="I376" s="58"/>
      <c r="J376" s="58"/>
      <c r="K376" s="58"/>
      <c r="L376" s="59">
        <f t="shared" si="45"/>
        <v>0</v>
      </c>
      <c r="M376" s="68"/>
      <c r="N376" s="68"/>
      <c r="O376" s="68"/>
      <c r="P376" s="68"/>
      <c r="Q376" s="99" t="e">
        <f t="shared" si="46"/>
        <v>#DIV/0!</v>
      </c>
      <c r="R376" s="100">
        <f t="shared" si="47"/>
        <v>0.43387671059875982</v>
      </c>
      <c r="S376" s="83"/>
      <c r="T376" s="83"/>
      <c r="U376" s="101">
        <f t="shared" si="48"/>
        <v>2021.2824107652905</v>
      </c>
      <c r="V376" s="59" t="e">
        <f t="shared" si="44"/>
        <v>#DIV/0!</v>
      </c>
      <c r="W376" s="68"/>
      <c r="X376" s="68"/>
      <c r="Y376" s="68"/>
      <c r="Z376" s="68"/>
      <c r="AA376" s="45"/>
    </row>
    <row r="377" spans="2:27" x14ac:dyDescent="0.45">
      <c r="B377" s="45" t="s">
        <v>183</v>
      </c>
      <c r="C377" s="90"/>
      <c r="D377" s="56"/>
      <c r="E377" s="57"/>
      <c r="F377" s="58"/>
      <c r="G377" s="58"/>
      <c r="H377" s="58"/>
      <c r="I377" s="58"/>
      <c r="J377" s="58"/>
      <c r="K377" s="58"/>
      <c r="L377" s="59">
        <f t="shared" si="45"/>
        <v>0</v>
      </c>
      <c r="M377" s="68"/>
      <c r="N377" s="68"/>
      <c r="O377" s="68"/>
      <c r="P377" s="68"/>
      <c r="Q377" s="99" t="e">
        <f t="shared" si="46"/>
        <v>#DIV/0!</v>
      </c>
      <c r="R377" s="100">
        <f t="shared" si="47"/>
        <v>0.43387671059875982</v>
      </c>
      <c r="S377" s="83"/>
      <c r="T377" s="83"/>
      <c r="U377" s="101">
        <f t="shared" si="48"/>
        <v>2021.2824107652905</v>
      </c>
      <c r="V377" s="59" t="e">
        <f t="shared" si="44"/>
        <v>#DIV/0!</v>
      </c>
      <c r="W377" s="68"/>
      <c r="X377" s="68"/>
      <c r="Y377" s="68"/>
      <c r="Z377" s="68"/>
      <c r="AA377" s="45"/>
    </row>
    <row r="378" spans="2:27" x14ac:dyDescent="0.45">
      <c r="B378" s="45" t="s">
        <v>184</v>
      </c>
      <c r="C378" s="90"/>
      <c r="D378" s="56"/>
      <c r="E378" s="80"/>
      <c r="F378" s="58"/>
      <c r="G378" s="58"/>
      <c r="H378" s="58"/>
      <c r="I378" s="58"/>
      <c r="J378" s="58"/>
      <c r="K378" s="58"/>
      <c r="L378" s="59">
        <f t="shared" si="45"/>
        <v>0</v>
      </c>
      <c r="M378" s="68"/>
      <c r="N378" s="68"/>
      <c r="O378" s="68"/>
      <c r="P378" s="68"/>
      <c r="Q378" s="99" t="e">
        <f t="shared" si="46"/>
        <v>#DIV/0!</v>
      </c>
      <c r="R378" s="100">
        <f t="shared" si="47"/>
        <v>0.43387671059875982</v>
      </c>
      <c r="S378" s="83"/>
      <c r="T378" s="83"/>
      <c r="U378" s="101">
        <f t="shared" si="48"/>
        <v>2021.2824107652905</v>
      </c>
      <c r="V378" s="59" t="e">
        <f t="shared" si="44"/>
        <v>#DIV/0!</v>
      </c>
      <c r="W378" s="68"/>
      <c r="X378" s="68"/>
      <c r="Y378" s="68"/>
      <c r="Z378" s="68"/>
      <c r="AA378" s="45"/>
    </row>
    <row r="379" spans="2:27" x14ac:dyDescent="0.45">
      <c r="B379" s="45" t="s">
        <v>185</v>
      </c>
      <c r="C379" s="90"/>
      <c r="D379" s="56"/>
      <c r="E379" s="84"/>
      <c r="F379" s="58"/>
      <c r="G379" s="58"/>
      <c r="H379" s="58"/>
      <c r="I379" s="58"/>
      <c r="J379" s="58"/>
      <c r="K379" s="58"/>
      <c r="L379" s="59">
        <f t="shared" si="45"/>
        <v>0</v>
      </c>
      <c r="M379" s="68"/>
      <c r="N379" s="68"/>
      <c r="O379" s="68"/>
      <c r="P379" s="68"/>
      <c r="Q379" s="99" t="e">
        <f t="shared" si="46"/>
        <v>#DIV/0!</v>
      </c>
      <c r="R379" s="100">
        <f t="shared" si="47"/>
        <v>0.43387671059875982</v>
      </c>
      <c r="S379" s="83"/>
      <c r="T379" s="83"/>
      <c r="U379" s="101">
        <f t="shared" si="48"/>
        <v>2021.2824107652905</v>
      </c>
      <c r="V379" s="59" t="e">
        <f t="shared" si="44"/>
        <v>#DIV/0!</v>
      </c>
      <c r="W379" s="68"/>
      <c r="X379" s="68"/>
      <c r="Y379" s="68"/>
      <c r="Z379" s="68"/>
      <c r="AA379" s="45"/>
    </row>
    <row r="380" spans="2:27" x14ac:dyDescent="0.45">
      <c r="B380" s="45" t="s">
        <v>186</v>
      </c>
      <c r="C380" s="90"/>
      <c r="D380" s="56"/>
      <c r="E380" s="57"/>
      <c r="F380" s="58"/>
      <c r="G380" s="58"/>
      <c r="H380" s="58"/>
      <c r="I380" s="58"/>
      <c r="J380" s="58"/>
      <c r="K380" s="58"/>
      <c r="L380" s="59">
        <f t="shared" si="45"/>
        <v>0</v>
      </c>
      <c r="M380" s="68"/>
      <c r="N380" s="68"/>
      <c r="O380" s="68"/>
      <c r="P380" s="68"/>
      <c r="Q380" s="99" t="e">
        <f t="shared" si="46"/>
        <v>#DIV/0!</v>
      </c>
      <c r="R380" s="100">
        <f t="shared" si="47"/>
        <v>0.43387671059875982</v>
      </c>
      <c r="S380" s="83"/>
      <c r="T380" s="83"/>
      <c r="U380" s="101">
        <f t="shared" si="48"/>
        <v>2021.2824107652905</v>
      </c>
      <c r="V380" s="59" t="e">
        <f t="shared" si="44"/>
        <v>#DIV/0!</v>
      </c>
      <c r="W380" s="68"/>
      <c r="X380" s="68"/>
      <c r="Y380" s="68"/>
      <c r="Z380" s="68"/>
      <c r="AA380" s="45"/>
    </row>
    <row r="381" spans="2:27" x14ac:dyDescent="0.45">
      <c r="B381" s="45" t="s">
        <v>187</v>
      </c>
      <c r="C381" s="90"/>
      <c r="D381" s="56"/>
      <c r="E381" s="80"/>
      <c r="F381" s="58"/>
      <c r="G381" s="58"/>
      <c r="H381" s="58"/>
      <c r="I381" s="58"/>
      <c r="J381" s="58"/>
      <c r="K381" s="58"/>
      <c r="L381" s="59">
        <f t="shared" si="45"/>
        <v>0</v>
      </c>
      <c r="M381" s="68"/>
      <c r="N381" s="68"/>
      <c r="O381" s="68"/>
      <c r="P381" s="68"/>
      <c r="Q381" s="99" t="e">
        <f t="shared" si="46"/>
        <v>#DIV/0!</v>
      </c>
      <c r="R381" s="100">
        <f t="shared" si="47"/>
        <v>0.43387671059875982</v>
      </c>
      <c r="S381" s="83"/>
      <c r="T381" s="83"/>
      <c r="U381" s="101">
        <f t="shared" si="48"/>
        <v>2021.2824107652905</v>
      </c>
      <c r="V381" s="59" t="e">
        <f t="shared" si="44"/>
        <v>#DIV/0!</v>
      </c>
      <c r="W381" s="68"/>
      <c r="X381" s="68"/>
      <c r="Y381" s="68"/>
      <c r="Z381" s="68"/>
      <c r="AA381" s="45"/>
    </row>
    <row r="382" spans="2:27" x14ac:dyDescent="0.45">
      <c r="B382" s="45" t="s">
        <v>188</v>
      </c>
      <c r="C382" s="90"/>
      <c r="D382" s="56"/>
      <c r="E382" s="84"/>
      <c r="F382" s="58"/>
      <c r="G382" s="58"/>
      <c r="H382" s="58"/>
      <c r="I382" s="58"/>
      <c r="J382" s="58"/>
      <c r="K382" s="58"/>
      <c r="L382" s="59">
        <f t="shared" si="45"/>
        <v>0</v>
      </c>
      <c r="M382" s="68"/>
      <c r="N382" s="68"/>
      <c r="O382" s="68"/>
      <c r="P382" s="68"/>
      <c r="Q382" s="99" t="e">
        <f t="shared" si="46"/>
        <v>#DIV/0!</v>
      </c>
      <c r="R382" s="100">
        <f t="shared" si="47"/>
        <v>0.43387671059875982</v>
      </c>
      <c r="S382" s="83"/>
      <c r="T382" s="83"/>
      <c r="U382" s="101">
        <f t="shared" si="48"/>
        <v>2021.2824107652905</v>
      </c>
      <c r="V382" s="59" t="e">
        <f t="shared" si="44"/>
        <v>#DIV/0!</v>
      </c>
      <c r="W382" s="68"/>
      <c r="X382" s="68"/>
      <c r="Y382" s="68"/>
      <c r="Z382" s="68"/>
      <c r="AA382" s="45"/>
    </row>
    <row r="383" spans="2:27" x14ac:dyDescent="0.45">
      <c r="B383" s="45" t="s">
        <v>189</v>
      </c>
      <c r="C383" s="90"/>
      <c r="D383" s="56"/>
      <c r="E383" s="57"/>
      <c r="F383" s="58"/>
      <c r="G383" s="58"/>
      <c r="H383" s="58"/>
      <c r="I383" s="58"/>
      <c r="J383" s="58"/>
      <c r="K383" s="58"/>
      <c r="L383" s="59">
        <f t="shared" si="45"/>
        <v>0</v>
      </c>
      <c r="M383" s="68"/>
      <c r="N383" s="68"/>
      <c r="O383" s="68"/>
      <c r="P383" s="68"/>
      <c r="Q383" s="99" t="e">
        <f t="shared" si="46"/>
        <v>#DIV/0!</v>
      </c>
      <c r="R383" s="100">
        <f t="shared" si="47"/>
        <v>0.43387671059875982</v>
      </c>
      <c r="S383" s="83"/>
      <c r="T383" s="83"/>
      <c r="U383" s="101">
        <f t="shared" si="48"/>
        <v>2021.2824107652905</v>
      </c>
      <c r="V383" s="59" t="e">
        <f t="shared" si="44"/>
        <v>#DIV/0!</v>
      </c>
      <c r="W383" s="68"/>
      <c r="X383" s="68"/>
      <c r="Y383" s="68"/>
      <c r="Z383" s="68"/>
      <c r="AA383" s="45"/>
    </row>
    <row r="384" spans="2:27" x14ac:dyDescent="0.45">
      <c r="B384" s="45" t="s">
        <v>190</v>
      </c>
      <c r="C384" s="90"/>
      <c r="D384" s="56"/>
      <c r="E384" s="80"/>
      <c r="F384" s="58"/>
      <c r="G384" s="58"/>
      <c r="H384" s="58"/>
      <c r="I384" s="58"/>
      <c r="J384" s="58"/>
      <c r="K384" s="58"/>
      <c r="L384" s="59">
        <f t="shared" si="45"/>
        <v>0</v>
      </c>
      <c r="M384" s="68"/>
      <c r="N384" s="68"/>
      <c r="O384" s="68"/>
      <c r="P384" s="68"/>
      <c r="Q384" s="99" t="e">
        <f t="shared" si="46"/>
        <v>#DIV/0!</v>
      </c>
      <c r="R384" s="100">
        <f t="shared" si="47"/>
        <v>0.43387671059875982</v>
      </c>
      <c r="S384" s="83"/>
      <c r="T384" s="83"/>
      <c r="U384" s="101">
        <f t="shared" si="48"/>
        <v>2021.2824107652905</v>
      </c>
      <c r="V384" s="59" t="e">
        <f t="shared" si="44"/>
        <v>#DIV/0!</v>
      </c>
      <c r="W384" s="68"/>
      <c r="X384" s="68"/>
      <c r="Y384" s="68"/>
      <c r="Z384" s="68"/>
      <c r="AA384" s="45"/>
    </row>
    <row r="385" spans="2:27" x14ac:dyDescent="0.45">
      <c r="B385" s="45" t="s">
        <v>191</v>
      </c>
      <c r="C385" s="90"/>
      <c r="D385" s="56"/>
      <c r="E385" s="84"/>
      <c r="F385" s="58"/>
      <c r="G385" s="58"/>
      <c r="H385" s="58"/>
      <c r="I385" s="58"/>
      <c r="J385" s="58"/>
      <c r="K385" s="58"/>
      <c r="L385" s="59">
        <f t="shared" si="45"/>
        <v>0</v>
      </c>
      <c r="M385" s="68"/>
      <c r="N385" s="68"/>
      <c r="O385" s="68"/>
      <c r="P385" s="68"/>
      <c r="Q385" s="99" t="e">
        <f t="shared" si="46"/>
        <v>#DIV/0!</v>
      </c>
      <c r="R385" s="100">
        <f t="shared" si="47"/>
        <v>0.43387671059875982</v>
      </c>
      <c r="S385" s="83"/>
      <c r="T385" s="83"/>
      <c r="U385" s="101">
        <f t="shared" si="48"/>
        <v>2021.2824107652905</v>
      </c>
      <c r="V385" s="59" t="e">
        <f t="shared" si="44"/>
        <v>#DIV/0!</v>
      </c>
      <c r="W385" s="68"/>
      <c r="X385" s="68"/>
      <c r="Y385" s="68"/>
      <c r="Z385" s="68"/>
      <c r="AA385" s="45"/>
    </row>
    <row r="386" spans="2:27" x14ac:dyDescent="0.45">
      <c r="B386" s="45" t="s">
        <v>192</v>
      </c>
      <c r="C386" s="90"/>
      <c r="D386" s="56"/>
      <c r="E386" s="57"/>
      <c r="F386" s="58"/>
      <c r="G386" s="58"/>
      <c r="H386" s="58"/>
      <c r="I386" s="58"/>
      <c r="J386" s="58"/>
      <c r="K386" s="58"/>
      <c r="L386" s="59">
        <f t="shared" si="45"/>
        <v>0</v>
      </c>
      <c r="M386" s="68"/>
      <c r="N386" s="68"/>
      <c r="O386" s="68"/>
      <c r="P386" s="68"/>
      <c r="Q386" s="99" t="e">
        <f t="shared" si="46"/>
        <v>#DIV/0!</v>
      </c>
      <c r="R386" s="100">
        <f t="shared" si="47"/>
        <v>0.43387671059875982</v>
      </c>
      <c r="S386" s="83"/>
      <c r="T386" s="83"/>
      <c r="U386" s="101">
        <f t="shared" si="48"/>
        <v>2021.2824107652905</v>
      </c>
      <c r="V386" s="59" t="e">
        <f t="shared" si="44"/>
        <v>#DIV/0!</v>
      </c>
      <c r="W386" s="68"/>
      <c r="X386" s="68"/>
      <c r="Y386" s="68"/>
      <c r="Z386" s="68"/>
      <c r="AA386" s="45"/>
    </row>
    <row r="387" spans="2:27" x14ac:dyDescent="0.45">
      <c r="B387" s="45" t="s">
        <v>193</v>
      </c>
      <c r="C387" s="90"/>
      <c r="D387" s="56"/>
      <c r="E387" s="80"/>
      <c r="F387" s="58"/>
      <c r="G387" s="58"/>
      <c r="H387" s="58"/>
      <c r="I387" s="58"/>
      <c r="J387" s="58"/>
      <c r="K387" s="58"/>
      <c r="L387" s="59">
        <f t="shared" si="45"/>
        <v>0</v>
      </c>
      <c r="M387" s="68"/>
      <c r="N387" s="68"/>
      <c r="O387" s="68"/>
      <c r="P387" s="68"/>
      <c r="Q387" s="99" t="e">
        <f t="shared" si="46"/>
        <v>#DIV/0!</v>
      </c>
      <c r="R387" s="100">
        <f t="shared" si="47"/>
        <v>0.43387671059875982</v>
      </c>
      <c r="S387" s="83"/>
      <c r="T387" s="83"/>
      <c r="U387" s="101">
        <f t="shared" si="48"/>
        <v>2021.2824107652905</v>
      </c>
      <c r="V387" s="59" t="e">
        <f t="shared" si="44"/>
        <v>#DIV/0!</v>
      </c>
      <c r="W387" s="68"/>
      <c r="X387" s="68"/>
      <c r="Y387" s="68"/>
      <c r="Z387" s="68"/>
      <c r="AA387" s="45"/>
    </row>
    <row r="388" spans="2:27" x14ac:dyDescent="0.45">
      <c r="B388" s="45" t="s">
        <v>194</v>
      </c>
      <c r="C388" s="90"/>
      <c r="D388" s="56"/>
      <c r="E388" s="84"/>
      <c r="F388" s="58"/>
      <c r="G388" s="58"/>
      <c r="H388" s="58"/>
      <c r="I388" s="58"/>
      <c r="J388" s="58"/>
      <c r="K388" s="58"/>
      <c r="L388" s="59">
        <f t="shared" si="45"/>
        <v>0</v>
      </c>
      <c r="M388" s="68"/>
      <c r="N388" s="68"/>
      <c r="O388" s="68"/>
      <c r="P388" s="68"/>
      <c r="Q388" s="99" t="e">
        <f t="shared" si="46"/>
        <v>#DIV/0!</v>
      </c>
      <c r="R388" s="100">
        <f t="shared" si="47"/>
        <v>0.43387671059875982</v>
      </c>
      <c r="S388" s="83"/>
      <c r="T388" s="83"/>
      <c r="U388" s="101">
        <f t="shared" si="48"/>
        <v>2021.2824107652905</v>
      </c>
      <c r="V388" s="59" t="e">
        <f t="shared" si="44"/>
        <v>#DIV/0!</v>
      </c>
      <c r="W388" s="68"/>
      <c r="X388" s="68"/>
      <c r="Y388" s="68"/>
      <c r="Z388" s="68"/>
      <c r="AA388" s="45"/>
    </row>
    <row r="389" spans="2:27" x14ac:dyDescent="0.45">
      <c r="B389" s="45" t="s">
        <v>195</v>
      </c>
      <c r="C389" s="90"/>
      <c r="D389" s="56"/>
      <c r="E389" s="57"/>
      <c r="F389" s="58"/>
      <c r="G389" s="58"/>
      <c r="H389" s="58"/>
      <c r="I389" s="58"/>
      <c r="J389" s="58"/>
      <c r="K389" s="58"/>
      <c r="L389" s="59">
        <f t="shared" si="45"/>
        <v>0</v>
      </c>
      <c r="M389" s="68"/>
      <c r="N389" s="68"/>
      <c r="O389" s="68"/>
      <c r="P389" s="68"/>
      <c r="Q389" s="99" t="e">
        <f t="shared" si="46"/>
        <v>#DIV/0!</v>
      </c>
      <c r="R389" s="100">
        <f t="shared" si="47"/>
        <v>0.43387671059875982</v>
      </c>
      <c r="S389" s="83"/>
      <c r="T389" s="83"/>
      <c r="U389" s="101">
        <f t="shared" si="48"/>
        <v>2021.2824107652905</v>
      </c>
      <c r="V389" s="59" t="e">
        <f t="shared" si="44"/>
        <v>#DIV/0!</v>
      </c>
      <c r="W389" s="68"/>
      <c r="X389" s="68"/>
      <c r="Y389" s="68"/>
      <c r="Z389" s="68"/>
      <c r="AA389" s="45"/>
    </row>
    <row r="390" spans="2:27" x14ac:dyDescent="0.45">
      <c r="B390" s="45" t="s">
        <v>196</v>
      </c>
      <c r="C390" s="90"/>
      <c r="D390" s="56"/>
      <c r="E390" s="80"/>
      <c r="F390" s="58"/>
      <c r="G390" s="58"/>
      <c r="H390" s="58"/>
      <c r="I390" s="58"/>
      <c r="J390" s="58"/>
      <c r="K390" s="58"/>
      <c r="L390" s="59">
        <f t="shared" si="45"/>
        <v>0</v>
      </c>
      <c r="M390" s="68"/>
      <c r="N390" s="68"/>
      <c r="O390" s="68"/>
      <c r="P390" s="68"/>
      <c r="Q390" s="99" t="e">
        <f t="shared" si="46"/>
        <v>#DIV/0!</v>
      </c>
      <c r="R390" s="100">
        <f t="shared" si="47"/>
        <v>0.43387671059875982</v>
      </c>
      <c r="S390" s="83"/>
      <c r="T390" s="83"/>
      <c r="U390" s="101">
        <f t="shared" si="48"/>
        <v>2021.2824107652905</v>
      </c>
      <c r="V390" s="59" t="e">
        <f t="shared" si="44"/>
        <v>#DIV/0!</v>
      </c>
      <c r="W390" s="68"/>
      <c r="X390" s="68"/>
      <c r="Y390" s="68"/>
      <c r="Z390" s="68"/>
      <c r="AA390" s="45"/>
    </row>
    <row r="391" spans="2:27" x14ac:dyDescent="0.45">
      <c r="B391" s="45" t="s">
        <v>197</v>
      </c>
      <c r="C391" s="90"/>
      <c r="D391" s="56"/>
      <c r="E391" s="84"/>
      <c r="F391" s="58"/>
      <c r="G391" s="58"/>
      <c r="H391" s="58"/>
      <c r="I391" s="58"/>
      <c r="J391" s="58"/>
      <c r="K391" s="58"/>
      <c r="L391" s="59">
        <f t="shared" si="45"/>
        <v>0</v>
      </c>
      <c r="M391" s="68"/>
      <c r="N391" s="68"/>
      <c r="O391" s="68"/>
      <c r="P391" s="68"/>
      <c r="Q391" s="99" t="e">
        <f t="shared" si="46"/>
        <v>#DIV/0!</v>
      </c>
      <c r="R391" s="100">
        <f t="shared" si="47"/>
        <v>0.43387671059875982</v>
      </c>
      <c r="S391" s="83"/>
      <c r="T391" s="83"/>
      <c r="U391" s="101">
        <f t="shared" si="48"/>
        <v>2021.2824107652905</v>
      </c>
      <c r="V391" s="59" t="e">
        <f t="shared" si="44"/>
        <v>#DIV/0!</v>
      </c>
      <c r="W391" s="68"/>
      <c r="X391" s="68"/>
      <c r="Y391" s="68"/>
      <c r="Z391" s="68"/>
      <c r="AA391" s="45"/>
    </row>
    <row r="392" spans="2:27" x14ac:dyDescent="0.45">
      <c r="B392" s="45" t="s">
        <v>198</v>
      </c>
      <c r="C392" s="90"/>
      <c r="D392" s="56"/>
      <c r="E392" s="57"/>
      <c r="F392" s="58"/>
      <c r="G392" s="58"/>
      <c r="H392" s="58"/>
      <c r="I392" s="58"/>
      <c r="J392" s="58"/>
      <c r="K392" s="58"/>
      <c r="L392" s="59">
        <f t="shared" si="45"/>
        <v>0</v>
      </c>
      <c r="M392" s="68"/>
      <c r="N392" s="68"/>
      <c r="O392" s="68"/>
      <c r="P392" s="68"/>
      <c r="Q392" s="99" t="e">
        <f t="shared" si="46"/>
        <v>#DIV/0!</v>
      </c>
      <c r="R392" s="100">
        <f t="shared" si="47"/>
        <v>0.43387671059875982</v>
      </c>
      <c r="S392" s="83"/>
      <c r="T392" s="83"/>
      <c r="U392" s="101">
        <f t="shared" si="48"/>
        <v>2021.2824107652905</v>
      </c>
      <c r="V392" s="59" t="e">
        <f t="shared" si="44"/>
        <v>#DIV/0!</v>
      </c>
      <c r="W392" s="68"/>
      <c r="X392" s="68"/>
      <c r="Y392" s="68"/>
      <c r="Z392" s="68"/>
      <c r="AA392" s="45"/>
    </row>
    <row r="393" spans="2:27" x14ac:dyDescent="0.45">
      <c r="B393" s="45" t="s">
        <v>199</v>
      </c>
      <c r="C393" s="90"/>
      <c r="D393" s="56"/>
      <c r="E393" s="80"/>
      <c r="F393" s="58"/>
      <c r="G393" s="58"/>
      <c r="H393" s="58"/>
      <c r="I393" s="58"/>
      <c r="J393" s="58"/>
      <c r="K393" s="58"/>
      <c r="L393" s="59">
        <f t="shared" si="45"/>
        <v>0</v>
      </c>
      <c r="M393" s="68"/>
      <c r="N393" s="68"/>
      <c r="O393" s="68"/>
      <c r="P393" s="68"/>
      <c r="Q393" s="99" t="e">
        <f t="shared" si="46"/>
        <v>#DIV/0!</v>
      </c>
      <c r="R393" s="100">
        <f t="shared" si="47"/>
        <v>0.43387671059875982</v>
      </c>
      <c r="S393" s="83"/>
      <c r="T393" s="83"/>
      <c r="U393" s="101">
        <f t="shared" si="48"/>
        <v>2021.2824107652905</v>
      </c>
      <c r="V393" s="59" t="e">
        <f t="shared" si="44"/>
        <v>#DIV/0!</v>
      </c>
      <c r="W393" s="68"/>
      <c r="X393" s="68"/>
      <c r="Y393" s="68"/>
      <c r="Z393" s="68"/>
      <c r="AA393" s="45"/>
    </row>
    <row r="394" spans="2:27" x14ac:dyDescent="0.45">
      <c r="B394" s="45" t="s">
        <v>200</v>
      </c>
      <c r="C394" s="90"/>
      <c r="D394" s="56"/>
      <c r="E394" s="84"/>
      <c r="F394" s="58"/>
      <c r="G394" s="58"/>
      <c r="H394" s="58"/>
      <c r="I394" s="58"/>
      <c r="J394" s="58"/>
      <c r="K394" s="58"/>
      <c r="L394" s="59">
        <f t="shared" si="45"/>
        <v>0</v>
      </c>
      <c r="M394" s="68"/>
      <c r="N394" s="68"/>
      <c r="O394" s="68"/>
      <c r="P394" s="68"/>
      <c r="Q394" s="99" t="e">
        <f t="shared" si="46"/>
        <v>#DIV/0!</v>
      </c>
      <c r="R394" s="100">
        <f t="shared" si="47"/>
        <v>0.43387671059875982</v>
      </c>
      <c r="S394" s="83"/>
      <c r="T394" s="83"/>
      <c r="U394" s="101">
        <f t="shared" si="48"/>
        <v>2021.2824107652905</v>
      </c>
      <c r="V394" s="59" t="e">
        <f t="shared" si="44"/>
        <v>#DIV/0!</v>
      </c>
      <c r="W394" s="68"/>
      <c r="X394" s="68"/>
      <c r="Y394" s="68"/>
      <c r="Z394" s="68"/>
      <c r="AA394" s="45"/>
    </row>
    <row r="395" spans="2:27" x14ac:dyDescent="0.45">
      <c r="B395" s="45" t="s">
        <v>201</v>
      </c>
      <c r="C395" s="90"/>
      <c r="D395" s="56"/>
      <c r="E395" s="57"/>
      <c r="F395" s="58"/>
      <c r="G395" s="58"/>
      <c r="H395" s="58"/>
      <c r="I395" s="58"/>
      <c r="J395" s="58"/>
      <c r="K395" s="58"/>
      <c r="L395" s="59">
        <f t="shared" si="45"/>
        <v>0</v>
      </c>
      <c r="M395" s="68"/>
      <c r="N395" s="68"/>
      <c r="O395" s="68"/>
      <c r="P395" s="68"/>
      <c r="Q395" s="99" t="e">
        <f t="shared" si="46"/>
        <v>#DIV/0!</v>
      </c>
      <c r="R395" s="100">
        <f t="shared" si="47"/>
        <v>0.43387671059875982</v>
      </c>
      <c r="S395" s="83"/>
      <c r="T395" s="83"/>
      <c r="U395" s="101">
        <f t="shared" si="48"/>
        <v>2021.2824107652905</v>
      </c>
      <c r="V395" s="59" t="e">
        <f t="shared" si="44"/>
        <v>#DIV/0!</v>
      </c>
      <c r="W395" s="68"/>
      <c r="X395" s="68"/>
      <c r="Y395" s="68"/>
      <c r="Z395" s="68"/>
      <c r="AA395" s="45"/>
    </row>
    <row r="396" spans="2:27" x14ac:dyDescent="0.45">
      <c r="B396" s="45" t="s">
        <v>202</v>
      </c>
      <c r="C396" s="90"/>
      <c r="D396" s="56"/>
      <c r="E396" s="80"/>
      <c r="F396" s="58"/>
      <c r="G396" s="58"/>
      <c r="H396" s="58"/>
      <c r="I396" s="58"/>
      <c r="J396" s="58"/>
      <c r="K396" s="58"/>
      <c r="L396" s="59">
        <f t="shared" si="45"/>
        <v>0</v>
      </c>
      <c r="M396" s="68"/>
      <c r="N396" s="68"/>
      <c r="O396" s="68"/>
      <c r="P396" s="68"/>
      <c r="Q396" s="99" t="e">
        <f t="shared" si="46"/>
        <v>#DIV/0!</v>
      </c>
      <c r="R396" s="100">
        <f t="shared" si="47"/>
        <v>0.43387671059875982</v>
      </c>
      <c r="S396" s="83"/>
      <c r="T396" s="83"/>
      <c r="U396" s="101">
        <f t="shared" si="48"/>
        <v>2021.2824107652905</v>
      </c>
      <c r="V396" s="59" t="e">
        <f t="shared" si="44"/>
        <v>#DIV/0!</v>
      </c>
      <c r="W396" s="68"/>
      <c r="X396" s="68"/>
      <c r="Y396" s="68"/>
      <c r="Z396" s="68"/>
      <c r="AA396" s="45"/>
    </row>
    <row r="397" spans="2:27" x14ac:dyDescent="0.45">
      <c r="B397" s="45" t="s">
        <v>203</v>
      </c>
      <c r="C397" s="90"/>
      <c r="D397" s="56"/>
      <c r="E397" s="84"/>
      <c r="F397" s="58"/>
      <c r="G397" s="58"/>
      <c r="H397" s="58"/>
      <c r="I397" s="58"/>
      <c r="J397" s="58"/>
      <c r="K397" s="58"/>
      <c r="L397" s="59">
        <f t="shared" si="45"/>
        <v>0</v>
      </c>
      <c r="M397" s="68"/>
      <c r="N397" s="68"/>
      <c r="O397" s="68"/>
      <c r="P397" s="68"/>
      <c r="Q397" s="99" t="e">
        <f t="shared" si="46"/>
        <v>#DIV/0!</v>
      </c>
      <c r="R397" s="100">
        <f t="shared" si="47"/>
        <v>0.43387671059875982</v>
      </c>
      <c r="S397" s="83"/>
      <c r="T397" s="83"/>
      <c r="U397" s="101">
        <f t="shared" si="48"/>
        <v>2021.2824107652905</v>
      </c>
      <c r="V397" s="59" t="e">
        <f t="shared" si="44"/>
        <v>#DIV/0!</v>
      </c>
      <c r="W397" s="68"/>
      <c r="X397" s="68"/>
      <c r="Y397" s="68"/>
      <c r="Z397" s="68"/>
      <c r="AA397" s="45"/>
    </row>
    <row r="398" spans="2:27" x14ac:dyDescent="0.45">
      <c r="B398" s="45" t="s">
        <v>204</v>
      </c>
      <c r="C398" s="90"/>
      <c r="D398" s="56"/>
      <c r="E398" s="57"/>
      <c r="F398" s="58"/>
      <c r="G398" s="58"/>
      <c r="H398" s="58"/>
      <c r="I398" s="58"/>
      <c r="J398" s="58"/>
      <c r="K398" s="58"/>
      <c r="L398" s="59">
        <f t="shared" si="45"/>
        <v>0</v>
      </c>
      <c r="M398" s="68"/>
      <c r="N398" s="68"/>
      <c r="O398" s="68"/>
      <c r="P398" s="68"/>
      <c r="Q398" s="99" t="e">
        <f t="shared" si="46"/>
        <v>#DIV/0!</v>
      </c>
      <c r="R398" s="100">
        <f t="shared" si="47"/>
        <v>0.43387671059875982</v>
      </c>
      <c r="S398" s="83"/>
      <c r="T398" s="83"/>
      <c r="U398" s="101">
        <f t="shared" si="48"/>
        <v>2021.2824107652905</v>
      </c>
      <c r="V398" s="59" t="e">
        <f t="shared" si="44"/>
        <v>#DIV/0!</v>
      </c>
      <c r="W398" s="68"/>
      <c r="X398" s="68"/>
      <c r="Y398" s="68"/>
      <c r="Z398" s="68"/>
      <c r="AA398" s="45"/>
    </row>
    <row r="399" spans="2:27" x14ac:dyDescent="0.45">
      <c r="B399" s="45" t="s">
        <v>205</v>
      </c>
      <c r="C399" s="90"/>
      <c r="D399" s="56"/>
      <c r="E399" s="80"/>
      <c r="F399" s="58"/>
      <c r="G399" s="58"/>
      <c r="H399" s="58"/>
      <c r="I399" s="58"/>
      <c r="J399" s="58"/>
      <c r="K399" s="58"/>
      <c r="L399" s="59">
        <f t="shared" si="45"/>
        <v>0</v>
      </c>
      <c r="M399" s="68"/>
      <c r="N399" s="68"/>
      <c r="O399" s="68"/>
      <c r="P399" s="68"/>
      <c r="Q399" s="99" t="e">
        <f t="shared" si="46"/>
        <v>#DIV/0!</v>
      </c>
      <c r="R399" s="100">
        <f t="shared" si="47"/>
        <v>0.43387671059875982</v>
      </c>
      <c r="S399" s="83"/>
      <c r="T399" s="83"/>
      <c r="U399" s="101">
        <f t="shared" si="48"/>
        <v>2021.2824107652905</v>
      </c>
      <c r="V399" s="59" t="e">
        <f t="shared" si="44"/>
        <v>#DIV/0!</v>
      </c>
      <c r="W399" s="68"/>
      <c r="X399" s="68"/>
      <c r="Y399" s="68"/>
      <c r="Z399" s="68"/>
      <c r="AA399" s="45"/>
    </row>
    <row r="400" spans="2:27" x14ac:dyDescent="0.45">
      <c r="B400" s="45" t="s">
        <v>206</v>
      </c>
      <c r="C400" s="90"/>
      <c r="D400" s="56"/>
      <c r="E400" s="84"/>
      <c r="F400" s="58"/>
      <c r="G400" s="58"/>
      <c r="H400" s="58"/>
      <c r="I400" s="58"/>
      <c r="J400" s="58"/>
      <c r="K400" s="58"/>
      <c r="L400" s="59">
        <f t="shared" si="45"/>
        <v>0</v>
      </c>
      <c r="M400" s="68"/>
      <c r="N400" s="68"/>
      <c r="O400" s="68"/>
      <c r="P400" s="68"/>
      <c r="Q400" s="99" t="e">
        <f t="shared" si="46"/>
        <v>#DIV/0!</v>
      </c>
      <c r="R400" s="100">
        <f t="shared" si="47"/>
        <v>0.43387671059875982</v>
      </c>
      <c r="S400" s="83"/>
      <c r="T400" s="83"/>
      <c r="U400" s="101">
        <f t="shared" si="48"/>
        <v>2021.2824107652905</v>
      </c>
      <c r="V400" s="59" t="e">
        <f t="shared" si="44"/>
        <v>#DIV/0!</v>
      </c>
      <c r="W400" s="68"/>
      <c r="X400" s="68"/>
      <c r="Y400" s="68"/>
      <c r="Z400" s="68"/>
      <c r="AA400" s="45"/>
    </row>
    <row r="401" spans="2:27" x14ac:dyDescent="0.45">
      <c r="B401" s="45" t="s">
        <v>207</v>
      </c>
      <c r="C401" s="90"/>
      <c r="D401" s="56"/>
      <c r="E401" s="57"/>
      <c r="F401" s="58"/>
      <c r="G401" s="58"/>
      <c r="H401" s="58"/>
      <c r="I401" s="58"/>
      <c r="J401" s="58"/>
      <c r="K401" s="58"/>
      <c r="L401" s="59">
        <f t="shared" si="45"/>
        <v>0</v>
      </c>
      <c r="M401" s="68"/>
      <c r="N401" s="68"/>
      <c r="O401" s="68"/>
      <c r="P401" s="68"/>
      <c r="Q401" s="99" t="e">
        <f t="shared" si="46"/>
        <v>#DIV/0!</v>
      </c>
      <c r="R401" s="100">
        <f t="shared" si="47"/>
        <v>0.43387671059875982</v>
      </c>
      <c r="S401" s="83"/>
      <c r="T401" s="83"/>
      <c r="U401" s="101">
        <f t="shared" si="48"/>
        <v>2021.2824107652905</v>
      </c>
      <c r="V401" s="59" t="e">
        <f t="shared" ref="V401:V464" si="49">1/2*((P401*S401+R401*U401+T401*Q401)-(Q401*R401+S401*T401+U401*P401))/0.1582*100</f>
        <v>#DIV/0!</v>
      </c>
      <c r="W401" s="68"/>
      <c r="X401" s="68"/>
      <c r="Y401" s="68"/>
      <c r="Z401" s="68"/>
      <c r="AA401" s="45"/>
    </row>
    <row r="402" spans="2:27" x14ac:dyDescent="0.45">
      <c r="B402" s="45" t="s">
        <v>208</v>
      </c>
      <c r="C402" s="90"/>
      <c r="D402" s="56"/>
      <c r="E402" s="80"/>
      <c r="F402" s="58"/>
      <c r="G402" s="58"/>
      <c r="H402" s="58"/>
      <c r="I402" s="58"/>
      <c r="J402" s="58"/>
      <c r="K402" s="58"/>
      <c r="L402" s="59">
        <f t="shared" ref="L402:L465" si="50">1/2*((F402*I402+H402*K402+J402*G402)-(G402*H402+I402*J402+K402*F402))/0.1582*100</f>
        <v>0</v>
      </c>
      <c r="M402" s="68"/>
      <c r="N402" s="68"/>
      <c r="O402" s="68"/>
      <c r="P402" s="68"/>
      <c r="Q402" s="99" t="e">
        <f t="shared" ref="Q402:Q465" si="51">O402/P402</f>
        <v>#DIV/0!</v>
      </c>
      <c r="R402" s="100">
        <f t="shared" ref="R402:R465" si="52">SQRT(POWER(M402-$M$12,2)+POWER(N402-$N$12,2))</f>
        <v>0.43387671059875982</v>
      </c>
      <c r="S402" s="83"/>
      <c r="T402" s="83"/>
      <c r="U402" s="101">
        <f t="shared" ref="U402:U465" si="53">(-449*((M402-0.332)/(N402-0.1858))^3)+(3525*((M402-0.332)/(N402-0.1858))^2)+(-6823.3*(M402-0.332)/(N402-0.1858))+5520.33</f>
        <v>2021.2824107652905</v>
      </c>
      <c r="V402" s="59" t="e">
        <f t="shared" si="49"/>
        <v>#DIV/0!</v>
      </c>
      <c r="W402" s="68"/>
      <c r="X402" s="68"/>
      <c r="Y402" s="68"/>
      <c r="Z402" s="68"/>
      <c r="AA402" s="45"/>
    </row>
    <row r="403" spans="2:27" x14ac:dyDescent="0.45">
      <c r="B403" s="45" t="s">
        <v>209</v>
      </c>
      <c r="C403" s="90"/>
      <c r="D403" s="56"/>
      <c r="E403" s="84"/>
      <c r="F403" s="58"/>
      <c r="G403" s="58"/>
      <c r="H403" s="58"/>
      <c r="I403" s="58"/>
      <c r="J403" s="58"/>
      <c r="K403" s="58"/>
      <c r="L403" s="59">
        <f t="shared" si="50"/>
        <v>0</v>
      </c>
      <c r="M403" s="68"/>
      <c r="N403" s="68"/>
      <c r="O403" s="68"/>
      <c r="P403" s="68"/>
      <c r="Q403" s="99" t="e">
        <f t="shared" si="51"/>
        <v>#DIV/0!</v>
      </c>
      <c r="R403" s="100">
        <f t="shared" si="52"/>
        <v>0.43387671059875982</v>
      </c>
      <c r="S403" s="83"/>
      <c r="T403" s="83"/>
      <c r="U403" s="101">
        <f t="shared" si="53"/>
        <v>2021.2824107652905</v>
      </c>
      <c r="V403" s="59" t="e">
        <f t="shared" si="49"/>
        <v>#DIV/0!</v>
      </c>
      <c r="W403" s="68"/>
      <c r="X403" s="68"/>
      <c r="Y403" s="68"/>
      <c r="Z403" s="68"/>
      <c r="AA403" s="45"/>
    </row>
    <row r="404" spans="2:27" x14ac:dyDescent="0.45">
      <c r="B404" s="45" t="s">
        <v>210</v>
      </c>
      <c r="C404" s="90"/>
      <c r="D404" s="56"/>
      <c r="E404" s="57"/>
      <c r="F404" s="58"/>
      <c r="G404" s="58"/>
      <c r="H404" s="58"/>
      <c r="I404" s="58"/>
      <c r="J404" s="58"/>
      <c r="K404" s="58"/>
      <c r="L404" s="59">
        <f t="shared" si="50"/>
        <v>0</v>
      </c>
      <c r="M404" s="68"/>
      <c r="N404" s="68"/>
      <c r="O404" s="68"/>
      <c r="P404" s="68"/>
      <c r="Q404" s="99" t="e">
        <f t="shared" si="51"/>
        <v>#DIV/0!</v>
      </c>
      <c r="R404" s="100">
        <f t="shared" si="52"/>
        <v>0.43387671059875982</v>
      </c>
      <c r="S404" s="83"/>
      <c r="T404" s="83"/>
      <c r="U404" s="101">
        <f t="shared" si="53"/>
        <v>2021.2824107652905</v>
      </c>
      <c r="V404" s="59" t="e">
        <f t="shared" si="49"/>
        <v>#DIV/0!</v>
      </c>
      <c r="W404" s="68"/>
      <c r="X404" s="68"/>
      <c r="Y404" s="68"/>
      <c r="Z404" s="68"/>
      <c r="AA404" s="45"/>
    </row>
    <row r="405" spans="2:27" x14ac:dyDescent="0.45">
      <c r="B405" s="45" t="s">
        <v>211</v>
      </c>
      <c r="C405" s="90"/>
      <c r="D405" s="56"/>
      <c r="E405" s="80"/>
      <c r="F405" s="58"/>
      <c r="G405" s="58"/>
      <c r="H405" s="58"/>
      <c r="I405" s="58"/>
      <c r="J405" s="58"/>
      <c r="K405" s="58"/>
      <c r="L405" s="59">
        <f t="shared" si="50"/>
        <v>0</v>
      </c>
      <c r="M405" s="68"/>
      <c r="N405" s="68"/>
      <c r="O405" s="68"/>
      <c r="P405" s="68"/>
      <c r="Q405" s="99" t="e">
        <f t="shared" si="51"/>
        <v>#DIV/0!</v>
      </c>
      <c r="R405" s="100">
        <f t="shared" si="52"/>
        <v>0.43387671059875982</v>
      </c>
      <c r="S405" s="83"/>
      <c r="T405" s="83"/>
      <c r="U405" s="101">
        <f t="shared" si="53"/>
        <v>2021.2824107652905</v>
      </c>
      <c r="V405" s="59" t="e">
        <f t="shared" si="49"/>
        <v>#DIV/0!</v>
      </c>
      <c r="W405" s="68"/>
      <c r="X405" s="68"/>
      <c r="Y405" s="68"/>
      <c r="Z405" s="68"/>
      <c r="AA405" s="45"/>
    </row>
    <row r="406" spans="2:27" x14ac:dyDescent="0.45">
      <c r="B406" s="45" t="s">
        <v>212</v>
      </c>
      <c r="C406" s="90"/>
      <c r="D406" s="56"/>
      <c r="E406" s="84"/>
      <c r="F406" s="58"/>
      <c r="G406" s="58"/>
      <c r="H406" s="58"/>
      <c r="I406" s="58"/>
      <c r="J406" s="58"/>
      <c r="K406" s="58"/>
      <c r="L406" s="59">
        <f t="shared" si="50"/>
        <v>0</v>
      </c>
      <c r="M406" s="68"/>
      <c r="N406" s="68"/>
      <c r="O406" s="68"/>
      <c r="P406" s="68"/>
      <c r="Q406" s="99" t="e">
        <f t="shared" si="51"/>
        <v>#DIV/0!</v>
      </c>
      <c r="R406" s="100">
        <f t="shared" si="52"/>
        <v>0.43387671059875982</v>
      </c>
      <c r="S406" s="83"/>
      <c r="T406" s="83"/>
      <c r="U406" s="101">
        <f t="shared" si="53"/>
        <v>2021.2824107652905</v>
      </c>
      <c r="V406" s="59" t="e">
        <f t="shared" si="49"/>
        <v>#DIV/0!</v>
      </c>
      <c r="W406" s="68"/>
      <c r="X406" s="68"/>
      <c r="Y406" s="68"/>
      <c r="Z406" s="68"/>
      <c r="AA406" s="45"/>
    </row>
    <row r="407" spans="2:27" x14ac:dyDescent="0.45">
      <c r="B407" s="45" t="s">
        <v>213</v>
      </c>
      <c r="C407" s="90"/>
      <c r="D407" s="56"/>
      <c r="E407" s="57"/>
      <c r="F407" s="58"/>
      <c r="G407" s="58"/>
      <c r="H407" s="58"/>
      <c r="I407" s="58"/>
      <c r="J407" s="58"/>
      <c r="K407" s="58"/>
      <c r="L407" s="59">
        <f t="shared" si="50"/>
        <v>0</v>
      </c>
      <c r="M407" s="68"/>
      <c r="N407" s="68"/>
      <c r="O407" s="68"/>
      <c r="P407" s="68"/>
      <c r="Q407" s="99" t="e">
        <f t="shared" si="51"/>
        <v>#DIV/0!</v>
      </c>
      <c r="R407" s="100">
        <f t="shared" si="52"/>
        <v>0.43387671059875982</v>
      </c>
      <c r="S407" s="83"/>
      <c r="T407" s="83"/>
      <c r="U407" s="101">
        <f t="shared" si="53"/>
        <v>2021.2824107652905</v>
      </c>
      <c r="V407" s="59" t="e">
        <f t="shared" si="49"/>
        <v>#DIV/0!</v>
      </c>
      <c r="W407" s="68"/>
      <c r="X407" s="68"/>
      <c r="Y407" s="68"/>
      <c r="Z407" s="68"/>
      <c r="AA407" s="45"/>
    </row>
    <row r="408" spans="2:27" x14ac:dyDescent="0.45">
      <c r="B408" s="45" t="s">
        <v>214</v>
      </c>
      <c r="C408" s="90"/>
      <c r="D408" s="56"/>
      <c r="E408" s="80"/>
      <c r="F408" s="58"/>
      <c r="G408" s="58"/>
      <c r="H408" s="58"/>
      <c r="I408" s="58"/>
      <c r="J408" s="58"/>
      <c r="K408" s="58"/>
      <c r="L408" s="59">
        <f t="shared" si="50"/>
        <v>0</v>
      </c>
      <c r="M408" s="68"/>
      <c r="N408" s="68"/>
      <c r="O408" s="68"/>
      <c r="P408" s="68"/>
      <c r="Q408" s="99" t="e">
        <f t="shared" si="51"/>
        <v>#DIV/0!</v>
      </c>
      <c r="R408" s="100">
        <f t="shared" si="52"/>
        <v>0.43387671059875982</v>
      </c>
      <c r="S408" s="83"/>
      <c r="T408" s="83"/>
      <c r="U408" s="101">
        <f t="shared" si="53"/>
        <v>2021.2824107652905</v>
      </c>
      <c r="V408" s="59" t="e">
        <f t="shared" si="49"/>
        <v>#DIV/0!</v>
      </c>
      <c r="W408" s="68"/>
      <c r="X408" s="68"/>
      <c r="Y408" s="68"/>
      <c r="Z408" s="68"/>
      <c r="AA408" s="45"/>
    </row>
    <row r="409" spans="2:27" x14ac:dyDescent="0.45">
      <c r="B409" s="45" t="s">
        <v>215</v>
      </c>
      <c r="C409" s="90"/>
      <c r="D409" s="56"/>
      <c r="E409" s="84"/>
      <c r="F409" s="58"/>
      <c r="G409" s="58"/>
      <c r="H409" s="58"/>
      <c r="I409" s="58"/>
      <c r="J409" s="58"/>
      <c r="K409" s="58"/>
      <c r="L409" s="59">
        <f t="shared" si="50"/>
        <v>0</v>
      </c>
      <c r="M409" s="68"/>
      <c r="N409" s="68"/>
      <c r="O409" s="68"/>
      <c r="P409" s="68"/>
      <c r="Q409" s="99" t="e">
        <f t="shared" si="51"/>
        <v>#DIV/0!</v>
      </c>
      <c r="R409" s="100">
        <f t="shared" si="52"/>
        <v>0.43387671059875982</v>
      </c>
      <c r="S409" s="83"/>
      <c r="T409" s="83"/>
      <c r="U409" s="101">
        <f t="shared" si="53"/>
        <v>2021.2824107652905</v>
      </c>
      <c r="V409" s="59" t="e">
        <f t="shared" si="49"/>
        <v>#DIV/0!</v>
      </c>
      <c r="W409" s="68"/>
      <c r="X409" s="68"/>
      <c r="Y409" s="68"/>
      <c r="Z409" s="68"/>
      <c r="AA409" s="45"/>
    </row>
    <row r="410" spans="2:27" x14ac:dyDescent="0.45">
      <c r="B410" s="45" t="s">
        <v>216</v>
      </c>
      <c r="C410" s="90"/>
      <c r="D410" s="56"/>
      <c r="E410" s="57"/>
      <c r="F410" s="58"/>
      <c r="G410" s="58"/>
      <c r="H410" s="58"/>
      <c r="I410" s="58"/>
      <c r="J410" s="58"/>
      <c r="K410" s="58"/>
      <c r="L410" s="59">
        <f t="shared" si="50"/>
        <v>0</v>
      </c>
      <c r="M410" s="68"/>
      <c r="N410" s="68"/>
      <c r="O410" s="68"/>
      <c r="P410" s="68"/>
      <c r="Q410" s="99" t="e">
        <f t="shared" si="51"/>
        <v>#DIV/0!</v>
      </c>
      <c r="R410" s="100">
        <f t="shared" si="52"/>
        <v>0.43387671059875982</v>
      </c>
      <c r="S410" s="83"/>
      <c r="T410" s="83"/>
      <c r="U410" s="101">
        <f t="shared" si="53"/>
        <v>2021.2824107652905</v>
      </c>
      <c r="V410" s="59" t="e">
        <f t="shared" si="49"/>
        <v>#DIV/0!</v>
      </c>
      <c r="W410" s="68"/>
      <c r="X410" s="68"/>
      <c r="Y410" s="68"/>
      <c r="Z410" s="68"/>
      <c r="AA410" s="45"/>
    </row>
    <row r="411" spans="2:27" x14ac:dyDescent="0.45">
      <c r="B411" s="45" t="s">
        <v>217</v>
      </c>
      <c r="C411" s="90"/>
      <c r="D411" s="56"/>
      <c r="E411" s="80"/>
      <c r="F411" s="58"/>
      <c r="G411" s="58"/>
      <c r="H411" s="58"/>
      <c r="I411" s="58"/>
      <c r="J411" s="58"/>
      <c r="K411" s="58"/>
      <c r="L411" s="59">
        <f t="shared" si="50"/>
        <v>0</v>
      </c>
      <c r="M411" s="68"/>
      <c r="N411" s="68"/>
      <c r="O411" s="68"/>
      <c r="P411" s="68"/>
      <c r="Q411" s="99" t="e">
        <f t="shared" si="51"/>
        <v>#DIV/0!</v>
      </c>
      <c r="R411" s="100">
        <f t="shared" si="52"/>
        <v>0.43387671059875982</v>
      </c>
      <c r="S411" s="83"/>
      <c r="T411" s="83"/>
      <c r="U411" s="101">
        <f t="shared" si="53"/>
        <v>2021.2824107652905</v>
      </c>
      <c r="V411" s="59" t="e">
        <f t="shared" si="49"/>
        <v>#DIV/0!</v>
      </c>
      <c r="W411" s="68"/>
      <c r="X411" s="68"/>
      <c r="Y411" s="68"/>
      <c r="Z411" s="68"/>
      <c r="AA411" s="45"/>
    </row>
    <row r="412" spans="2:27" x14ac:dyDescent="0.45">
      <c r="B412" s="45" t="s">
        <v>218</v>
      </c>
      <c r="C412" s="90"/>
      <c r="D412" s="56"/>
      <c r="E412" s="84"/>
      <c r="F412" s="58"/>
      <c r="G412" s="58"/>
      <c r="H412" s="58"/>
      <c r="I412" s="58"/>
      <c r="J412" s="58"/>
      <c r="K412" s="58"/>
      <c r="L412" s="59">
        <f t="shared" si="50"/>
        <v>0</v>
      </c>
      <c r="M412" s="68"/>
      <c r="N412" s="68"/>
      <c r="O412" s="68"/>
      <c r="P412" s="68"/>
      <c r="Q412" s="99" t="e">
        <f t="shared" si="51"/>
        <v>#DIV/0!</v>
      </c>
      <c r="R412" s="100">
        <f t="shared" si="52"/>
        <v>0.43387671059875982</v>
      </c>
      <c r="S412" s="83"/>
      <c r="T412" s="83"/>
      <c r="U412" s="101">
        <f t="shared" si="53"/>
        <v>2021.2824107652905</v>
      </c>
      <c r="V412" s="59" t="e">
        <f t="shared" si="49"/>
        <v>#DIV/0!</v>
      </c>
      <c r="W412" s="68"/>
      <c r="X412" s="68"/>
      <c r="Y412" s="68"/>
      <c r="Z412" s="68"/>
      <c r="AA412" s="45"/>
    </row>
    <row r="413" spans="2:27" x14ac:dyDescent="0.45">
      <c r="B413" s="45" t="s">
        <v>219</v>
      </c>
      <c r="C413" s="90"/>
      <c r="D413" s="56"/>
      <c r="E413" s="57"/>
      <c r="F413" s="58"/>
      <c r="G413" s="58"/>
      <c r="H413" s="58"/>
      <c r="I413" s="58"/>
      <c r="J413" s="58"/>
      <c r="K413" s="58"/>
      <c r="L413" s="59">
        <f t="shared" si="50"/>
        <v>0</v>
      </c>
      <c r="M413" s="68"/>
      <c r="N413" s="68"/>
      <c r="O413" s="68"/>
      <c r="P413" s="68"/>
      <c r="Q413" s="99" t="e">
        <f t="shared" si="51"/>
        <v>#DIV/0!</v>
      </c>
      <c r="R413" s="100">
        <f t="shared" si="52"/>
        <v>0.43387671059875982</v>
      </c>
      <c r="S413" s="83"/>
      <c r="T413" s="83"/>
      <c r="U413" s="101">
        <f t="shared" si="53"/>
        <v>2021.2824107652905</v>
      </c>
      <c r="V413" s="59" t="e">
        <f t="shared" si="49"/>
        <v>#DIV/0!</v>
      </c>
      <c r="W413" s="68"/>
      <c r="X413" s="68"/>
      <c r="Y413" s="68"/>
      <c r="Z413" s="68"/>
      <c r="AA413" s="45"/>
    </row>
    <row r="414" spans="2:27" x14ac:dyDescent="0.45">
      <c r="B414" s="45" t="s">
        <v>220</v>
      </c>
      <c r="C414" s="90"/>
      <c r="D414" s="56"/>
      <c r="E414" s="80"/>
      <c r="F414" s="58"/>
      <c r="G414" s="58"/>
      <c r="H414" s="58"/>
      <c r="I414" s="58"/>
      <c r="J414" s="58"/>
      <c r="K414" s="58"/>
      <c r="L414" s="59">
        <f t="shared" si="50"/>
        <v>0</v>
      </c>
      <c r="M414" s="68"/>
      <c r="N414" s="68"/>
      <c r="O414" s="68"/>
      <c r="P414" s="68"/>
      <c r="Q414" s="99" t="e">
        <f t="shared" si="51"/>
        <v>#DIV/0!</v>
      </c>
      <c r="R414" s="100">
        <f t="shared" si="52"/>
        <v>0.43387671059875982</v>
      </c>
      <c r="S414" s="83"/>
      <c r="T414" s="83"/>
      <c r="U414" s="101">
        <f t="shared" si="53"/>
        <v>2021.2824107652905</v>
      </c>
      <c r="V414" s="59" t="e">
        <f t="shared" si="49"/>
        <v>#DIV/0!</v>
      </c>
      <c r="W414" s="68"/>
      <c r="X414" s="68"/>
      <c r="Y414" s="68"/>
      <c r="Z414" s="68"/>
      <c r="AA414" s="45"/>
    </row>
    <row r="415" spans="2:27" x14ac:dyDescent="0.45">
      <c r="B415" s="45" t="s">
        <v>221</v>
      </c>
      <c r="C415" s="90"/>
      <c r="D415" s="56"/>
      <c r="E415" s="84"/>
      <c r="F415" s="58"/>
      <c r="G415" s="58"/>
      <c r="H415" s="58"/>
      <c r="I415" s="58"/>
      <c r="J415" s="58"/>
      <c r="K415" s="58"/>
      <c r="L415" s="59">
        <f t="shared" si="50"/>
        <v>0</v>
      </c>
      <c r="M415" s="68"/>
      <c r="N415" s="68"/>
      <c r="O415" s="68"/>
      <c r="P415" s="68"/>
      <c r="Q415" s="99" t="e">
        <f t="shared" si="51"/>
        <v>#DIV/0!</v>
      </c>
      <c r="R415" s="100">
        <f t="shared" si="52"/>
        <v>0.43387671059875982</v>
      </c>
      <c r="S415" s="83"/>
      <c r="T415" s="83"/>
      <c r="U415" s="101">
        <f t="shared" si="53"/>
        <v>2021.2824107652905</v>
      </c>
      <c r="V415" s="59" t="e">
        <f t="shared" si="49"/>
        <v>#DIV/0!</v>
      </c>
      <c r="W415" s="68"/>
      <c r="X415" s="68"/>
      <c r="Y415" s="68"/>
      <c r="Z415" s="68"/>
      <c r="AA415" s="45"/>
    </row>
    <row r="416" spans="2:27" x14ac:dyDescent="0.45">
      <c r="B416" s="45" t="s">
        <v>222</v>
      </c>
      <c r="C416" s="90"/>
      <c r="D416" s="56"/>
      <c r="E416" s="57"/>
      <c r="F416" s="58"/>
      <c r="G416" s="58"/>
      <c r="H416" s="58"/>
      <c r="I416" s="58"/>
      <c r="J416" s="58"/>
      <c r="K416" s="58"/>
      <c r="L416" s="59">
        <f t="shared" si="50"/>
        <v>0</v>
      </c>
      <c r="M416" s="68"/>
      <c r="N416" s="68"/>
      <c r="O416" s="68"/>
      <c r="P416" s="68"/>
      <c r="Q416" s="99" t="e">
        <f t="shared" si="51"/>
        <v>#DIV/0!</v>
      </c>
      <c r="R416" s="100">
        <f t="shared" si="52"/>
        <v>0.43387671059875982</v>
      </c>
      <c r="S416" s="83"/>
      <c r="T416" s="83"/>
      <c r="U416" s="101">
        <f t="shared" si="53"/>
        <v>2021.2824107652905</v>
      </c>
      <c r="V416" s="59" t="e">
        <f t="shared" si="49"/>
        <v>#DIV/0!</v>
      </c>
      <c r="W416" s="68"/>
      <c r="X416" s="68"/>
      <c r="Y416" s="68"/>
      <c r="Z416" s="68"/>
      <c r="AA416" s="45"/>
    </row>
    <row r="417" spans="2:27" x14ac:dyDescent="0.45">
      <c r="B417" s="45" t="s">
        <v>223</v>
      </c>
      <c r="C417" s="90"/>
      <c r="D417" s="56"/>
      <c r="E417" s="80"/>
      <c r="F417" s="58"/>
      <c r="G417" s="58"/>
      <c r="H417" s="58"/>
      <c r="I417" s="58"/>
      <c r="J417" s="58"/>
      <c r="K417" s="58"/>
      <c r="L417" s="59">
        <f t="shared" si="50"/>
        <v>0</v>
      </c>
      <c r="M417" s="68"/>
      <c r="N417" s="68"/>
      <c r="O417" s="68"/>
      <c r="P417" s="68"/>
      <c r="Q417" s="99" t="e">
        <f t="shared" si="51"/>
        <v>#DIV/0!</v>
      </c>
      <c r="R417" s="100">
        <f t="shared" si="52"/>
        <v>0.43387671059875982</v>
      </c>
      <c r="S417" s="83"/>
      <c r="T417" s="83"/>
      <c r="U417" s="101">
        <f t="shared" si="53"/>
        <v>2021.2824107652905</v>
      </c>
      <c r="V417" s="59" t="e">
        <f t="shared" si="49"/>
        <v>#DIV/0!</v>
      </c>
      <c r="W417" s="68"/>
      <c r="X417" s="68"/>
      <c r="Y417" s="68"/>
      <c r="Z417" s="68"/>
      <c r="AA417" s="45"/>
    </row>
    <row r="418" spans="2:27" x14ac:dyDescent="0.45">
      <c r="B418" s="45" t="s">
        <v>224</v>
      </c>
      <c r="C418" s="90"/>
      <c r="D418" s="56"/>
      <c r="E418" s="84"/>
      <c r="F418" s="58"/>
      <c r="G418" s="58"/>
      <c r="H418" s="58"/>
      <c r="I418" s="58"/>
      <c r="J418" s="58"/>
      <c r="K418" s="58"/>
      <c r="L418" s="59">
        <f t="shared" si="50"/>
        <v>0</v>
      </c>
      <c r="M418" s="68"/>
      <c r="N418" s="68"/>
      <c r="O418" s="68"/>
      <c r="P418" s="68"/>
      <c r="Q418" s="99" t="e">
        <f t="shared" si="51"/>
        <v>#DIV/0!</v>
      </c>
      <c r="R418" s="100">
        <f t="shared" si="52"/>
        <v>0.43387671059875982</v>
      </c>
      <c r="S418" s="83"/>
      <c r="T418" s="83"/>
      <c r="U418" s="101">
        <f t="shared" si="53"/>
        <v>2021.2824107652905</v>
      </c>
      <c r="V418" s="59" t="e">
        <f t="shared" si="49"/>
        <v>#DIV/0!</v>
      </c>
      <c r="W418" s="68"/>
      <c r="X418" s="68"/>
      <c r="Y418" s="68"/>
      <c r="Z418" s="68"/>
      <c r="AA418" s="45"/>
    </row>
    <row r="419" spans="2:27" x14ac:dyDescent="0.45">
      <c r="B419" s="45" t="s">
        <v>225</v>
      </c>
      <c r="C419" s="90"/>
      <c r="D419" s="56"/>
      <c r="E419" s="57"/>
      <c r="F419" s="58"/>
      <c r="G419" s="58"/>
      <c r="H419" s="58"/>
      <c r="I419" s="58"/>
      <c r="J419" s="58"/>
      <c r="K419" s="58"/>
      <c r="L419" s="59">
        <f t="shared" si="50"/>
        <v>0</v>
      </c>
      <c r="M419" s="68"/>
      <c r="N419" s="68"/>
      <c r="O419" s="68"/>
      <c r="P419" s="68"/>
      <c r="Q419" s="99" t="e">
        <f t="shared" si="51"/>
        <v>#DIV/0!</v>
      </c>
      <c r="R419" s="100">
        <f t="shared" si="52"/>
        <v>0.43387671059875982</v>
      </c>
      <c r="S419" s="83"/>
      <c r="T419" s="83"/>
      <c r="U419" s="101">
        <f t="shared" si="53"/>
        <v>2021.2824107652905</v>
      </c>
      <c r="V419" s="59" t="e">
        <f t="shared" si="49"/>
        <v>#DIV/0!</v>
      </c>
      <c r="W419" s="68"/>
      <c r="X419" s="68"/>
      <c r="Y419" s="68"/>
      <c r="Z419" s="68"/>
      <c r="AA419" s="45"/>
    </row>
    <row r="420" spans="2:27" x14ac:dyDescent="0.45">
      <c r="B420" s="45" t="s">
        <v>226</v>
      </c>
      <c r="C420" s="90"/>
      <c r="D420" s="56"/>
      <c r="E420" s="80"/>
      <c r="F420" s="58"/>
      <c r="G420" s="58"/>
      <c r="H420" s="58"/>
      <c r="I420" s="58"/>
      <c r="J420" s="58"/>
      <c r="K420" s="58"/>
      <c r="L420" s="59">
        <f t="shared" si="50"/>
        <v>0</v>
      </c>
      <c r="M420" s="68"/>
      <c r="N420" s="68"/>
      <c r="O420" s="68"/>
      <c r="P420" s="68"/>
      <c r="Q420" s="99" t="e">
        <f t="shared" si="51"/>
        <v>#DIV/0!</v>
      </c>
      <c r="R420" s="100">
        <f t="shared" si="52"/>
        <v>0.43387671059875982</v>
      </c>
      <c r="S420" s="83"/>
      <c r="T420" s="83"/>
      <c r="U420" s="101">
        <f t="shared" si="53"/>
        <v>2021.2824107652905</v>
      </c>
      <c r="V420" s="59" t="e">
        <f t="shared" si="49"/>
        <v>#DIV/0!</v>
      </c>
      <c r="W420" s="68"/>
      <c r="X420" s="68"/>
      <c r="Y420" s="68"/>
      <c r="Z420" s="68"/>
      <c r="AA420" s="45"/>
    </row>
    <row r="421" spans="2:27" x14ac:dyDescent="0.45">
      <c r="B421" s="45" t="s">
        <v>227</v>
      </c>
      <c r="C421" s="90"/>
      <c r="D421" s="56"/>
      <c r="E421" s="84"/>
      <c r="F421" s="58"/>
      <c r="G421" s="58"/>
      <c r="H421" s="58"/>
      <c r="I421" s="58"/>
      <c r="J421" s="58"/>
      <c r="K421" s="58"/>
      <c r="L421" s="59">
        <f t="shared" si="50"/>
        <v>0</v>
      </c>
      <c r="M421" s="68"/>
      <c r="N421" s="68"/>
      <c r="O421" s="68"/>
      <c r="P421" s="68"/>
      <c r="Q421" s="99" t="e">
        <f t="shared" si="51"/>
        <v>#DIV/0!</v>
      </c>
      <c r="R421" s="100">
        <f t="shared" si="52"/>
        <v>0.43387671059875982</v>
      </c>
      <c r="S421" s="83"/>
      <c r="T421" s="83"/>
      <c r="U421" s="101">
        <f t="shared" si="53"/>
        <v>2021.2824107652905</v>
      </c>
      <c r="V421" s="59" t="e">
        <f t="shared" si="49"/>
        <v>#DIV/0!</v>
      </c>
      <c r="W421" s="68"/>
      <c r="X421" s="68"/>
      <c r="Y421" s="68"/>
      <c r="Z421" s="68"/>
      <c r="AA421" s="45"/>
    </row>
    <row r="422" spans="2:27" x14ac:dyDescent="0.45">
      <c r="B422" s="45" t="s">
        <v>228</v>
      </c>
      <c r="C422" s="90"/>
      <c r="D422" s="56"/>
      <c r="E422" s="57"/>
      <c r="F422" s="58"/>
      <c r="G422" s="58"/>
      <c r="H422" s="58"/>
      <c r="I422" s="58"/>
      <c r="J422" s="58"/>
      <c r="K422" s="58"/>
      <c r="L422" s="59">
        <f t="shared" si="50"/>
        <v>0</v>
      </c>
      <c r="M422" s="68"/>
      <c r="N422" s="68"/>
      <c r="O422" s="68"/>
      <c r="P422" s="68"/>
      <c r="Q422" s="99" t="e">
        <f t="shared" si="51"/>
        <v>#DIV/0!</v>
      </c>
      <c r="R422" s="100">
        <f t="shared" si="52"/>
        <v>0.43387671059875982</v>
      </c>
      <c r="S422" s="83"/>
      <c r="T422" s="83"/>
      <c r="U422" s="101">
        <f t="shared" si="53"/>
        <v>2021.2824107652905</v>
      </c>
      <c r="V422" s="59" t="e">
        <f t="shared" si="49"/>
        <v>#DIV/0!</v>
      </c>
      <c r="W422" s="68"/>
      <c r="X422" s="68"/>
      <c r="Y422" s="68"/>
      <c r="Z422" s="68"/>
      <c r="AA422" s="45"/>
    </row>
    <row r="423" spans="2:27" x14ac:dyDescent="0.45">
      <c r="B423" s="45" t="s">
        <v>229</v>
      </c>
      <c r="C423" s="90"/>
      <c r="D423" s="56"/>
      <c r="E423" s="80"/>
      <c r="F423" s="58"/>
      <c r="G423" s="58"/>
      <c r="H423" s="58"/>
      <c r="I423" s="58"/>
      <c r="J423" s="58"/>
      <c r="K423" s="58"/>
      <c r="L423" s="59">
        <f t="shared" si="50"/>
        <v>0</v>
      </c>
      <c r="M423" s="68"/>
      <c r="N423" s="68"/>
      <c r="O423" s="68"/>
      <c r="P423" s="68"/>
      <c r="Q423" s="99" t="e">
        <f t="shared" si="51"/>
        <v>#DIV/0!</v>
      </c>
      <c r="R423" s="100">
        <f t="shared" si="52"/>
        <v>0.43387671059875982</v>
      </c>
      <c r="S423" s="83"/>
      <c r="T423" s="83"/>
      <c r="U423" s="101">
        <f t="shared" si="53"/>
        <v>2021.2824107652905</v>
      </c>
      <c r="V423" s="59" t="e">
        <f t="shared" si="49"/>
        <v>#DIV/0!</v>
      </c>
      <c r="W423" s="68"/>
      <c r="X423" s="68"/>
      <c r="Y423" s="68"/>
      <c r="Z423" s="68"/>
      <c r="AA423" s="45"/>
    </row>
    <row r="424" spans="2:27" x14ac:dyDescent="0.45">
      <c r="B424" s="45" t="s">
        <v>230</v>
      </c>
      <c r="C424" s="90"/>
      <c r="D424" s="56"/>
      <c r="E424" s="84"/>
      <c r="F424" s="58"/>
      <c r="G424" s="58"/>
      <c r="H424" s="58"/>
      <c r="I424" s="58"/>
      <c r="J424" s="58"/>
      <c r="K424" s="58"/>
      <c r="L424" s="59">
        <f t="shared" si="50"/>
        <v>0</v>
      </c>
      <c r="M424" s="68"/>
      <c r="N424" s="68"/>
      <c r="O424" s="68"/>
      <c r="P424" s="68"/>
      <c r="Q424" s="99" t="e">
        <f t="shared" si="51"/>
        <v>#DIV/0!</v>
      </c>
      <c r="R424" s="100">
        <f t="shared" si="52"/>
        <v>0.43387671059875982</v>
      </c>
      <c r="S424" s="83"/>
      <c r="T424" s="83"/>
      <c r="U424" s="101">
        <f t="shared" si="53"/>
        <v>2021.2824107652905</v>
      </c>
      <c r="V424" s="59" t="e">
        <f t="shared" si="49"/>
        <v>#DIV/0!</v>
      </c>
      <c r="W424" s="68"/>
      <c r="X424" s="68"/>
      <c r="Y424" s="68"/>
      <c r="Z424" s="68"/>
      <c r="AA424" s="45"/>
    </row>
    <row r="425" spans="2:27" x14ac:dyDescent="0.45">
      <c r="B425" s="45" t="s">
        <v>231</v>
      </c>
      <c r="C425" s="90"/>
      <c r="D425" s="56"/>
      <c r="E425" s="57"/>
      <c r="F425" s="58"/>
      <c r="G425" s="58"/>
      <c r="H425" s="58"/>
      <c r="I425" s="58"/>
      <c r="J425" s="58"/>
      <c r="K425" s="58"/>
      <c r="L425" s="59">
        <f t="shared" si="50"/>
        <v>0</v>
      </c>
      <c r="M425" s="68"/>
      <c r="N425" s="68"/>
      <c r="O425" s="68"/>
      <c r="P425" s="68"/>
      <c r="Q425" s="99" t="e">
        <f t="shared" si="51"/>
        <v>#DIV/0!</v>
      </c>
      <c r="R425" s="100">
        <f t="shared" si="52"/>
        <v>0.43387671059875982</v>
      </c>
      <c r="S425" s="83"/>
      <c r="T425" s="83"/>
      <c r="U425" s="101">
        <f t="shared" si="53"/>
        <v>2021.2824107652905</v>
      </c>
      <c r="V425" s="59" t="e">
        <f t="shared" si="49"/>
        <v>#DIV/0!</v>
      </c>
      <c r="W425" s="68"/>
      <c r="X425" s="68"/>
      <c r="Y425" s="68"/>
      <c r="Z425" s="68"/>
      <c r="AA425" s="45"/>
    </row>
    <row r="426" spans="2:27" x14ac:dyDescent="0.45">
      <c r="B426" s="45" t="s">
        <v>232</v>
      </c>
      <c r="C426" s="90"/>
      <c r="D426" s="56"/>
      <c r="E426" s="80"/>
      <c r="F426" s="58"/>
      <c r="G426" s="58"/>
      <c r="H426" s="58"/>
      <c r="I426" s="58"/>
      <c r="J426" s="58"/>
      <c r="K426" s="58"/>
      <c r="L426" s="59">
        <f t="shared" si="50"/>
        <v>0</v>
      </c>
      <c r="M426" s="68"/>
      <c r="N426" s="68"/>
      <c r="O426" s="68"/>
      <c r="P426" s="68"/>
      <c r="Q426" s="99" t="e">
        <f t="shared" si="51"/>
        <v>#DIV/0!</v>
      </c>
      <c r="R426" s="100">
        <f t="shared" si="52"/>
        <v>0.43387671059875982</v>
      </c>
      <c r="S426" s="83"/>
      <c r="T426" s="83"/>
      <c r="U426" s="101">
        <f t="shared" si="53"/>
        <v>2021.2824107652905</v>
      </c>
      <c r="V426" s="59" t="e">
        <f t="shared" si="49"/>
        <v>#DIV/0!</v>
      </c>
      <c r="W426" s="68"/>
      <c r="X426" s="68"/>
      <c r="Y426" s="68"/>
      <c r="Z426" s="68"/>
      <c r="AA426" s="45"/>
    </row>
    <row r="427" spans="2:27" x14ac:dyDescent="0.45">
      <c r="B427" s="45" t="s">
        <v>233</v>
      </c>
      <c r="C427" s="90"/>
      <c r="D427" s="56"/>
      <c r="E427" s="84"/>
      <c r="F427" s="58"/>
      <c r="G427" s="58"/>
      <c r="H427" s="58"/>
      <c r="I427" s="58"/>
      <c r="J427" s="58"/>
      <c r="K427" s="58"/>
      <c r="L427" s="59">
        <f t="shared" si="50"/>
        <v>0</v>
      </c>
      <c r="M427" s="68"/>
      <c r="N427" s="68"/>
      <c r="O427" s="68"/>
      <c r="P427" s="68"/>
      <c r="Q427" s="99" t="e">
        <f t="shared" si="51"/>
        <v>#DIV/0!</v>
      </c>
      <c r="R427" s="100">
        <f t="shared" si="52"/>
        <v>0.43387671059875982</v>
      </c>
      <c r="S427" s="83"/>
      <c r="T427" s="83"/>
      <c r="U427" s="101">
        <f t="shared" si="53"/>
        <v>2021.2824107652905</v>
      </c>
      <c r="V427" s="59" t="e">
        <f t="shared" si="49"/>
        <v>#DIV/0!</v>
      </c>
      <c r="W427" s="68"/>
      <c r="X427" s="68"/>
      <c r="Y427" s="68"/>
      <c r="Z427" s="68"/>
      <c r="AA427" s="45"/>
    </row>
    <row r="428" spans="2:27" x14ac:dyDescent="0.45">
      <c r="B428" s="45" t="s">
        <v>234</v>
      </c>
      <c r="C428" s="90"/>
      <c r="D428" s="56"/>
      <c r="E428" s="57"/>
      <c r="F428" s="58"/>
      <c r="G428" s="58"/>
      <c r="H428" s="58"/>
      <c r="I428" s="58"/>
      <c r="J428" s="58"/>
      <c r="K428" s="58"/>
      <c r="L428" s="59">
        <f t="shared" si="50"/>
        <v>0</v>
      </c>
      <c r="M428" s="68"/>
      <c r="N428" s="68"/>
      <c r="O428" s="68"/>
      <c r="P428" s="68"/>
      <c r="Q428" s="99" t="e">
        <f t="shared" si="51"/>
        <v>#DIV/0!</v>
      </c>
      <c r="R428" s="100">
        <f t="shared" si="52"/>
        <v>0.43387671059875982</v>
      </c>
      <c r="S428" s="83"/>
      <c r="T428" s="83"/>
      <c r="U428" s="101">
        <f t="shared" si="53"/>
        <v>2021.2824107652905</v>
      </c>
      <c r="V428" s="59" t="e">
        <f t="shared" si="49"/>
        <v>#DIV/0!</v>
      </c>
      <c r="W428" s="68"/>
      <c r="X428" s="68"/>
      <c r="Y428" s="68"/>
      <c r="Z428" s="68"/>
      <c r="AA428" s="45"/>
    </row>
    <row r="429" spans="2:27" x14ac:dyDescent="0.45">
      <c r="B429" s="45" t="s">
        <v>235</v>
      </c>
      <c r="C429" s="90"/>
      <c r="D429" s="56"/>
      <c r="E429" s="80"/>
      <c r="F429" s="58"/>
      <c r="G429" s="58"/>
      <c r="H429" s="58"/>
      <c r="I429" s="58"/>
      <c r="J429" s="58"/>
      <c r="K429" s="58"/>
      <c r="L429" s="59">
        <f t="shared" si="50"/>
        <v>0</v>
      </c>
      <c r="M429" s="68"/>
      <c r="N429" s="68"/>
      <c r="O429" s="68"/>
      <c r="P429" s="68"/>
      <c r="Q429" s="99" t="e">
        <f t="shared" si="51"/>
        <v>#DIV/0!</v>
      </c>
      <c r="R429" s="100">
        <f t="shared" si="52"/>
        <v>0.43387671059875982</v>
      </c>
      <c r="S429" s="83"/>
      <c r="T429" s="83"/>
      <c r="U429" s="101">
        <f t="shared" si="53"/>
        <v>2021.2824107652905</v>
      </c>
      <c r="V429" s="59" t="e">
        <f t="shared" si="49"/>
        <v>#DIV/0!</v>
      </c>
      <c r="W429" s="68"/>
      <c r="X429" s="68"/>
      <c r="Y429" s="68"/>
      <c r="Z429" s="68"/>
      <c r="AA429" s="45"/>
    </row>
    <row r="430" spans="2:27" x14ac:dyDescent="0.45">
      <c r="B430" s="45" t="s">
        <v>236</v>
      </c>
      <c r="C430" s="90"/>
      <c r="D430" s="56"/>
      <c r="E430" s="84"/>
      <c r="F430" s="58"/>
      <c r="G430" s="58"/>
      <c r="H430" s="58"/>
      <c r="I430" s="58"/>
      <c r="J430" s="58"/>
      <c r="K430" s="58"/>
      <c r="L430" s="59">
        <f t="shared" si="50"/>
        <v>0</v>
      </c>
      <c r="M430" s="68"/>
      <c r="N430" s="68"/>
      <c r="O430" s="68"/>
      <c r="P430" s="68"/>
      <c r="Q430" s="99" t="e">
        <f t="shared" si="51"/>
        <v>#DIV/0!</v>
      </c>
      <c r="R430" s="100">
        <f t="shared" si="52"/>
        <v>0.43387671059875982</v>
      </c>
      <c r="S430" s="83"/>
      <c r="T430" s="83"/>
      <c r="U430" s="101">
        <f t="shared" si="53"/>
        <v>2021.2824107652905</v>
      </c>
      <c r="V430" s="59" t="e">
        <f t="shared" si="49"/>
        <v>#DIV/0!</v>
      </c>
      <c r="W430" s="68"/>
      <c r="X430" s="68"/>
      <c r="Y430" s="68"/>
      <c r="Z430" s="68"/>
      <c r="AA430" s="45"/>
    </row>
    <row r="431" spans="2:27" x14ac:dyDescent="0.45">
      <c r="B431" s="45" t="s">
        <v>237</v>
      </c>
      <c r="C431" s="90"/>
      <c r="D431" s="56"/>
      <c r="E431" s="57"/>
      <c r="F431" s="58"/>
      <c r="G431" s="58"/>
      <c r="H431" s="58"/>
      <c r="I431" s="58"/>
      <c r="J431" s="58"/>
      <c r="K431" s="58"/>
      <c r="L431" s="59">
        <f t="shared" si="50"/>
        <v>0</v>
      </c>
      <c r="M431" s="68"/>
      <c r="N431" s="68"/>
      <c r="O431" s="68"/>
      <c r="P431" s="68"/>
      <c r="Q431" s="99" t="e">
        <f t="shared" si="51"/>
        <v>#DIV/0!</v>
      </c>
      <c r="R431" s="100">
        <f t="shared" si="52"/>
        <v>0.43387671059875982</v>
      </c>
      <c r="S431" s="83"/>
      <c r="T431" s="83"/>
      <c r="U431" s="101">
        <f t="shared" si="53"/>
        <v>2021.2824107652905</v>
      </c>
      <c r="V431" s="59" t="e">
        <f t="shared" si="49"/>
        <v>#DIV/0!</v>
      </c>
      <c r="W431" s="68"/>
      <c r="X431" s="68"/>
      <c r="Y431" s="68"/>
      <c r="Z431" s="68"/>
      <c r="AA431" s="45"/>
    </row>
    <row r="432" spans="2:27" x14ac:dyDescent="0.45">
      <c r="B432" s="45" t="s">
        <v>238</v>
      </c>
      <c r="C432" s="90"/>
      <c r="D432" s="56"/>
      <c r="E432" s="80"/>
      <c r="F432" s="58"/>
      <c r="G432" s="58"/>
      <c r="H432" s="58"/>
      <c r="I432" s="58"/>
      <c r="J432" s="58"/>
      <c r="K432" s="58"/>
      <c r="L432" s="59">
        <f t="shared" si="50"/>
        <v>0</v>
      </c>
      <c r="M432" s="68"/>
      <c r="N432" s="68"/>
      <c r="O432" s="68"/>
      <c r="P432" s="68"/>
      <c r="Q432" s="99" t="e">
        <f t="shared" si="51"/>
        <v>#DIV/0!</v>
      </c>
      <c r="R432" s="100">
        <f t="shared" si="52"/>
        <v>0.43387671059875982</v>
      </c>
      <c r="S432" s="83"/>
      <c r="T432" s="83"/>
      <c r="U432" s="101">
        <f t="shared" si="53"/>
        <v>2021.2824107652905</v>
      </c>
      <c r="V432" s="59" t="e">
        <f t="shared" si="49"/>
        <v>#DIV/0!</v>
      </c>
      <c r="W432" s="68"/>
      <c r="X432" s="68"/>
      <c r="Y432" s="68"/>
      <c r="Z432" s="68"/>
      <c r="AA432" s="45"/>
    </row>
    <row r="433" spans="2:27" x14ac:dyDescent="0.45">
      <c r="B433" s="45" t="s">
        <v>239</v>
      </c>
      <c r="C433" s="90"/>
      <c r="D433" s="56"/>
      <c r="E433" s="84"/>
      <c r="F433" s="58"/>
      <c r="G433" s="58"/>
      <c r="H433" s="58"/>
      <c r="I433" s="58"/>
      <c r="J433" s="58"/>
      <c r="K433" s="58"/>
      <c r="L433" s="59">
        <f t="shared" si="50"/>
        <v>0</v>
      </c>
      <c r="M433" s="68"/>
      <c r="N433" s="68"/>
      <c r="O433" s="68"/>
      <c r="P433" s="68"/>
      <c r="Q433" s="99" t="e">
        <f t="shared" si="51"/>
        <v>#DIV/0!</v>
      </c>
      <c r="R433" s="100">
        <f t="shared" si="52"/>
        <v>0.43387671059875982</v>
      </c>
      <c r="S433" s="83"/>
      <c r="T433" s="83"/>
      <c r="U433" s="101">
        <f t="shared" si="53"/>
        <v>2021.2824107652905</v>
      </c>
      <c r="V433" s="59" t="e">
        <f t="shared" si="49"/>
        <v>#DIV/0!</v>
      </c>
      <c r="W433" s="68"/>
      <c r="X433" s="68"/>
      <c r="Y433" s="68"/>
      <c r="Z433" s="68"/>
      <c r="AA433" s="45"/>
    </row>
    <row r="434" spans="2:27" x14ac:dyDescent="0.45">
      <c r="B434" s="45" t="s">
        <v>240</v>
      </c>
      <c r="C434" s="90"/>
      <c r="D434" s="56"/>
      <c r="E434" s="57"/>
      <c r="F434" s="58"/>
      <c r="G434" s="58"/>
      <c r="H434" s="58"/>
      <c r="I434" s="58"/>
      <c r="J434" s="58"/>
      <c r="K434" s="58"/>
      <c r="L434" s="59">
        <f t="shared" si="50"/>
        <v>0</v>
      </c>
      <c r="M434" s="68"/>
      <c r="N434" s="68"/>
      <c r="O434" s="68"/>
      <c r="P434" s="68"/>
      <c r="Q434" s="99" t="e">
        <f t="shared" si="51"/>
        <v>#DIV/0!</v>
      </c>
      <c r="R434" s="100">
        <f t="shared" si="52"/>
        <v>0.43387671059875982</v>
      </c>
      <c r="S434" s="83"/>
      <c r="T434" s="83"/>
      <c r="U434" s="101">
        <f t="shared" si="53"/>
        <v>2021.2824107652905</v>
      </c>
      <c r="V434" s="59" t="e">
        <f t="shared" si="49"/>
        <v>#DIV/0!</v>
      </c>
      <c r="W434" s="68"/>
      <c r="X434" s="68"/>
      <c r="Y434" s="68"/>
      <c r="Z434" s="68"/>
      <c r="AA434" s="45"/>
    </row>
    <row r="435" spans="2:27" x14ac:dyDescent="0.45">
      <c r="B435" s="45" t="s">
        <v>241</v>
      </c>
      <c r="C435" s="90"/>
      <c r="D435" s="56"/>
      <c r="E435" s="80"/>
      <c r="F435" s="58"/>
      <c r="G435" s="58"/>
      <c r="H435" s="58"/>
      <c r="I435" s="58"/>
      <c r="J435" s="58"/>
      <c r="K435" s="58"/>
      <c r="L435" s="59">
        <f t="shared" si="50"/>
        <v>0</v>
      </c>
      <c r="M435" s="68"/>
      <c r="N435" s="68"/>
      <c r="O435" s="68"/>
      <c r="P435" s="68"/>
      <c r="Q435" s="99" t="e">
        <f t="shared" si="51"/>
        <v>#DIV/0!</v>
      </c>
      <c r="R435" s="100">
        <f t="shared" si="52"/>
        <v>0.43387671059875982</v>
      </c>
      <c r="S435" s="83"/>
      <c r="T435" s="83"/>
      <c r="U435" s="101">
        <f t="shared" si="53"/>
        <v>2021.2824107652905</v>
      </c>
      <c r="V435" s="59" t="e">
        <f t="shared" si="49"/>
        <v>#DIV/0!</v>
      </c>
      <c r="W435" s="68"/>
      <c r="X435" s="68"/>
      <c r="Y435" s="68"/>
      <c r="Z435" s="68"/>
      <c r="AA435" s="45"/>
    </row>
    <row r="436" spans="2:27" x14ac:dyDescent="0.45">
      <c r="B436" s="45" t="s">
        <v>242</v>
      </c>
      <c r="C436" s="90"/>
      <c r="D436" s="56"/>
      <c r="E436" s="84"/>
      <c r="F436" s="58"/>
      <c r="G436" s="58"/>
      <c r="H436" s="58"/>
      <c r="I436" s="58"/>
      <c r="J436" s="58"/>
      <c r="K436" s="58"/>
      <c r="L436" s="59">
        <f t="shared" si="50"/>
        <v>0</v>
      </c>
      <c r="M436" s="68"/>
      <c r="N436" s="68"/>
      <c r="O436" s="68"/>
      <c r="P436" s="68"/>
      <c r="Q436" s="99" t="e">
        <f t="shared" si="51"/>
        <v>#DIV/0!</v>
      </c>
      <c r="R436" s="100">
        <f t="shared" si="52"/>
        <v>0.43387671059875982</v>
      </c>
      <c r="S436" s="83"/>
      <c r="T436" s="83"/>
      <c r="U436" s="101">
        <f t="shared" si="53"/>
        <v>2021.2824107652905</v>
      </c>
      <c r="V436" s="59" t="e">
        <f t="shared" si="49"/>
        <v>#DIV/0!</v>
      </c>
      <c r="W436" s="68"/>
      <c r="X436" s="68"/>
      <c r="Y436" s="68"/>
      <c r="Z436" s="68"/>
      <c r="AA436" s="45"/>
    </row>
    <row r="437" spans="2:27" x14ac:dyDescent="0.45">
      <c r="B437" s="45" t="s">
        <v>243</v>
      </c>
      <c r="C437" s="90"/>
      <c r="D437" s="56"/>
      <c r="E437" s="57"/>
      <c r="F437" s="58"/>
      <c r="G437" s="58"/>
      <c r="H437" s="58"/>
      <c r="I437" s="58"/>
      <c r="J437" s="58"/>
      <c r="K437" s="58"/>
      <c r="L437" s="59">
        <f t="shared" si="50"/>
        <v>0</v>
      </c>
      <c r="M437" s="68"/>
      <c r="N437" s="68"/>
      <c r="O437" s="68"/>
      <c r="P437" s="68"/>
      <c r="Q437" s="99" t="e">
        <f t="shared" si="51"/>
        <v>#DIV/0!</v>
      </c>
      <c r="R437" s="100">
        <f t="shared" si="52"/>
        <v>0.43387671059875982</v>
      </c>
      <c r="S437" s="83"/>
      <c r="T437" s="83"/>
      <c r="U437" s="101">
        <f t="shared" si="53"/>
        <v>2021.2824107652905</v>
      </c>
      <c r="V437" s="59" t="e">
        <f t="shared" si="49"/>
        <v>#DIV/0!</v>
      </c>
      <c r="W437" s="68"/>
      <c r="X437" s="68"/>
      <c r="Y437" s="68"/>
      <c r="Z437" s="68"/>
      <c r="AA437" s="45"/>
    </row>
    <row r="438" spans="2:27" x14ac:dyDescent="0.45">
      <c r="B438" s="45" t="s">
        <v>244</v>
      </c>
      <c r="C438" s="90"/>
      <c r="D438" s="56"/>
      <c r="E438" s="80"/>
      <c r="F438" s="58"/>
      <c r="G438" s="58"/>
      <c r="H438" s="58"/>
      <c r="I438" s="58"/>
      <c r="J438" s="58"/>
      <c r="K438" s="58"/>
      <c r="L438" s="59">
        <f t="shared" si="50"/>
        <v>0</v>
      </c>
      <c r="M438" s="68"/>
      <c r="N438" s="68"/>
      <c r="O438" s="68"/>
      <c r="P438" s="68"/>
      <c r="Q438" s="99" t="e">
        <f t="shared" si="51"/>
        <v>#DIV/0!</v>
      </c>
      <c r="R438" s="100">
        <f t="shared" si="52"/>
        <v>0.43387671059875982</v>
      </c>
      <c r="S438" s="83"/>
      <c r="T438" s="83"/>
      <c r="U438" s="101">
        <f t="shared" si="53"/>
        <v>2021.2824107652905</v>
      </c>
      <c r="V438" s="59" t="e">
        <f t="shared" si="49"/>
        <v>#DIV/0!</v>
      </c>
      <c r="W438" s="68"/>
      <c r="X438" s="68"/>
      <c r="Y438" s="68"/>
      <c r="Z438" s="68"/>
      <c r="AA438" s="45"/>
    </row>
    <row r="439" spans="2:27" x14ac:dyDescent="0.45">
      <c r="B439" s="45" t="s">
        <v>245</v>
      </c>
      <c r="C439" s="90"/>
      <c r="D439" s="56"/>
      <c r="E439" s="84"/>
      <c r="F439" s="58"/>
      <c r="G439" s="58"/>
      <c r="H439" s="58"/>
      <c r="I439" s="58"/>
      <c r="J439" s="58"/>
      <c r="K439" s="58"/>
      <c r="L439" s="59">
        <f t="shared" si="50"/>
        <v>0</v>
      </c>
      <c r="M439" s="68"/>
      <c r="N439" s="68"/>
      <c r="O439" s="68"/>
      <c r="P439" s="68"/>
      <c r="Q439" s="99" t="e">
        <f t="shared" si="51"/>
        <v>#DIV/0!</v>
      </c>
      <c r="R439" s="100">
        <f t="shared" si="52"/>
        <v>0.43387671059875982</v>
      </c>
      <c r="S439" s="83"/>
      <c r="T439" s="83"/>
      <c r="U439" s="101">
        <f t="shared" si="53"/>
        <v>2021.2824107652905</v>
      </c>
      <c r="V439" s="59" t="e">
        <f t="shared" si="49"/>
        <v>#DIV/0!</v>
      </c>
      <c r="W439" s="68"/>
      <c r="X439" s="68"/>
      <c r="Y439" s="68"/>
      <c r="Z439" s="68"/>
      <c r="AA439" s="45"/>
    </row>
    <row r="440" spans="2:27" x14ac:dyDescent="0.45">
      <c r="B440" s="45" t="s">
        <v>246</v>
      </c>
      <c r="C440" s="90"/>
      <c r="D440" s="56"/>
      <c r="E440" s="57"/>
      <c r="F440" s="58"/>
      <c r="G440" s="58"/>
      <c r="H440" s="58"/>
      <c r="I440" s="58"/>
      <c r="J440" s="58"/>
      <c r="K440" s="58"/>
      <c r="L440" s="59">
        <f t="shared" si="50"/>
        <v>0</v>
      </c>
      <c r="M440" s="68"/>
      <c r="N440" s="68"/>
      <c r="O440" s="68"/>
      <c r="P440" s="68"/>
      <c r="Q440" s="99" t="e">
        <f t="shared" si="51"/>
        <v>#DIV/0!</v>
      </c>
      <c r="R440" s="100">
        <f t="shared" si="52"/>
        <v>0.43387671059875982</v>
      </c>
      <c r="S440" s="83"/>
      <c r="T440" s="83"/>
      <c r="U440" s="101">
        <f t="shared" si="53"/>
        <v>2021.2824107652905</v>
      </c>
      <c r="V440" s="59" t="e">
        <f t="shared" si="49"/>
        <v>#DIV/0!</v>
      </c>
      <c r="W440" s="68"/>
      <c r="X440" s="68"/>
      <c r="Y440" s="68"/>
      <c r="Z440" s="68"/>
      <c r="AA440" s="45"/>
    </row>
    <row r="441" spans="2:27" x14ac:dyDescent="0.45">
      <c r="B441" s="45" t="s">
        <v>247</v>
      </c>
      <c r="C441" s="90"/>
      <c r="D441" s="56"/>
      <c r="E441" s="80"/>
      <c r="F441" s="58"/>
      <c r="G441" s="58"/>
      <c r="H441" s="58"/>
      <c r="I441" s="58"/>
      <c r="J441" s="58"/>
      <c r="K441" s="58"/>
      <c r="L441" s="59">
        <f t="shared" si="50"/>
        <v>0</v>
      </c>
      <c r="M441" s="68"/>
      <c r="N441" s="68"/>
      <c r="O441" s="68"/>
      <c r="P441" s="68"/>
      <c r="Q441" s="99" t="e">
        <f t="shared" si="51"/>
        <v>#DIV/0!</v>
      </c>
      <c r="R441" s="100">
        <f t="shared" si="52"/>
        <v>0.43387671059875982</v>
      </c>
      <c r="S441" s="83"/>
      <c r="T441" s="83"/>
      <c r="U441" s="101">
        <f t="shared" si="53"/>
        <v>2021.2824107652905</v>
      </c>
      <c r="V441" s="59" t="e">
        <f t="shared" si="49"/>
        <v>#DIV/0!</v>
      </c>
      <c r="W441" s="68"/>
      <c r="X441" s="68"/>
      <c r="Y441" s="68"/>
      <c r="Z441" s="68"/>
      <c r="AA441" s="45"/>
    </row>
    <row r="442" spans="2:27" x14ac:dyDescent="0.45">
      <c r="B442" s="45" t="s">
        <v>248</v>
      </c>
      <c r="C442" s="90"/>
      <c r="D442" s="56"/>
      <c r="E442" s="84"/>
      <c r="F442" s="58"/>
      <c r="G442" s="58"/>
      <c r="H442" s="58"/>
      <c r="I442" s="58"/>
      <c r="J442" s="58"/>
      <c r="K442" s="58"/>
      <c r="L442" s="59">
        <f t="shared" si="50"/>
        <v>0</v>
      </c>
      <c r="M442" s="68"/>
      <c r="N442" s="68"/>
      <c r="O442" s="68"/>
      <c r="P442" s="68"/>
      <c r="Q442" s="99" t="e">
        <f t="shared" si="51"/>
        <v>#DIV/0!</v>
      </c>
      <c r="R442" s="100">
        <f t="shared" si="52"/>
        <v>0.43387671059875982</v>
      </c>
      <c r="S442" s="83"/>
      <c r="T442" s="83"/>
      <c r="U442" s="101">
        <f t="shared" si="53"/>
        <v>2021.2824107652905</v>
      </c>
      <c r="V442" s="59" t="e">
        <f t="shared" si="49"/>
        <v>#DIV/0!</v>
      </c>
      <c r="W442" s="68"/>
      <c r="X442" s="68"/>
      <c r="Y442" s="68"/>
      <c r="Z442" s="68"/>
      <c r="AA442" s="45"/>
    </row>
    <row r="443" spans="2:27" x14ac:dyDescent="0.45">
      <c r="B443" s="45" t="s">
        <v>249</v>
      </c>
      <c r="C443" s="90"/>
      <c r="D443" s="56"/>
      <c r="E443" s="57"/>
      <c r="F443" s="58"/>
      <c r="G443" s="58"/>
      <c r="H443" s="58"/>
      <c r="I443" s="58"/>
      <c r="J443" s="58"/>
      <c r="K443" s="58"/>
      <c r="L443" s="59">
        <f t="shared" si="50"/>
        <v>0</v>
      </c>
      <c r="M443" s="68"/>
      <c r="N443" s="68"/>
      <c r="O443" s="68"/>
      <c r="P443" s="68"/>
      <c r="Q443" s="99" t="e">
        <f t="shared" si="51"/>
        <v>#DIV/0!</v>
      </c>
      <c r="R443" s="100">
        <f t="shared" si="52"/>
        <v>0.43387671059875982</v>
      </c>
      <c r="S443" s="83"/>
      <c r="T443" s="83"/>
      <c r="U443" s="101">
        <f t="shared" si="53"/>
        <v>2021.2824107652905</v>
      </c>
      <c r="V443" s="59" t="e">
        <f t="shared" si="49"/>
        <v>#DIV/0!</v>
      </c>
      <c r="W443" s="68"/>
      <c r="X443" s="68"/>
      <c r="Y443" s="68"/>
      <c r="Z443" s="68"/>
      <c r="AA443" s="45"/>
    </row>
    <row r="444" spans="2:27" x14ac:dyDescent="0.45">
      <c r="B444" s="45" t="s">
        <v>250</v>
      </c>
      <c r="C444" s="90"/>
      <c r="D444" s="56"/>
      <c r="E444" s="80"/>
      <c r="F444" s="58"/>
      <c r="G444" s="58"/>
      <c r="H444" s="58"/>
      <c r="I444" s="58"/>
      <c r="J444" s="58"/>
      <c r="K444" s="58"/>
      <c r="L444" s="59">
        <f t="shared" si="50"/>
        <v>0</v>
      </c>
      <c r="M444" s="68"/>
      <c r="N444" s="68"/>
      <c r="O444" s="68"/>
      <c r="P444" s="68"/>
      <c r="Q444" s="99" t="e">
        <f t="shared" si="51"/>
        <v>#DIV/0!</v>
      </c>
      <c r="R444" s="100">
        <f t="shared" si="52"/>
        <v>0.43387671059875982</v>
      </c>
      <c r="S444" s="83"/>
      <c r="T444" s="83"/>
      <c r="U444" s="101">
        <f t="shared" si="53"/>
        <v>2021.2824107652905</v>
      </c>
      <c r="V444" s="59" t="e">
        <f t="shared" si="49"/>
        <v>#DIV/0!</v>
      </c>
      <c r="W444" s="68"/>
      <c r="X444" s="68"/>
      <c r="Y444" s="68"/>
      <c r="Z444" s="68"/>
      <c r="AA444" s="45"/>
    </row>
    <row r="445" spans="2:27" x14ac:dyDescent="0.45">
      <c r="B445" s="45" t="s">
        <v>251</v>
      </c>
      <c r="C445" s="90"/>
      <c r="D445" s="56"/>
      <c r="E445" s="84"/>
      <c r="F445" s="58"/>
      <c r="G445" s="58"/>
      <c r="H445" s="58"/>
      <c r="I445" s="58"/>
      <c r="J445" s="58"/>
      <c r="K445" s="58"/>
      <c r="L445" s="59">
        <f t="shared" si="50"/>
        <v>0</v>
      </c>
      <c r="M445" s="68"/>
      <c r="N445" s="68"/>
      <c r="O445" s="68"/>
      <c r="P445" s="68"/>
      <c r="Q445" s="99" t="e">
        <f t="shared" si="51"/>
        <v>#DIV/0!</v>
      </c>
      <c r="R445" s="100">
        <f t="shared" si="52"/>
        <v>0.43387671059875982</v>
      </c>
      <c r="S445" s="83"/>
      <c r="T445" s="83"/>
      <c r="U445" s="101">
        <f t="shared" si="53"/>
        <v>2021.2824107652905</v>
      </c>
      <c r="V445" s="59" t="e">
        <f t="shared" si="49"/>
        <v>#DIV/0!</v>
      </c>
      <c r="W445" s="68"/>
      <c r="X445" s="68"/>
      <c r="Y445" s="68"/>
      <c r="Z445" s="68"/>
      <c r="AA445" s="45"/>
    </row>
    <row r="446" spans="2:27" x14ac:dyDescent="0.45">
      <c r="B446" s="45" t="s">
        <v>252</v>
      </c>
      <c r="C446" s="90"/>
      <c r="D446" s="56"/>
      <c r="E446" s="57"/>
      <c r="F446" s="58"/>
      <c r="G446" s="58"/>
      <c r="H446" s="58"/>
      <c r="I446" s="58"/>
      <c r="J446" s="58"/>
      <c r="K446" s="58"/>
      <c r="L446" s="59">
        <f t="shared" si="50"/>
        <v>0</v>
      </c>
      <c r="M446" s="68"/>
      <c r="N446" s="68"/>
      <c r="O446" s="68"/>
      <c r="P446" s="68"/>
      <c r="Q446" s="99" t="e">
        <f t="shared" si="51"/>
        <v>#DIV/0!</v>
      </c>
      <c r="R446" s="100">
        <f t="shared" si="52"/>
        <v>0.43387671059875982</v>
      </c>
      <c r="S446" s="83"/>
      <c r="T446" s="83"/>
      <c r="U446" s="101">
        <f t="shared" si="53"/>
        <v>2021.2824107652905</v>
      </c>
      <c r="V446" s="59" t="e">
        <f t="shared" si="49"/>
        <v>#DIV/0!</v>
      </c>
      <c r="W446" s="68"/>
      <c r="X446" s="68"/>
      <c r="Y446" s="68"/>
      <c r="Z446" s="68"/>
      <c r="AA446" s="45"/>
    </row>
    <row r="447" spans="2:27" x14ac:dyDescent="0.45">
      <c r="B447" s="45" t="s">
        <v>253</v>
      </c>
      <c r="C447" s="90"/>
      <c r="D447" s="56"/>
      <c r="E447" s="80"/>
      <c r="F447" s="58"/>
      <c r="G447" s="58"/>
      <c r="H447" s="58"/>
      <c r="I447" s="58"/>
      <c r="J447" s="58"/>
      <c r="K447" s="58"/>
      <c r="L447" s="59">
        <f t="shared" si="50"/>
        <v>0</v>
      </c>
      <c r="M447" s="68"/>
      <c r="N447" s="68"/>
      <c r="O447" s="68"/>
      <c r="P447" s="68"/>
      <c r="Q447" s="99" t="e">
        <f t="shared" si="51"/>
        <v>#DIV/0!</v>
      </c>
      <c r="R447" s="100">
        <f t="shared" si="52"/>
        <v>0.43387671059875982</v>
      </c>
      <c r="S447" s="83"/>
      <c r="T447" s="83"/>
      <c r="U447" s="101">
        <f t="shared" si="53"/>
        <v>2021.2824107652905</v>
      </c>
      <c r="V447" s="59" t="e">
        <f t="shared" si="49"/>
        <v>#DIV/0!</v>
      </c>
      <c r="W447" s="68"/>
      <c r="X447" s="68"/>
      <c r="Y447" s="68"/>
      <c r="Z447" s="68"/>
      <c r="AA447" s="45"/>
    </row>
    <row r="448" spans="2:27" x14ac:dyDescent="0.45">
      <c r="B448" s="45" t="s">
        <v>254</v>
      </c>
      <c r="C448" s="90"/>
      <c r="D448" s="56"/>
      <c r="E448" s="84"/>
      <c r="F448" s="58"/>
      <c r="G448" s="58"/>
      <c r="H448" s="58"/>
      <c r="I448" s="58"/>
      <c r="J448" s="58"/>
      <c r="K448" s="58"/>
      <c r="L448" s="59">
        <f t="shared" si="50"/>
        <v>0</v>
      </c>
      <c r="M448" s="68"/>
      <c r="N448" s="68"/>
      <c r="O448" s="68"/>
      <c r="P448" s="68"/>
      <c r="Q448" s="99" t="e">
        <f t="shared" si="51"/>
        <v>#DIV/0!</v>
      </c>
      <c r="R448" s="100">
        <f t="shared" si="52"/>
        <v>0.43387671059875982</v>
      </c>
      <c r="S448" s="83"/>
      <c r="T448" s="83"/>
      <c r="U448" s="101">
        <f t="shared" si="53"/>
        <v>2021.2824107652905</v>
      </c>
      <c r="V448" s="59" t="e">
        <f t="shared" si="49"/>
        <v>#DIV/0!</v>
      </c>
      <c r="W448" s="68"/>
      <c r="X448" s="68"/>
      <c r="Y448" s="68"/>
      <c r="Z448" s="68"/>
      <c r="AA448" s="45"/>
    </row>
    <row r="449" spans="2:27" x14ac:dyDescent="0.45">
      <c r="B449" s="45" t="s">
        <v>255</v>
      </c>
      <c r="C449" s="90"/>
      <c r="D449" s="56"/>
      <c r="E449" s="57"/>
      <c r="F449" s="58"/>
      <c r="G449" s="58"/>
      <c r="H449" s="58"/>
      <c r="I449" s="58"/>
      <c r="J449" s="58"/>
      <c r="K449" s="58"/>
      <c r="L449" s="59">
        <f t="shared" si="50"/>
        <v>0</v>
      </c>
      <c r="M449" s="68"/>
      <c r="N449" s="68"/>
      <c r="O449" s="68"/>
      <c r="P449" s="68"/>
      <c r="Q449" s="99" t="e">
        <f t="shared" si="51"/>
        <v>#DIV/0!</v>
      </c>
      <c r="R449" s="100">
        <f t="shared" si="52"/>
        <v>0.43387671059875982</v>
      </c>
      <c r="S449" s="83"/>
      <c r="T449" s="83"/>
      <c r="U449" s="101">
        <f t="shared" si="53"/>
        <v>2021.2824107652905</v>
      </c>
      <c r="V449" s="59" t="e">
        <f t="shared" si="49"/>
        <v>#DIV/0!</v>
      </c>
      <c r="W449" s="68"/>
      <c r="X449" s="68"/>
      <c r="Y449" s="68"/>
      <c r="Z449" s="68"/>
      <c r="AA449" s="45"/>
    </row>
    <row r="450" spans="2:27" x14ac:dyDescent="0.45">
      <c r="B450" s="45" t="s">
        <v>256</v>
      </c>
      <c r="C450" s="90"/>
      <c r="D450" s="56"/>
      <c r="E450" s="80"/>
      <c r="F450" s="58"/>
      <c r="G450" s="58"/>
      <c r="H450" s="58"/>
      <c r="I450" s="58"/>
      <c r="J450" s="58"/>
      <c r="K450" s="58"/>
      <c r="L450" s="59">
        <f t="shared" si="50"/>
        <v>0</v>
      </c>
      <c r="M450" s="68"/>
      <c r="N450" s="68"/>
      <c r="O450" s="68"/>
      <c r="P450" s="68"/>
      <c r="Q450" s="99" t="e">
        <f t="shared" si="51"/>
        <v>#DIV/0!</v>
      </c>
      <c r="R450" s="100">
        <f t="shared" si="52"/>
        <v>0.43387671059875982</v>
      </c>
      <c r="S450" s="83"/>
      <c r="T450" s="83"/>
      <c r="U450" s="101">
        <f t="shared" si="53"/>
        <v>2021.2824107652905</v>
      </c>
      <c r="V450" s="59" t="e">
        <f t="shared" si="49"/>
        <v>#DIV/0!</v>
      </c>
      <c r="W450" s="68"/>
      <c r="X450" s="68"/>
      <c r="Y450" s="68"/>
      <c r="Z450" s="68"/>
      <c r="AA450" s="45"/>
    </row>
    <row r="451" spans="2:27" x14ac:dyDescent="0.45">
      <c r="B451" s="45" t="s">
        <v>257</v>
      </c>
      <c r="C451" s="90"/>
      <c r="D451" s="56"/>
      <c r="E451" s="84"/>
      <c r="F451" s="58"/>
      <c r="G451" s="58"/>
      <c r="H451" s="58"/>
      <c r="I451" s="58"/>
      <c r="J451" s="58"/>
      <c r="K451" s="58"/>
      <c r="L451" s="59">
        <f t="shared" si="50"/>
        <v>0</v>
      </c>
      <c r="M451" s="68"/>
      <c r="N451" s="68"/>
      <c r="O451" s="68"/>
      <c r="P451" s="68"/>
      <c r="Q451" s="99" t="e">
        <f t="shared" si="51"/>
        <v>#DIV/0!</v>
      </c>
      <c r="R451" s="100">
        <f t="shared" si="52"/>
        <v>0.43387671059875982</v>
      </c>
      <c r="S451" s="83"/>
      <c r="T451" s="83"/>
      <c r="U451" s="101">
        <f t="shared" si="53"/>
        <v>2021.2824107652905</v>
      </c>
      <c r="V451" s="59" t="e">
        <f t="shared" si="49"/>
        <v>#DIV/0!</v>
      </c>
      <c r="W451" s="68"/>
      <c r="X451" s="68"/>
      <c r="Y451" s="68"/>
      <c r="Z451" s="68"/>
      <c r="AA451" s="45"/>
    </row>
    <row r="452" spans="2:27" x14ac:dyDescent="0.45">
      <c r="B452" s="45" t="s">
        <v>258</v>
      </c>
      <c r="C452" s="90"/>
      <c r="D452" s="56"/>
      <c r="E452" s="57"/>
      <c r="F452" s="58"/>
      <c r="G452" s="58"/>
      <c r="H452" s="58"/>
      <c r="I452" s="58"/>
      <c r="J452" s="58"/>
      <c r="K452" s="58"/>
      <c r="L452" s="59">
        <f t="shared" si="50"/>
        <v>0</v>
      </c>
      <c r="M452" s="68"/>
      <c r="N452" s="68"/>
      <c r="O452" s="68"/>
      <c r="P452" s="68"/>
      <c r="Q452" s="99" t="e">
        <f t="shared" si="51"/>
        <v>#DIV/0!</v>
      </c>
      <c r="R452" s="100">
        <f t="shared" si="52"/>
        <v>0.43387671059875982</v>
      </c>
      <c r="S452" s="83"/>
      <c r="T452" s="83"/>
      <c r="U452" s="101">
        <f t="shared" si="53"/>
        <v>2021.2824107652905</v>
      </c>
      <c r="V452" s="59" t="e">
        <f t="shared" si="49"/>
        <v>#DIV/0!</v>
      </c>
      <c r="W452" s="68"/>
      <c r="X452" s="68"/>
      <c r="Y452" s="68"/>
      <c r="Z452" s="68"/>
      <c r="AA452" s="45"/>
    </row>
    <row r="453" spans="2:27" x14ac:dyDescent="0.45">
      <c r="B453" s="45" t="s">
        <v>259</v>
      </c>
      <c r="C453" s="90"/>
      <c r="D453" s="56"/>
      <c r="E453" s="80"/>
      <c r="F453" s="58"/>
      <c r="G453" s="58"/>
      <c r="H453" s="58"/>
      <c r="I453" s="58"/>
      <c r="J453" s="58"/>
      <c r="K453" s="58"/>
      <c r="L453" s="59">
        <f t="shared" si="50"/>
        <v>0</v>
      </c>
      <c r="M453" s="68"/>
      <c r="N453" s="68"/>
      <c r="O453" s="68"/>
      <c r="P453" s="68"/>
      <c r="Q453" s="99" t="e">
        <f t="shared" si="51"/>
        <v>#DIV/0!</v>
      </c>
      <c r="R453" s="100">
        <f t="shared" si="52"/>
        <v>0.43387671059875982</v>
      </c>
      <c r="S453" s="83"/>
      <c r="T453" s="83"/>
      <c r="U453" s="101">
        <f t="shared" si="53"/>
        <v>2021.2824107652905</v>
      </c>
      <c r="V453" s="59" t="e">
        <f t="shared" si="49"/>
        <v>#DIV/0!</v>
      </c>
      <c r="W453" s="68"/>
      <c r="X453" s="68"/>
      <c r="Y453" s="68"/>
      <c r="Z453" s="68"/>
      <c r="AA453" s="45"/>
    </row>
    <row r="454" spans="2:27" x14ac:dyDescent="0.45">
      <c r="B454" s="45" t="s">
        <v>260</v>
      </c>
      <c r="C454" s="90"/>
      <c r="D454" s="56"/>
      <c r="E454" s="84"/>
      <c r="F454" s="58"/>
      <c r="G454" s="58"/>
      <c r="H454" s="58"/>
      <c r="I454" s="58"/>
      <c r="J454" s="58"/>
      <c r="K454" s="58"/>
      <c r="L454" s="59">
        <f t="shared" si="50"/>
        <v>0</v>
      </c>
      <c r="M454" s="68"/>
      <c r="N454" s="68"/>
      <c r="O454" s="68"/>
      <c r="P454" s="68"/>
      <c r="Q454" s="99" t="e">
        <f t="shared" si="51"/>
        <v>#DIV/0!</v>
      </c>
      <c r="R454" s="100">
        <f t="shared" si="52"/>
        <v>0.43387671059875982</v>
      </c>
      <c r="S454" s="83"/>
      <c r="T454" s="83"/>
      <c r="U454" s="101">
        <f t="shared" si="53"/>
        <v>2021.2824107652905</v>
      </c>
      <c r="V454" s="59" t="e">
        <f t="shared" si="49"/>
        <v>#DIV/0!</v>
      </c>
      <c r="W454" s="68"/>
      <c r="X454" s="68"/>
      <c r="Y454" s="68"/>
      <c r="Z454" s="68"/>
      <c r="AA454" s="45"/>
    </row>
    <row r="455" spans="2:27" x14ac:dyDescent="0.45">
      <c r="B455" s="45" t="s">
        <v>261</v>
      </c>
      <c r="C455" s="90"/>
      <c r="D455" s="56"/>
      <c r="E455" s="57"/>
      <c r="F455" s="58"/>
      <c r="G455" s="58"/>
      <c r="H455" s="58"/>
      <c r="I455" s="58"/>
      <c r="J455" s="58"/>
      <c r="K455" s="58"/>
      <c r="L455" s="59">
        <f t="shared" si="50"/>
        <v>0</v>
      </c>
      <c r="M455" s="68"/>
      <c r="N455" s="68"/>
      <c r="O455" s="68"/>
      <c r="P455" s="68"/>
      <c r="Q455" s="99" t="e">
        <f t="shared" si="51"/>
        <v>#DIV/0!</v>
      </c>
      <c r="R455" s="100">
        <f t="shared" si="52"/>
        <v>0.43387671059875982</v>
      </c>
      <c r="S455" s="83"/>
      <c r="T455" s="83"/>
      <c r="U455" s="101">
        <f t="shared" si="53"/>
        <v>2021.2824107652905</v>
      </c>
      <c r="V455" s="59" t="e">
        <f t="shared" si="49"/>
        <v>#DIV/0!</v>
      </c>
      <c r="W455" s="68"/>
      <c r="X455" s="68"/>
      <c r="Y455" s="68"/>
      <c r="Z455" s="68"/>
      <c r="AA455" s="45"/>
    </row>
    <row r="456" spans="2:27" x14ac:dyDescent="0.45">
      <c r="B456" s="45" t="s">
        <v>262</v>
      </c>
      <c r="C456" s="90"/>
      <c r="D456" s="56"/>
      <c r="E456" s="80"/>
      <c r="F456" s="58"/>
      <c r="G456" s="58"/>
      <c r="H456" s="58"/>
      <c r="I456" s="58"/>
      <c r="J456" s="58"/>
      <c r="K456" s="58"/>
      <c r="L456" s="59">
        <f t="shared" si="50"/>
        <v>0</v>
      </c>
      <c r="M456" s="68"/>
      <c r="N456" s="68"/>
      <c r="O456" s="68"/>
      <c r="P456" s="68"/>
      <c r="Q456" s="99" t="e">
        <f t="shared" si="51"/>
        <v>#DIV/0!</v>
      </c>
      <c r="R456" s="100">
        <f t="shared" si="52"/>
        <v>0.43387671059875982</v>
      </c>
      <c r="S456" s="83"/>
      <c r="T456" s="83"/>
      <c r="U456" s="101">
        <f t="shared" si="53"/>
        <v>2021.2824107652905</v>
      </c>
      <c r="V456" s="59" t="e">
        <f t="shared" si="49"/>
        <v>#DIV/0!</v>
      </c>
      <c r="W456" s="68"/>
      <c r="X456" s="68"/>
      <c r="Y456" s="68"/>
      <c r="Z456" s="68"/>
      <c r="AA456" s="45"/>
    </row>
    <row r="457" spans="2:27" x14ac:dyDescent="0.45">
      <c r="B457" s="45" t="s">
        <v>263</v>
      </c>
      <c r="C457" s="90"/>
      <c r="D457" s="56"/>
      <c r="E457" s="84"/>
      <c r="F457" s="58"/>
      <c r="G457" s="58"/>
      <c r="H457" s="58"/>
      <c r="I457" s="58"/>
      <c r="J457" s="58"/>
      <c r="K457" s="58"/>
      <c r="L457" s="59">
        <f t="shared" si="50"/>
        <v>0</v>
      </c>
      <c r="M457" s="68"/>
      <c r="N457" s="68"/>
      <c r="O457" s="68"/>
      <c r="P457" s="68"/>
      <c r="Q457" s="99" t="e">
        <f t="shared" si="51"/>
        <v>#DIV/0!</v>
      </c>
      <c r="R457" s="100">
        <f t="shared" si="52"/>
        <v>0.43387671059875982</v>
      </c>
      <c r="S457" s="83"/>
      <c r="T457" s="83"/>
      <c r="U457" s="101">
        <f t="shared" si="53"/>
        <v>2021.2824107652905</v>
      </c>
      <c r="V457" s="59" t="e">
        <f t="shared" si="49"/>
        <v>#DIV/0!</v>
      </c>
      <c r="W457" s="68"/>
      <c r="X457" s="68"/>
      <c r="Y457" s="68"/>
      <c r="Z457" s="68"/>
      <c r="AA457" s="45"/>
    </row>
    <row r="458" spans="2:27" x14ac:dyDescent="0.45">
      <c r="B458" s="45" t="s">
        <v>264</v>
      </c>
      <c r="C458" s="90"/>
      <c r="D458" s="56"/>
      <c r="E458" s="57"/>
      <c r="F458" s="58"/>
      <c r="G458" s="58"/>
      <c r="H458" s="58"/>
      <c r="I458" s="58"/>
      <c r="J458" s="58"/>
      <c r="K458" s="58"/>
      <c r="L458" s="59">
        <f t="shared" si="50"/>
        <v>0</v>
      </c>
      <c r="M458" s="68"/>
      <c r="N458" s="68"/>
      <c r="O458" s="68"/>
      <c r="P458" s="68"/>
      <c r="Q458" s="99" t="e">
        <f t="shared" si="51"/>
        <v>#DIV/0!</v>
      </c>
      <c r="R458" s="100">
        <f t="shared" si="52"/>
        <v>0.43387671059875982</v>
      </c>
      <c r="S458" s="83"/>
      <c r="T458" s="83"/>
      <c r="U458" s="101">
        <f t="shared" si="53"/>
        <v>2021.2824107652905</v>
      </c>
      <c r="V458" s="59" t="e">
        <f t="shared" si="49"/>
        <v>#DIV/0!</v>
      </c>
      <c r="W458" s="68"/>
      <c r="X458" s="68"/>
      <c r="Y458" s="68"/>
      <c r="Z458" s="68"/>
      <c r="AA458" s="45"/>
    </row>
    <row r="459" spans="2:27" x14ac:dyDescent="0.45">
      <c r="B459" s="45" t="s">
        <v>265</v>
      </c>
      <c r="C459" s="90"/>
      <c r="D459" s="56"/>
      <c r="E459" s="80"/>
      <c r="F459" s="58"/>
      <c r="G459" s="58"/>
      <c r="H459" s="58"/>
      <c r="I459" s="58"/>
      <c r="J459" s="58"/>
      <c r="K459" s="58"/>
      <c r="L459" s="59">
        <f t="shared" si="50"/>
        <v>0</v>
      </c>
      <c r="M459" s="68"/>
      <c r="N459" s="68"/>
      <c r="O459" s="68"/>
      <c r="P459" s="68"/>
      <c r="Q459" s="99" t="e">
        <f t="shared" si="51"/>
        <v>#DIV/0!</v>
      </c>
      <c r="R459" s="100">
        <f t="shared" si="52"/>
        <v>0.43387671059875982</v>
      </c>
      <c r="S459" s="83"/>
      <c r="T459" s="83"/>
      <c r="U459" s="101">
        <f t="shared" si="53"/>
        <v>2021.2824107652905</v>
      </c>
      <c r="V459" s="59" t="e">
        <f t="shared" si="49"/>
        <v>#DIV/0!</v>
      </c>
      <c r="W459" s="68"/>
      <c r="X459" s="68"/>
      <c r="Y459" s="68"/>
      <c r="Z459" s="68"/>
      <c r="AA459" s="45"/>
    </row>
    <row r="460" spans="2:27" x14ac:dyDescent="0.45">
      <c r="B460" s="45" t="s">
        <v>266</v>
      </c>
      <c r="C460" s="90"/>
      <c r="D460" s="56"/>
      <c r="E460" s="84"/>
      <c r="F460" s="58"/>
      <c r="G460" s="58"/>
      <c r="H460" s="58"/>
      <c r="I460" s="58"/>
      <c r="J460" s="58"/>
      <c r="K460" s="58"/>
      <c r="L460" s="59">
        <f t="shared" si="50"/>
        <v>0</v>
      </c>
      <c r="M460" s="68"/>
      <c r="N460" s="68"/>
      <c r="O460" s="68"/>
      <c r="P460" s="68"/>
      <c r="Q460" s="99" t="e">
        <f t="shared" si="51"/>
        <v>#DIV/0!</v>
      </c>
      <c r="R460" s="100">
        <f t="shared" si="52"/>
        <v>0.43387671059875982</v>
      </c>
      <c r="S460" s="83"/>
      <c r="T460" s="83"/>
      <c r="U460" s="101">
        <f t="shared" si="53"/>
        <v>2021.2824107652905</v>
      </c>
      <c r="V460" s="59" t="e">
        <f t="shared" si="49"/>
        <v>#DIV/0!</v>
      </c>
      <c r="W460" s="68"/>
      <c r="X460" s="68"/>
      <c r="Y460" s="68"/>
      <c r="Z460" s="68"/>
      <c r="AA460" s="45"/>
    </row>
    <row r="461" spans="2:27" x14ac:dyDescent="0.45">
      <c r="B461" s="45" t="s">
        <v>267</v>
      </c>
      <c r="C461" s="90"/>
      <c r="D461" s="56"/>
      <c r="E461" s="57"/>
      <c r="F461" s="58"/>
      <c r="G461" s="58"/>
      <c r="H461" s="58"/>
      <c r="I461" s="58"/>
      <c r="J461" s="58"/>
      <c r="K461" s="58"/>
      <c r="L461" s="59">
        <f t="shared" si="50"/>
        <v>0</v>
      </c>
      <c r="M461" s="68"/>
      <c r="N461" s="68"/>
      <c r="O461" s="68"/>
      <c r="P461" s="68"/>
      <c r="Q461" s="99" t="e">
        <f t="shared" si="51"/>
        <v>#DIV/0!</v>
      </c>
      <c r="R461" s="100">
        <f t="shared" si="52"/>
        <v>0.43387671059875982</v>
      </c>
      <c r="S461" s="83"/>
      <c r="T461" s="83"/>
      <c r="U461" s="101">
        <f t="shared" si="53"/>
        <v>2021.2824107652905</v>
      </c>
      <c r="V461" s="59" t="e">
        <f t="shared" si="49"/>
        <v>#DIV/0!</v>
      </c>
      <c r="W461" s="68"/>
      <c r="X461" s="68"/>
      <c r="Y461" s="68"/>
      <c r="Z461" s="68"/>
      <c r="AA461" s="45"/>
    </row>
    <row r="462" spans="2:27" x14ac:dyDescent="0.45">
      <c r="B462" s="45" t="s">
        <v>268</v>
      </c>
      <c r="C462" s="90"/>
      <c r="D462" s="56"/>
      <c r="E462" s="80"/>
      <c r="F462" s="58"/>
      <c r="G462" s="58"/>
      <c r="H462" s="58"/>
      <c r="I462" s="58"/>
      <c r="J462" s="58"/>
      <c r="K462" s="58"/>
      <c r="L462" s="59">
        <f t="shared" si="50"/>
        <v>0</v>
      </c>
      <c r="M462" s="68"/>
      <c r="N462" s="68"/>
      <c r="O462" s="68"/>
      <c r="P462" s="68"/>
      <c r="Q462" s="99" t="e">
        <f t="shared" si="51"/>
        <v>#DIV/0!</v>
      </c>
      <c r="R462" s="100">
        <f t="shared" si="52"/>
        <v>0.43387671059875982</v>
      </c>
      <c r="S462" s="83"/>
      <c r="T462" s="83"/>
      <c r="U462" s="101">
        <f t="shared" si="53"/>
        <v>2021.2824107652905</v>
      </c>
      <c r="V462" s="59" t="e">
        <f t="shared" si="49"/>
        <v>#DIV/0!</v>
      </c>
      <c r="W462" s="68"/>
      <c r="X462" s="68"/>
      <c r="Y462" s="68"/>
      <c r="Z462" s="68"/>
      <c r="AA462" s="45"/>
    </row>
    <row r="463" spans="2:27" x14ac:dyDescent="0.45">
      <c r="B463" s="45" t="s">
        <v>269</v>
      </c>
      <c r="C463" s="90"/>
      <c r="D463" s="56"/>
      <c r="E463" s="84"/>
      <c r="F463" s="58"/>
      <c r="G463" s="58"/>
      <c r="H463" s="58"/>
      <c r="I463" s="58"/>
      <c r="J463" s="58"/>
      <c r="K463" s="58"/>
      <c r="L463" s="59">
        <f t="shared" si="50"/>
        <v>0</v>
      </c>
      <c r="M463" s="68"/>
      <c r="N463" s="68"/>
      <c r="O463" s="68"/>
      <c r="P463" s="68"/>
      <c r="Q463" s="99" t="e">
        <f t="shared" si="51"/>
        <v>#DIV/0!</v>
      </c>
      <c r="R463" s="100">
        <f t="shared" si="52"/>
        <v>0.43387671059875982</v>
      </c>
      <c r="S463" s="83"/>
      <c r="T463" s="83"/>
      <c r="U463" s="101">
        <f t="shared" si="53"/>
        <v>2021.2824107652905</v>
      </c>
      <c r="V463" s="59" t="e">
        <f t="shared" si="49"/>
        <v>#DIV/0!</v>
      </c>
      <c r="W463" s="68"/>
      <c r="X463" s="68"/>
      <c r="Y463" s="68"/>
      <c r="Z463" s="68"/>
      <c r="AA463" s="45"/>
    </row>
    <row r="464" spans="2:27" x14ac:dyDescent="0.45">
      <c r="B464" s="45" t="s">
        <v>270</v>
      </c>
      <c r="C464" s="90"/>
      <c r="D464" s="56"/>
      <c r="E464" s="57"/>
      <c r="F464" s="58"/>
      <c r="G464" s="58"/>
      <c r="H464" s="58"/>
      <c r="I464" s="58"/>
      <c r="J464" s="58"/>
      <c r="K464" s="58"/>
      <c r="L464" s="59">
        <f t="shared" si="50"/>
        <v>0</v>
      </c>
      <c r="M464" s="68"/>
      <c r="N464" s="68"/>
      <c r="O464" s="68"/>
      <c r="P464" s="68"/>
      <c r="Q464" s="99" t="e">
        <f t="shared" si="51"/>
        <v>#DIV/0!</v>
      </c>
      <c r="R464" s="100">
        <f t="shared" si="52"/>
        <v>0.43387671059875982</v>
      </c>
      <c r="S464" s="83"/>
      <c r="T464" s="83"/>
      <c r="U464" s="101">
        <f t="shared" si="53"/>
        <v>2021.2824107652905</v>
      </c>
      <c r="V464" s="59" t="e">
        <f t="shared" si="49"/>
        <v>#DIV/0!</v>
      </c>
      <c r="W464" s="68"/>
      <c r="X464" s="68"/>
      <c r="Y464" s="68"/>
      <c r="Z464" s="68"/>
      <c r="AA464" s="45"/>
    </row>
    <row r="465" spans="2:27" x14ac:dyDescent="0.45">
      <c r="B465" s="45" t="s">
        <v>271</v>
      </c>
      <c r="C465" s="90"/>
      <c r="D465" s="56"/>
      <c r="E465" s="80"/>
      <c r="F465" s="58"/>
      <c r="G465" s="58"/>
      <c r="H465" s="58"/>
      <c r="I465" s="58"/>
      <c r="J465" s="58"/>
      <c r="K465" s="58"/>
      <c r="L465" s="59">
        <f t="shared" si="50"/>
        <v>0</v>
      </c>
      <c r="M465" s="68"/>
      <c r="N465" s="68"/>
      <c r="O465" s="68"/>
      <c r="P465" s="68"/>
      <c r="Q465" s="99" t="e">
        <f t="shared" si="51"/>
        <v>#DIV/0!</v>
      </c>
      <c r="R465" s="100">
        <f t="shared" si="52"/>
        <v>0.43387671059875982</v>
      </c>
      <c r="S465" s="83"/>
      <c r="T465" s="83"/>
      <c r="U465" s="101">
        <f t="shared" si="53"/>
        <v>2021.2824107652905</v>
      </c>
      <c r="V465" s="59" t="e">
        <f t="shared" ref="V465:V528" si="54">1/2*((P465*S465+R465*U465+T465*Q465)-(Q465*R465+S465*T465+U465*P465))/0.1582*100</f>
        <v>#DIV/0!</v>
      </c>
      <c r="W465" s="68"/>
      <c r="X465" s="68"/>
      <c r="Y465" s="68"/>
      <c r="Z465" s="68"/>
      <c r="AA465" s="45"/>
    </row>
    <row r="466" spans="2:27" x14ac:dyDescent="0.45">
      <c r="B466" s="45" t="s">
        <v>272</v>
      </c>
      <c r="C466" s="90"/>
      <c r="D466" s="56"/>
      <c r="E466" s="84"/>
      <c r="F466" s="58"/>
      <c r="G466" s="58"/>
      <c r="H466" s="58"/>
      <c r="I466" s="58"/>
      <c r="J466" s="58"/>
      <c r="K466" s="58"/>
      <c r="L466" s="59">
        <f t="shared" ref="L466:L529" si="55">1/2*((F466*I466+H466*K466+J466*G466)-(G466*H466+I466*J466+K466*F466))/0.1582*100</f>
        <v>0</v>
      </c>
      <c r="M466" s="68"/>
      <c r="N466" s="68"/>
      <c r="O466" s="68"/>
      <c r="P466" s="68"/>
      <c r="Q466" s="99" t="e">
        <f t="shared" ref="Q466:Q529" si="56">O466/P466</f>
        <v>#DIV/0!</v>
      </c>
      <c r="R466" s="100">
        <f t="shared" ref="R466:R529" si="57">SQRT(POWER(M466-$M$12,2)+POWER(N466-$N$12,2))</f>
        <v>0.43387671059875982</v>
      </c>
      <c r="S466" s="83"/>
      <c r="T466" s="83"/>
      <c r="U466" s="101">
        <f t="shared" ref="U466:U529" si="58">(-449*((M466-0.332)/(N466-0.1858))^3)+(3525*((M466-0.332)/(N466-0.1858))^2)+(-6823.3*(M466-0.332)/(N466-0.1858))+5520.33</f>
        <v>2021.2824107652905</v>
      </c>
      <c r="V466" s="59" t="e">
        <f t="shared" si="54"/>
        <v>#DIV/0!</v>
      </c>
      <c r="W466" s="68"/>
      <c r="X466" s="68"/>
      <c r="Y466" s="68"/>
      <c r="Z466" s="68"/>
      <c r="AA466" s="45"/>
    </row>
    <row r="467" spans="2:27" x14ac:dyDescent="0.45">
      <c r="B467" s="45" t="s">
        <v>273</v>
      </c>
      <c r="C467" s="90"/>
      <c r="D467" s="56"/>
      <c r="E467" s="57"/>
      <c r="F467" s="58"/>
      <c r="G467" s="58"/>
      <c r="H467" s="58"/>
      <c r="I467" s="58"/>
      <c r="J467" s="58"/>
      <c r="K467" s="58"/>
      <c r="L467" s="59">
        <f t="shared" si="55"/>
        <v>0</v>
      </c>
      <c r="M467" s="68"/>
      <c r="N467" s="68"/>
      <c r="O467" s="68"/>
      <c r="P467" s="68"/>
      <c r="Q467" s="99" t="e">
        <f t="shared" si="56"/>
        <v>#DIV/0!</v>
      </c>
      <c r="R467" s="100">
        <f t="shared" si="57"/>
        <v>0.43387671059875982</v>
      </c>
      <c r="S467" s="83"/>
      <c r="T467" s="83"/>
      <c r="U467" s="101">
        <f t="shared" si="58"/>
        <v>2021.2824107652905</v>
      </c>
      <c r="V467" s="59" t="e">
        <f t="shared" si="54"/>
        <v>#DIV/0!</v>
      </c>
      <c r="W467" s="68"/>
      <c r="X467" s="68"/>
      <c r="Y467" s="68"/>
      <c r="Z467" s="68"/>
      <c r="AA467" s="45"/>
    </row>
    <row r="468" spans="2:27" x14ac:dyDescent="0.45">
      <c r="B468" s="45" t="s">
        <v>274</v>
      </c>
      <c r="C468" s="90"/>
      <c r="D468" s="56"/>
      <c r="E468" s="80"/>
      <c r="F468" s="58"/>
      <c r="G468" s="58"/>
      <c r="H468" s="58"/>
      <c r="I468" s="58"/>
      <c r="J468" s="58"/>
      <c r="K468" s="58"/>
      <c r="L468" s="59">
        <f t="shared" si="55"/>
        <v>0</v>
      </c>
      <c r="M468" s="68"/>
      <c r="N468" s="68"/>
      <c r="O468" s="68"/>
      <c r="P468" s="68"/>
      <c r="Q468" s="99" t="e">
        <f t="shared" si="56"/>
        <v>#DIV/0!</v>
      </c>
      <c r="R468" s="100">
        <f t="shared" si="57"/>
        <v>0.43387671059875982</v>
      </c>
      <c r="S468" s="83"/>
      <c r="T468" s="83"/>
      <c r="U468" s="101">
        <f t="shared" si="58"/>
        <v>2021.2824107652905</v>
      </c>
      <c r="V468" s="59" t="e">
        <f t="shared" si="54"/>
        <v>#DIV/0!</v>
      </c>
      <c r="W468" s="68"/>
      <c r="X468" s="68"/>
      <c r="Y468" s="68"/>
      <c r="Z468" s="68"/>
      <c r="AA468" s="45"/>
    </row>
    <row r="469" spans="2:27" x14ac:dyDescent="0.45">
      <c r="B469" s="45" t="s">
        <v>275</v>
      </c>
      <c r="C469" s="90"/>
      <c r="D469" s="56"/>
      <c r="E469" s="84"/>
      <c r="F469" s="58"/>
      <c r="G469" s="58"/>
      <c r="H469" s="58"/>
      <c r="I469" s="58"/>
      <c r="J469" s="58"/>
      <c r="K469" s="58"/>
      <c r="L469" s="59">
        <f t="shared" si="55"/>
        <v>0</v>
      </c>
      <c r="M469" s="68"/>
      <c r="N469" s="68"/>
      <c r="O469" s="68"/>
      <c r="P469" s="68"/>
      <c r="Q469" s="99" t="e">
        <f t="shared" si="56"/>
        <v>#DIV/0!</v>
      </c>
      <c r="R469" s="100">
        <f t="shared" si="57"/>
        <v>0.43387671059875982</v>
      </c>
      <c r="S469" s="83"/>
      <c r="T469" s="83"/>
      <c r="U469" s="101">
        <f t="shared" si="58"/>
        <v>2021.2824107652905</v>
      </c>
      <c r="V469" s="59" t="e">
        <f t="shared" si="54"/>
        <v>#DIV/0!</v>
      </c>
      <c r="W469" s="68"/>
      <c r="X469" s="68"/>
      <c r="Y469" s="68"/>
      <c r="Z469" s="68"/>
      <c r="AA469" s="45"/>
    </row>
    <row r="470" spans="2:27" x14ac:dyDescent="0.45">
      <c r="B470" s="45" t="s">
        <v>276</v>
      </c>
      <c r="C470" s="90"/>
      <c r="D470" s="56"/>
      <c r="E470" s="57"/>
      <c r="F470" s="58"/>
      <c r="G470" s="58"/>
      <c r="H470" s="58"/>
      <c r="I470" s="58"/>
      <c r="J470" s="58"/>
      <c r="K470" s="58"/>
      <c r="L470" s="59">
        <f t="shared" si="55"/>
        <v>0</v>
      </c>
      <c r="M470" s="68"/>
      <c r="N470" s="68"/>
      <c r="O470" s="68"/>
      <c r="P470" s="68"/>
      <c r="Q470" s="99" t="e">
        <f t="shared" si="56"/>
        <v>#DIV/0!</v>
      </c>
      <c r="R470" s="100">
        <f t="shared" si="57"/>
        <v>0.43387671059875982</v>
      </c>
      <c r="S470" s="83"/>
      <c r="T470" s="83"/>
      <c r="U470" s="101">
        <f t="shared" si="58"/>
        <v>2021.2824107652905</v>
      </c>
      <c r="V470" s="59" t="e">
        <f t="shared" si="54"/>
        <v>#DIV/0!</v>
      </c>
      <c r="W470" s="68"/>
      <c r="X470" s="68"/>
      <c r="Y470" s="68"/>
      <c r="Z470" s="68"/>
      <c r="AA470" s="45"/>
    </row>
    <row r="471" spans="2:27" x14ac:dyDescent="0.45">
      <c r="B471" s="45" t="s">
        <v>277</v>
      </c>
      <c r="C471" s="90"/>
      <c r="D471" s="56"/>
      <c r="E471" s="80"/>
      <c r="F471" s="58"/>
      <c r="G471" s="58"/>
      <c r="H471" s="58"/>
      <c r="I471" s="58"/>
      <c r="J471" s="58"/>
      <c r="K471" s="58"/>
      <c r="L471" s="59">
        <f t="shared" si="55"/>
        <v>0</v>
      </c>
      <c r="M471" s="68"/>
      <c r="N471" s="68"/>
      <c r="O471" s="68"/>
      <c r="P471" s="68"/>
      <c r="Q471" s="99" t="e">
        <f t="shared" si="56"/>
        <v>#DIV/0!</v>
      </c>
      <c r="R471" s="100">
        <f t="shared" si="57"/>
        <v>0.43387671059875982</v>
      </c>
      <c r="S471" s="83"/>
      <c r="T471" s="83"/>
      <c r="U471" s="101">
        <f t="shared" si="58"/>
        <v>2021.2824107652905</v>
      </c>
      <c r="V471" s="59" t="e">
        <f t="shared" si="54"/>
        <v>#DIV/0!</v>
      </c>
      <c r="W471" s="68"/>
      <c r="X471" s="68"/>
      <c r="Y471" s="68"/>
      <c r="Z471" s="68"/>
      <c r="AA471" s="45"/>
    </row>
    <row r="472" spans="2:27" x14ac:dyDescent="0.45">
      <c r="B472" s="45" t="s">
        <v>278</v>
      </c>
      <c r="C472" s="90"/>
      <c r="D472" s="56"/>
      <c r="E472" s="84"/>
      <c r="F472" s="58"/>
      <c r="G472" s="58"/>
      <c r="H472" s="58"/>
      <c r="I472" s="58"/>
      <c r="J472" s="58"/>
      <c r="K472" s="58"/>
      <c r="L472" s="59">
        <f t="shared" si="55"/>
        <v>0</v>
      </c>
      <c r="M472" s="68"/>
      <c r="N472" s="68"/>
      <c r="O472" s="68"/>
      <c r="P472" s="68"/>
      <c r="Q472" s="99" t="e">
        <f t="shared" si="56"/>
        <v>#DIV/0!</v>
      </c>
      <c r="R472" s="100">
        <f t="shared" si="57"/>
        <v>0.43387671059875982</v>
      </c>
      <c r="S472" s="83"/>
      <c r="T472" s="83"/>
      <c r="U472" s="101">
        <f t="shared" si="58"/>
        <v>2021.2824107652905</v>
      </c>
      <c r="V472" s="59" t="e">
        <f t="shared" si="54"/>
        <v>#DIV/0!</v>
      </c>
      <c r="W472" s="68"/>
      <c r="X472" s="68"/>
      <c r="Y472" s="68"/>
      <c r="Z472" s="68"/>
      <c r="AA472" s="45"/>
    </row>
    <row r="473" spans="2:27" x14ac:dyDescent="0.45">
      <c r="B473" s="45" t="s">
        <v>279</v>
      </c>
      <c r="C473" s="90"/>
      <c r="D473" s="56"/>
      <c r="E473" s="57"/>
      <c r="F473" s="58"/>
      <c r="G473" s="58"/>
      <c r="H473" s="58"/>
      <c r="I473" s="58"/>
      <c r="J473" s="58"/>
      <c r="K473" s="58"/>
      <c r="L473" s="59">
        <f t="shared" si="55"/>
        <v>0</v>
      </c>
      <c r="M473" s="68"/>
      <c r="N473" s="68"/>
      <c r="O473" s="68"/>
      <c r="P473" s="68"/>
      <c r="Q473" s="99" t="e">
        <f t="shared" si="56"/>
        <v>#DIV/0!</v>
      </c>
      <c r="R473" s="100">
        <f t="shared" si="57"/>
        <v>0.43387671059875982</v>
      </c>
      <c r="S473" s="83"/>
      <c r="T473" s="83"/>
      <c r="U473" s="101">
        <f t="shared" si="58"/>
        <v>2021.2824107652905</v>
      </c>
      <c r="V473" s="59" t="e">
        <f t="shared" si="54"/>
        <v>#DIV/0!</v>
      </c>
      <c r="W473" s="68"/>
      <c r="X473" s="68"/>
      <c r="Y473" s="68"/>
      <c r="Z473" s="68"/>
      <c r="AA473" s="45"/>
    </row>
    <row r="474" spans="2:27" x14ac:dyDescent="0.45">
      <c r="B474" s="45" t="s">
        <v>280</v>
      </c>
      <c r="C474" s="90"/>
      <c r="D474" s="56"/>
      <c r="E474" s="80"/>
      <c r="F474" s="58"/>
      <c r="G474" s="58"/>
      <c r="H474" s="58"/>
      <c r="I474" s="58"/>
      <c r="J474" s="58"/>
      <c r="K474" s="58"/>
      <c r="L474" s="59">
        <f t="shared" si="55"/>
        <v>0</v>
      </c>
      <c r="M474" s="68"/>
      <c r="N474" s="68"/>
      <c r="O474" s="68"/>
      <c r="P474" s="68"/>
      <c r="Q474" s="99" t="e">
        <f t="shared" si="56"/>
        <v>#DIV/0!</v>
      </c>
      <c r="R474" s="100">
        <f t="shared" si="57"/>
        <v>0.43387671059875982</v>
      </c>
      <c r="S474" s="83"/>
      <c r="T474" s="83"/>
      <c r="U474" s="101">
        <f t="shared" si="58"/>
        <v>2021.2824107652905</v>
      </c>
      <c r="V474" s="59" t="e">
        <f t="shared" si="54"/>
        <v>#DIV/0!</v>
      </c>
      <c r="W474" s="68"/>
      <c r="X474" s="68"/>
      <c r="Y474" s="68"/>
      <c r="Z474" s="68"/>
      <c r="AA474" s="45"/>
    </row>
    <row r="475" spans="2:27" x14ac:dyDescent="0.45">
      <c r="B475" s="45" t="s">
        <v>281</v>
      </c>
      <c r="C475" s="90"/>
      <c r="D475" s="56"/>
      <c r="E475" s="84"/>
      <c r="F475" s="58"/>
      <c r="G475" s="58"/>
      <c r="H475" s="58"/>
      <c r="I475" s="58"/>
      <c r="J475" s="58"/>
      <c r="K475" s="58"/>
      <c r="L475" s="59">
        <f t="shared" si="55"/>
        <v>0</v>
      </c>
      <c r="M475" s="68"/>
      <c r="N475" s="68"/>
      <c r="O475" s="68"/>
      <c r="P475" s="68"/>
      <c r="Q475" s="99" t="e">
        <f t="shared" si="56"/>
        <v>#DIV/0!</v>
      </c>
      <c r="R475" s="100">
        <f t="shared" si="57"/>
        <v>0.43387671059875982</v>
      </c>
      <c r="S475" s="83"/>
      <c r="T475" s="83"/>
      <c r="U475" s="101">
        <f t="shared" si="58"/>
        <v>2021.2824107652905</v>
      </c>
      <c r="V475" s="59" t="e">
        <f t="shared" si="54"/>
        <v>#DIV/0!</v>
      </c>
      <c r="W475" s="68"/>
      <c r="X475" s="68"/>
      <c r="Y475" s="68"/>
      <c r="Z475" s="68"/>
      <c r="AA475" s="45"/>
    </row>
    <row r="476" spans="2:27" x14ac:dyDescent="0.45">
      <c r="B476" s="45" t="s">
        <v>282</v>
      </c>
      <c r="C476" s="90"/>
      <c r="D476" s="56"/>
      <c r="E476" s="57"/>
      <c r="F476" s="58"/>
      <c r="G476" s="58"/>
      <c r="H476" s="58"/>
      <c r="I476" s="58"/>
      <c r="J476" s="58"/>
      <c r="K476" s="58"/>
      <c r="L476" s="59">
        <f t="shared" si="55"/>
        <v>0</v>
      </c>
      <c r="M476" s="68"/>
      <c r="N476" s="68"/>
      <c r="O476" s="68"/>
      <c r="P476" s="68"/>
      <c r="Q476" s="99" t="e">
        <f t="shared" si="56"/>
        <v>#DIV/0!</v>
      </c>
      <c r="R476" s="100">
        <f t="shared" si="57"/>
        <v>0.43387671059875982</v>
      </c>
      <c r="S476" s="83"/>
      <c r="T476" s="83"/>
      <c r="U476" s="101">
        <f t="shared" si="58"/>
        <v>2021.2824107652905</v>
      </c>
      <c r="V476" s="59" t="e">
        <f t="shared" si="54"/>
        <v>#DIV/0!</v>
      </c>
      <c r="W476" s="68"/>
      <c r="X476" s="68"/>
      <c r="Y476" s="68"/>
      <c r="Z476" s="68"/>
      <c r="AA476" s="45"/>
    </row>
    <row r="477" spans="2:27" x14ac:dyDescent="0.45">
      <c r="B477" s="45" t="s">
        <v>283</v>
      </c>
      <c r="C477" s="90"/>
      <c r="D477" s="56"/>
      <c r="E477" s="80"/>
      <c r="F477" s="58"/>
      <c r="G477" s="58"/>
      <c r="H477" s="58"/>
      <c r="I477" s="58"/>
      <c r="J477" s="58"/>
      <c r="K477" s="58"/>
      <c r="L477" s="59">
        <f t="shared" si="55"/>
        <v>0</v>
      </c>
      <c r="M477" s="68"/>
      <c r="N477" s="68"/>
      <c r="O477" s="68"/>
      <c r="P477" s="68"/>
      <c r="Q477" s="99" t="e">
        <f t="shared" si="56"/>
        <v>#DIV/0!</v>
      </c>
      <c r="R477" s="100">
        <f t="shared" si="57"/>
        <v>0.43387671059875982</v>
      </c>
      <c r="S477" s="83"/>
      <c r="T477" s="83"/>
      <c r="U477" s="101">
        <f t="shared" si="58"/>
        <v>2021.2824107652905</v>
      </c>
      <c r="V477" s="59" t="e">
        <f t="shared" si="54"/>
        <v>#DIV/0!</v>
      </c>
      <c r="W477" s="68"/>
      <c r="X477" s="68"/>
      <c r="Y477" s="68"/>
      <c r="Z477" s="68"/>
      <c r="AA477" s="45"/>
    </row>
    <row r="478" spans="2:27" x14ac:dyDescent="0.45">
      <c r="B478" s="45" t="s">
        <v>284</v>
      </c>
      <c r="C478" s="90"/>
      <c r="D478" s="56"/>
      <c r="E478" s="84"/>
      <c r="F478" s="58"/>
      <c r="G478" s="58"/>
      <c r="H478" s="58"/>
      <c r="I478" s="58"/>
      <c r="J478" s="58"/>
      <c r="K478" s="58"/>
      <c r="L478" s="59">
        <f t="shared" si="55"/>
        <v>0</v>
      </c>
      <c r="M478" s="68"/>
      <c r="N478" s="68"/>
      <c r="O478" s="68"/>
      <c r="P478" s="68"/>
      <c r="Q478" s="99" t="e">
        <f t="shared" si="56"/>
        <v>#DIV/0!</v>
      </c>
      <c r="R478" s="100">
        <f t="shared" si="57"/>
        <v>0.43387671059875982</v>
      </c>
      <c r="S478" s="83"/>
      <c r="T478" s="83"/>
      <c r="U478" s="101">
        <f t="shared" si="58"/>
        <v>2021.2824107652905</v>
      </c>
      <c r="V478" s="59" t="e">
        <f t="shared" si="54"/>
        <v>#DIV/0!</v>
      </c>
      <c r="W478" s="68"/>
      <c r="X478" s="68"/>
      <c r="Y478" s="68"/>
      <c r="Z478" s="68"/>
      <c r="AA478" s="45"/>
    </row>
    <row r="479" spans="2:27" x14ac:dyDescent="0.45">
      <c r="B479" s="45" t="s">
        <v>285</v>
      </c>
      <c r="C479" s="90"/>
      <c r="D479" s="56"/>
      <c r="E479" s="57"/>
      <c r="F479" s="58"/>
      <c r="G479" s="58"/>
      <c r="H479" s="58"/>
      <c r="I479" s="58"/>
      <c r="J479" s="58"/>
      <c r="K479" s="58"/>
      <c r="L479" s="59">
        <f t="shared" si="55"/>
        <v>0</v>
      </c>
      <c r="M479" s="68"/>
      <c r="N479" s="68"/>
      <c r="O479" s="68"/>
      <c r="P479" s="68"/>
      <c r="Q479" s="99" t="e">
        <f t="shared" si="56"/>
        <v>#DIV/0!</v>
      </c>
      <c r="R479" s="100">
        <f t="shared" si="57"/>
        <v>0.43387671059875982</v>
      </c>
      <c r="S479" s="83"/>
      <c r="T479" s="83"/>
      <c r="U479" s="101">
        <f t="shared" si="58"/>
        <v>2021.2824107652905</v>
      </c>
      <c r="V479" s="59" t="e">
        <f t="shared" si="54"/>
        <v>#DIV/0!</v>
      </c>
      <c r="W479" s="68"/>
      <c r="X479" s="68"/>
      <c r="Y479" s="68"/>
      <c r="Z479" s="68"/>
      <c r="AA479" s="45"/>
    </row>
    <row r="480" spans="2:27" x14ac:dyDescent="0.45">
      <c r="B480" s="45" t="s">
        <v>286</v>
      </c>
      <c r="C480" s="90"/>
      <c r="D480" s="56"/>
      <c r="E480" s="80"/>
      <c r="F480" s="58"/>
      <c r="G480" s="58"/>
      <c r="H480" s="58"/>
      <c r="I480" s="58"/>
      <c r="J480" s="58"/>
      <c r="K480" s="58"/>
      <c r="L480" s="59">
        <f t="shared" si="55"/>
        <v>0</v>
      </c>
      <c r="M480" s="68"/>
      <c r="N480" s="68"/>
      <c r="O480" s="68"/>
      <c r="P480" s="68"/>
      <c r="Q480" s="99" t="e">
        <f t="shared" si="56"/>
        <v>#DIV/0!</v>
      </c>
      <c r="R480" s="100">
        <f t="shared" si="57"/>
        <v>0.43387671059875982</v>
      </c>
      <c r="S480" s="83"/>
      <c r="T480" s="83"/>
      <c r="U480" s="101">
        <f t="shared" si="58"/>
        <v>2021.2824107652905</v>
      </c>
      <c r="V480" s="59" t="e">
        <f t="shared" si="54"/>
        <v>#DIV/0!</v>
      </c>
      <c r="W480" s="68"/>
      <c r="X480" s="68"/>
      <c r="Y480" s="68"/>
      <c r="Z480" s="68"/>
      <c r="AA480" s="45"/>
    </row>
    <row r="481" spans="2:27" x14ac:dyDescent="0.45">
      <c r="B481" s="45" t="s">
        <v>287</v>
      </c>
      <c r="C481" s="90"/>
      <c r="D481" s="56"/>
      <c r="E481" s="84"/>
      <c r="F481" s="58"/>
      <c r="G481" s="58"/>
      <c r="H481" s="58"/>
      <c r="I481" s="58"/>
      <c r="J481" s="58"/>
      <c r="K481" s="58"/>
      <c r="L481" s="59">
        <f t="shared" si="55"/>
        <v>0</v>
      </c>
      <c r="M481" s="68"/>
      <c r="N481" s="68"/>
      <c r="O481" s="68"/>
      <c r="P481" s="68"/>
      <c r="Q481" s="99" t="e">
        <f t="shared" si="56"/>
        <v>#DIV/0!</v>
      </c>
      <c r="R481" s="100">
        <f t="shared" si="57"/>
        <v>0.43387671059875982</v>
      </c>
      <c r="S481" s="83"/>
      <c r="T481" s="83"/>
      <c r="U481" s="101">
        <f t="shared" si="58"/>
        <v>2021.2824107652905</v>
      </c>
      <c r="V481" s="59" t="e">
        <f t="shared" si="54"/>
        <v>#DIV/0!</v>
      </c>
      <c r="W481" s="68"/>
      <c r="X481" s="68"/>
      <c r="Y481" s="68"/>
      <c r="Z481" s="68"/>
      <c r="AA481" s="45"/>
    </row>
    <row r="482" spans="2:27" x14ac:dyDescent="0.45">
      <c r="B482" s="45" t="s">
        <v>288</v>
      </c>
      <c r="C482" s="90"/>
      <c r="D482" s="56"/>
      <c r="E482" s="57"/>
      <c r="F482" s="58"/>
      <c r="G482" s="58"/>
      <c r="H482" s="58"/>
      <c r="I482" s="58"/>
      <c r="J482" s="58"/>
      <c r="K482" s="58"/>
      <c r="L482" s="59">
        <f t="shared" si="55"/>
        <v>0</v>
      </c>
      <c r="M482" s="68"/>
      <c r="N482" s="68"/>
      <c r="O482" s="68"/>
      <c r="P482" s="68"/>
      <c r="Q482" s="99" t="e">
        <f t="shared" si="56"/>
        <v>#DIV/0!</v>
      </c>
      <c r="R482" s="100">
        <f t="shared" si="57"/>
        <v>0.43387671059875982</v>
      </c>
      <c r="S482" s="83"/>
      <c r="T482" s="83"/>
      <c r="U482" s="101">
        <f t="shared" si="58"/>
        <v>2021.2824107652905</v>
      </c>
      <c r="V482" s="59" t="e">
        <f t="shared" si="54"/>
        <v>#DIV/0!</v>
      </c>
      <c r="W482" s="68"/>
      <c r="X482" s="68"/>
      <c r="Y482" s="68"/>
      <c r="Z482" s="68"/>
      <c r="AA482" s="45"/>
    </row>
    <row r="483" spans="2:27" x14ac:dyDescent="0.45">
      <c r="B483" s="45" t="s">
        <v>289</v>
      </c>
      <c r="C483" s="90"/>
      <c r="D483" s="56"/>
      <c r="E483" s="80"/>
      <c r="F483" s="58"/>
      <c r="G483" s="58"/>
      <c r="H483" s="58"/>
      <c r="I483" s="58"/>
      <c r="J483" s="58"/>
      <c r="K483" s="58"/>
      <c r="L483" s="59">
        <f t="shared" si="55"/>
        <v>0</v>
      </c>
      <c r="M483" s="68"/>
      <c r="N483" s="68"/>
      <c r="O483" s="68"/>
      <c r="P483" s="68"/>
      <c r="Q483" s="99" t="e">
        <f t="shared" si="56"/>
        <v>#DIV/0!</v>
      </c>
      <c r="R483" s="100">
        <f t="shared" si="57"/>
        <v>0.43387671059875982</v>
      </c>
      <c r="S483" s="83"/>
      <c r="T483" s="83"/>
      <c r="U483" s="101">
        <f t="shared" si="58"/>
        <v>2021.2824107652905</v>
      </c>
      <c r="V483" s="59" t="e">
        <f t="shared" si="54"/>
        <v>#DIV/0!</v>
      </c>
      <c r="W483" s="68"/>
      <c r="X483" s="68"/>
      <c r="Y483" s="68"/>
      <c r="Z483" s="68"/>
      <c r="AA483" s="45"/>
    </row>
    <row r="484" spans="2:27" x14ac:dyDescent="0.45">
      <c r="B484" s="45" t="s">
        <v>290</v>
      </c>
      <c r="C484" s="90"/>
      <c r="D484" s="56"/>
      <c r="E484" s="84"/>
      <c r="F484" s="58"/>
      <c r="G484" s="58"/>
      <c r="H484" s="58"/>
      <c r="I484" s="58"/>
      <c r="J484" s="58"/>
      <c r="K484" s="58"/>
      <c r="L484" s="59">
        <f t="shared" si="55"/>
        <v>0</v>
      </c>
      <c r="M484" s="68"/>
      <c r="N484" s="68"/>
      <c r="O484" s="68"/>
      <c r="P484" s="68"/>
      <c r="Q484" s="99" t="e">
        <f t="shared" si="56"/>
        <v>#DIV/0!</v>
      </c>
      <c r="R484" s="100">
        <f t="shared" si="57"/>
        <v>0.43387671059875982</v>
      </c>
      <c r="S484" s="83"/>
      <c r="T484" s="83"/>
      <c r="U484" s="101">
        <f t="shared" si="58"/>
        <v>2021.2824107652905</v>
      </c>
      <c r="V484" s="59" t="e">
        <f t="shared" si="54"/>
        <v>#DIV/0!</v>
      </c>
      <c r="W484" s="68"/>
      <c r="X484" s="68"/>
      <c r="Y484" s="68"/>
      <c r="Z484" s="68"/>
      <c r="AA484" s="45"/>
    </row>
    <row r="485" spans="2:27" x14ac:dyDescent="0.45">
      <c r="B485" s="45" t="s">
        <v>291</v>
      </c>
      <c r="C485" s="90"/>
      <c r="D485" s="56"/>
      <c r="E485" s="57"/>
      <c r="F485" s="58"/>
      <c r="G485" s="58"/>
      <c r="H485" s="58"/>
      <c r="I485" s="58"/>
      <c r="J485" s="58"/>
      <c r="K485" s="58"/>
      <c r="L485" s="59">
        <f t="shared" si="55"/>
        <v>0</v>
      </c>
      <c r="M485" s="68"/>
      <c r="N485" s="68"/>
      <c r="O485" s="68"/>
      <c r="P485" s="68"/>
      <c r="Q485" s="99" t="e">
        <f t="shared" si="56"/>
        <v>#DIV/0!</v>
      </c>
      <c r="R485" s="100">
        <f t="shared" si="57"/>
        <v>0.43387671059875982</v>
      </c>
      <c r="S485" s="83"/>
      <c r="T485" s="83"/>
      <c r="U485" s="101">
        <f t="shared" si="58"/>
        <v>2021.2824107652905</v>
      </c>
      <c r="V485" s="59" t="e">
        <f t="shared" si="54"/>
        <v>#DIV/0!</v>
      </c>
      <c r="W485" s="68"/>
      <c r="X485" s="68"/>
      <c r="Y485" s="68"/>
      <c r="Z485" s="68"/>
      <c r="AA485" s="45"/>
    </row>
    <row r="486" spans="2:27" x14ac:dyDescent="0.45">
      <c r="B486" s="45" t="s">
        <v>292</v>
      </c>
      <c r="C486" s="90"/>
      <c r="D486" s="56"/>
      <c r="E486" s="80"/>
      <c r="F486" s="58"/>
      <c r="G486" s="58"/>
      <c r="H486" s="58"/>
      <c r="I486" s="58"/>
      <c r="J486" s="58"/>
      <c r="K486" s="58"/>
      <c r="L486" s="59">
        <f t="shared" si="55"/>
        <v>0</v>
      </c>
      <c r="M486" s="68"/>
      <c r="N486" s="68"/>
      <c r="O486" s="68"/>
      <c r="P486" s="68"/>
      <c r="Q486" s="99" t="e">
        <f t="shared" si="56"/>
        <v>#DIV/0!</v>
      </c>
      <c r="R486" s="100">
        <f t="shared" si="57"/>
        <v>0.43387671059875982</v>
      </c>
      <c r="S486" s="83"/>
      <c r="T486" s="83"/>
      <c r="U486" s="101">
        <f t="shared" si="58"/>
        <v>2021.2824107652905</v>
      </c>
      <c r="V486" s="59" t="e">
        <f t="shared" si="54"/>
        <v>#DIV/0!</v>
      </c>
      <c r="W486" s="68"/>
      <c r="X486" s="68"/>
      <c r="Y486" s="68"/>
      <c r="Z486" s="68"/>
      <c r="AA486" s="45"/>
    </row>
    <row r="487" spans="2:27" x14ac:dyDescent="0.45">
      <c r="B487" s="45" t="s">
        <v>293</v>
      </c>
      <c r="C487" s="90"/>
      <c r="D487" s="56"/>
      <c r="E487" s="84"/>
      <c r="F487" s="58"/>
      <c r="G487" s="58"/>
      <c r="H487" s="58"/>
      <c r="I487" s="58"/>
      <c r="J487" s="58"/>
      <c r="K487" s="58"/>
      <c r="L487" s="59">
        <f t="shared" si="55"/>
        <v>0</v>
      </c>
      <c r="M487" s="68"/>
      <c r="N487" s="68"/>
      <c r="O487" s="68"/>
      <c r="P487" s="68"/>
      <c r="Q487" s="99" t="e">
        <f t="shared" si="56"/>
        <v>#DIV/0!</v>
      </c>
      <c r="R487" s="100">
        <f t="shared" si="57"/>
        <v>0.43387671059875982</v>
      </c>
      <c r="S487" s="83"/>
      <c r="T487" s="83"/>
      <c r="U487" s="101">
        <f t="shared" si="58"/>
        <v>2021.2824107652905</v>
      </c>
      <c r="V487" s="59" t="e">
        <f t="shared" si="54"/>
        <v>#DIV/0!</v>
      </c>
      <c r="W487" s="68"/>
      <c r="X487" s="68"/>
      <c r="Y487" s="68"/>
      <c r="Z487" s="68"/>
      <c r="AA487" s="45"/>
    </row>
    <row r="488" spans="2:27" x14ac:dyDescent="0.45">
      <c r="B488" s="45" t="s">
        <v>294</v>
      </c>
      <c r="C488" s="90"/>
      <c r="D488" s="56"/>
      <c r="E488" s="57"/>
      <c r="F488" s="58"/>
      <c r="G488" s="58"/>
      <c r="H488" s="58"/>
      <c r="I488" s="58"/>
      <c r="J488" s="58"/>
      <c r="K488" s="58"/>
      <c r="L488" s="59">
        <f t="shared" si="55"/>
        <v>0</v>
      </c>
      <c r="M488" s="68"/>
      <c r="N488" s="68"/>
      <c r="O488" s="68"/>
      <c r="P488" s="68"/>
      <c r="Q488" s="99" t="e">
        <f t="shared" si="56"/>
        <v>#DIV/0!</v>
      </c>
      <c r="R488" s="100">
        <f t="shared" si="57"/>
        <v>0.43387671059875982</v>
      </c>
      <c r="S488" s="83"/>
      <c r="T488" s="83"/>
      <c r="U488" s="101">
        <f t="shared" si="58"/>
        <v>2021.2824107652905</v>
      </c>
      <c r="V488" s="59" t="e">
        <f t="shared" si="54"/>
        <v>#DIV/0!</v>
      </c>
      <c r="W488" s="68"/>
      <c r="X488" s="68"/>
      <c r="Y488" s="68"/>
      <c r="Z488" s="68"/>
      <c r="AA488" s="45"/>
    </row>
    <row r="489" spans="2:27" x14ac:dyDescent="0.45">
      <c r="B489" s="45" t="s">
        <v>295</v>
      </c>
      <c r="C489" s="90"/>
      <c r="D489" s="56"/>
      <c r="E489" s="80"/>
      <c r="F489" s="58"/>
      <c r="G489" s="58"/>
      <c r="H489" s="58"/>
      <c r="I489" s="58"/>
      <c r="J489" s="58"/>
      <c r="K489" s="58"/>
      <c r="L489" s="59">
        <f t="shared" si="55"/>
        <v>0</v>
      </c>
      <c r="M489" s="68"/>
      <c r="N489" s="68"/>
      <c r="O489" s="68"/>
      <c r="P489" s="68"/>
      <c r="Q489" s="99" t="e">
        <f t="shared" si="56"/>
        <v>#DIV/0!</v>
      </c>
      <c r="R489" s="100">
        <f t="shared" si="57"/>
        <v>0.43387671059875982</v>
      </c>
      <c r="S489" s="83"/>
      <c r="T489" s="83"/>
      <c r="U489" s="101">
        <f t="shared" si="58"/>
        <v>2021.2824107652905</v>
      </c>
      <c r="V489" s="59" t="e">
        <f t="shared" si="54"/>
        <v>#DIV/0!</v>
      </c>
      <c r="W489" s="68"/>
      <c r="X489" s="68"/>
      <c r="Y489" s="68"/>
      <c r="Z489" s="68"/>
      <c r="AA489" s="45"/>
    </row>
    <row r="490" spans="2:27" x14ac:dyDescent="0.45">
      <c r="B490" s="45" t="s">
        <v>296</v>
      </c>
      <c r="C490" s="90"/>
      <c r="D490" s="56"/>
      <c r="E490" s="84"/>
      <c r="F490" s="58"/>
      <c r="G490" s="58"/>
      <c r="H490" s="58"/>
      <c r="I490" s="58"/>
      <c r="J490" s="58"/>
      <c r="K490" s="58"/>
      <c r="L490" s="59">
        <f t="shared" si="55"/>
        <v>0</v>
      </c>
      <c r="M490" s="68"/>
      <c r="N490" s="68"/>
      <c r="O490" s="68"/>
      <c r="P490" s="68"/>
      <c r="Q490" s="99" t="e">
        <f t="shared" si="56"/>
        <v>#DIV/0!</v>
      </c>
      <c r="R490" s="100">
        <f t="shared" si="57"/>
        <v>0.43387671059875982</v>
      </c>
      <c r="S490" s="83"/>
      <c r="T490" s="83"/>
      <c r="U490" s="101">
        <f t="shared" si="58"/>
        <v>2021.2824107652905</v>
      </c>
      <c r="V490" s="59" t="e">
        <f t="shared" si="54"/>
        <v>#DIV/0!</v>
      </c>
      <c r="W490" s="68"/>
      <c r="X490" s="68"/>
      <c r="Y490" s="68"/>
      <c r="Z490" s="68"/>
      <c r="AA490" s="45"/>
    </row>
    <row r="491" spans="2:27" x14ac:dyDescent="0.45">
      <c r="B491" s="45" t="s">
        <v>297</v>
      </c>
      <c r="C491" s="90"/>
      <c r="D491" s="56"/>
      <c r="E491" s="57"/>
      <c r="F491" s="58"/>
      <c r="G491" s="58"/>
      <c r="H491" s="58"/>
      <c r="I491" s="58"/>
      <c r="J491" s="58"/>
      <c r="K491" s="58"/>
      <c r="L491" s="59">
        <f t="shared" si="55"/>
        <v>0</v>
      </c>
      <c r="M491" s="68"/>
      <c r="N491" s="68"/>
      <c r="O491" s="68"/>
      <c r="P491" s="68"/>
      <c r="Q491" s="99" t="e">
        <f t="shared" si="56"/>
        <v>#DIV/0!</v>
      </c>
      <c r="R491" s="100">
        <f t="shared" si="57"/>
        <v>0.43387671059875982</v>
      </c>
      <c r="S491" s="83"/>
      <c r="T491" s="83"/>
      <c r="U491" s="101">
        <f t="shared" si="58"/>
        <v>2021.2824107652905</v>
      </c>
      <c r="V491" s="59" t="e">
        <f t="shared" si="54"/>
        <v>#DIV/0!</v>
      </c>
      <c r="W491" s="68"/>
      <c r="X491" s="68"/>
      <c r="Y491" s="68"/>
      <c r="Z491" s="68"/>
      <c r="AA491" s="45"/>
    </row>
    <row r="492" spans="2:27" x14ac:dyDescent="0.45">
      <c r="B492" s="45" t="s">
        <v>298</v>
      </c>
      <c r="C492" s="90"/>
      <c r="D492" s="56"/>
      <c r="E492" s="80"/>
      <c r="F492" s="58"/>
      <c r="G492" s="58"/>
      <c r="H492" s="58"/>
      <c r="I492" s="58"/>
      <c r="J492" s="58"/>
      <c r="K492" s="58"/>
      <c r="L492" s="59">
        <f t="shared" si="55"/>
        <v>0</v>
      </c>
      <c r="M492" s="68"/>
      <c r="N492" s="68"/>
      <c r="O492" s="68"/>
      <c r="P492" s="68"/>
      <c r="Q492" s="99" t="e">
        <f t="shared" si="56"/>
        <v>#DIV/0!</v>
      </c>
      <c r="R492" s="100">
        <f t="shared" si="57"/>
        <v>0.43387671059875982</v>
      </c>
      <c r="S492" s="83"/>
      <c r="T492" s="83"/>
      <c r="U492" s="101">
        <f t="shared" si="58"/>
        <v>2021.2824107652905</v>
      </c>
      <c r="V492" s="59" t="e">
        <f t="shared" si="54"/>
        <v>#DIV/0!</v>
      </c>
      <c r="W492" s="68"/>
      <c r="X492" s="68"/>
      <c r="Y492" s="68"/>
      <c r="Z492" s="68"/>
      <c r="AA492" s="45"/>
    </row>
    <row r="493" spans="2:27" x14ac:dyDescent="0.45">
      <c r="B493" s="45" t="s">
        <v>299</v>
      </c>
      <c r="C493" s="90"/>
      <c r="D493" s="56"/>
      <c r="E493" s="84"/>
      <c r="F493" s="58"/>
      <c r="G493" s="58"/>
      <c r="H493" s="58"/>
      <c r="I493" s="58"/>
      <c r="J493" s="58"/>
      <c r="K493" s="58"/>
      <c r="L493" s="59">
        <f t="shared" si="55"/>
        <v>0</v>
      </c>
      <c r="M493" s="68"/>
      <c r="N493" s="68"/>
      <c r="O493" s="68"/>
      <c r="P493" s="68"/>
      <c r="Q493" s="99" t="e">
        <f t="shared" si="56"/>
        <v>#DIV/0!</v>
      </c>
      <c r="R493" s="100">
        <f t="shared" si="57"/>
        <v>0.43387671059875982</v>
      </c>
      <c r="S493" s="83"/>
      <c r="T493" s="83"/>
      <c r="U493" s="101">
        <f t="shared" si="58"/>
        <v>2021.2824107652905</v>
      </c>
      <c r="V493" s="59" t="e">
        <f t="shared" si="54"/>
        <v>#DIV/0!</v>
      </c>
      <c r="W493" s="68"/>
      <c r="X493" s="68"/>
      <c r="Y493" s="68"/>
      <c r="Z493" s="68"/>
      <c r="AA493" s="45"/>
    </row>
    <row r="494" spans="2:27" x14ac:dyDescent="0.45">
      <c r="B494" s="45" t="s">
        <v>300</v>
      </c>
      <c r="C494" s="90"/>
      <c r="D494" s="56"/>
      <c r="E494" s="57"/>
      <c r="F494" s="58"/>
      <c r="G494" s="58"/>
      <c r="H494" s="58"/>
      <c r="I494" s="58"/>
      <c r="J494" s="58"/>
      <c r="K494" s="58"/>
      <c r="L494" s="59">
        <f t="shared" si="55"/>
        <v>0</v>
      </c>
      <c r="M494" s="68"/>
      <c r="N494" s="68"/>
      <c r="O494" s="68"/>
      <c r="P494" s="68"/>
      <c r="Q494" s="99" t="e">
        <f t="shared" si="56"/>
        <v>#DIV/0!</v>
      </c>
      <c r="R494" s="100">
        <f t="shared" si="57"/>
        <v>0.43387671059875982</v>
      </c>
      <c r="S494" s="83"/>
      <c r="T494" s="83"/>
      <c r="U494" s="101">
        <f t="shared" si="58"/>
        <v>2021.2824107652905</v>
      </c>
      <c r="V494" s="59" t="e">
        <f t="shared" si="54"/>
        <v>#DIV/0!</v>
      </c>
      <c r="W494" s="68"/>
      <c r="X494" s="68"/>
      <c r="Y494" s="68"/>
      <c r="Z494" s="68"/>
      <c r="AA494" s="45"/>
    </row>
    <row r="495" spans="2:27" x14ac:dyDescent="0.45">
      <c r="B495" s="45" t="s">
        <v>301</v>
      </c>
      <c r="C495" s="90"/>
      <c r="D495" s="56"/>
      <c r="E495" s="80"/>
      <c r="F495" s="58"/>
      <c r="G495" s="58"/>
      <c r="H495" s="58"/>
      <c r="I495" s="58"/>
      <c r="J495" s="58"/>
      <c r="K495" s="58"/>
      <c r="L495" s="59">
        <f t="shared" si="55"/>
        <v>0</v>
      </c>
      <c r="M495" s="68"/>
      <c r="N495" s="68"/>
      <c r="O495" s="68"/>
      <c r="P495" s="68"/>
      <c r="Q495" s="99" t="e">
        <f t="shared" si="56"/>
        <v>#DIV/0!</v>
      </c>
      <c r="R495" s="100">
        <f t="shared" si="57"/>
        <v>0.43387671059875982</v>
      </c>
      <c r="S495" s="83"/>
      <c r="T495" s="83"/>
      <c r="U495" s="101">
        <f t="shared" si="58"/>
        <v>2021.2824107652905</v>
      </c>
      <c r="V495" s="59" t="e">
        <f t="shared" si="54"/>
        <v>#DIV/0!</v>
      </c>
      <c r="W495" s="68"/>
      <c r="X495" s="68"/>
      <c r="Y495" s="68"/>
      <c r="Z495" s="68"/>
      <c r="AA495" s="45"/>
    </row>
    <row r="496" spans="2:27" x14ac:dyDescent="0.45">
      <c r="B496" s="45" t="s">
        <v>302</v>
      </c>
      <c r="C496" s="90"/>
      <c r="D496" s="56"/>
      <c r="E496" s="84"/>
      <c r="F496" s="58"/>
      <c r="G496" s="58"/>
      <c r="H496" s="58"/>
      <c r="I496" s="58"/>
      <c r="J496" s="58"/>
      <c r="K496" s="58"/>
      <c r="L496" s="59">
        <f t="shared" si="55"/>
        <v>0</v>
      </c>
      <c r="M496" s="68"/>
      <c r="N496" s="68"/>
      <c r="O496" s="68"/>
      <c r="P496" s="68"/>
      <c r="Q496" s="99" t="e">
        <f t="shared" si="56"/>
        <v>#DIV/0!</v>
      </c>
      <c r="R496" s="100">
        <f t="shared" si="57"/>
        <v>0.43387671059875982</v>
      </c>
      <c r="S496" s="83"/>
      <c r="T496" s="83"/>
      <c r="U496" s="101">
        <f t="shared" si="58"/>
        <v>2021.2824107652905</v>
      </c>
      <c r="V496" s="59" t="e">
        <f t="shared" si="54"/>
        <v>#DIV/0!</v>
      </c>
      <c r="W496" s="68"/>
      <c r="X496" s="68"/>
      <c r="Y496" s="68"/>
      <c r="Z496" s="68"/>
      <c r="AA496" s="45"/>
    </row>
    <row r="497" spans="2:27" x14ac:dyDescent="0.45">
      <c r="B497" s="45" t="s">
        <v>303</v>
      </c>
      <c r="C497" s="90"/>
      <c r="D497" s="56"/>
      <c r="E497" s="57"/>
      <c r="F497" s="58"/>
      <c r="G497" s="58"/>
      <c r="H497" s="58"/>
      <c r="I497" s="58"/>
      <c r="J497" s="58"/>
      <c r="K497" s="58"/>
      <c r="L497" s="59">
        <f t="shared" si="55"/>
        <v>0</v>
      </c>
      <c r="M497" s="68"/>
      <c r="N497" s="68"/>
      <c r="O497" s="68"/>
      <c r="P497" s="68"/>
      <c r="Q497" s="99" t="e">
        <f t="shared" si="56"/>
        <v>#DIV/0!</v>
      </c>
      <c r="R497" s="100">
        <f t="shared" si="57"/>
        <v>0.43387671059875982</v>
      </c>
      <c r="S497" s="83"/>
      <c r="T497" s="83"/>
      <c r="U497" s="101">
        <f t="shared" si="58"/>
        <v>2021.2824107652905</v>
      </c>
      <c r="V497" s="59" t="e">
        <f t="shared" si="54"/>
        <v>#DIV/0!</v>
      </c>
      <c r="W497" s="68"/>
      <c r="X497" s="68"/>
      <c r="Y497" s="68"/>
      <c r="Z497" s="68"/>
      <c r="AA497" s="45"/>
    </row>
    <row r="498" spans="2:27" x14ac:dyDescent="0.45">
      <c r="B498" s="45" t="s">
        <v>304</v>
      </c>
      <c r="C498" s="90"/>
      <c r="D498" s="56"/>
      <c r="E498" s="80"/>
      <c r="F498" s="58"/>
      <c r="G498" s="58"/>
      <c r="H498" s="58"/>
      <c r="I498" s="58"/>
      <c r="J498" s="58"/>
      <c r="K498" s="58"/>
      <c r="L498" s="59">
        <f t="shared" si="55"/>
        <v>0</v>
      </c>
      <c r="M498" s="68"/>
      <c r="N498" s="68"/>
      <c r="O498" s="68"/>
      <c r="P498" s="68"/>
      <c r="Q498" s="99" t="e">
        <f t="shared" si="56"/>
        <v>#DIV/0!</v>
      </c>
      <c r="R498" s="100">
        <f t="shared" si="57"/>
        <v>0.43387671059875982</v>
      </c>
      <c r="S498" s="83"/>
      <c r="T498" s="83"/>
      <c r="U498" s="101">
        <f t="shared" si="58"/>
        <v>2021.2824107652905</v>
      </c>
      <c r="V498" s="59" t="e">
        <f t="shared" si="54"/>
        <v>#DIV/0!</v>
      </c>
      <c r="W498" s="68"/>
      <c r="X498" s="68"/>
      <c r="Y498" s="68"/>
      <c r="Z498" s="68"/>
      <c r="AA498" s="45"/>
    </row>
    <row r="499" spans="2:27" x14ac:dyDescent="0.45">
      <c r="B499" s="45" t="s">
        <v>305</v>
      </c>
      <c r="C499" s="90"/>
      <c r="D499" s="56"/>
      <c r="E499" s="84"/>
      <c r="F499" s="58"/>
      <c r="G499" s="58"/>
      <c r="H499" s="58"/>
      <c r="I499" s="58"/>
      <c r="J499" s="58"/>
      <c r="K499" s="58"/>
      <c r="L499" s="59">
        <f t="shared" si="55"/>
        <v>0</v>
      </c>
      <c r="M499" s="68"/>
      <c r="N499" s="68"/>
      <c r="O499" s="68"/>
      <c r="P499" s="68"/>
      <c r="Q499" s="99" t="e">
        <f t="shared" si="56"/>
        <v>#DIV/0!</v>
      </c>
      <c r="R499" s="100">
        <f t="shared" si="57"/>
        <v>0.43387671059875982</v>
      </c>
      <c r="S499" s="83"/>
      <c r="T499" s="83"/>
      <c r="U499" s="101">
        <f t="shared" si="58"/>
        <v>2021.2824107652905</v>
      </c>
      <c r="V499" s="59" t="e">
        <f t="shared" si="54"/>
        <v>#DIV/0!</v>
      </c>
      <c r="W499" s="68"/>
      <c r="X499" s="68"/>
      <c r="Y499" s="68"/>
      <c r="Z499" s="68"/>
      <c r="AA499" s="45"/>
    </row>
    <row r="500" spans="2:27" x14ac:dyDescent="0.45">
      <c r="B500" s="45" t="s">
        <v>306</v>
      </c>
      <c r="C500" s="90"/>
      <c r="D500" s="56"/>
      <c r="E500" s="57"/>
      <c r="F500" s="58"/>
      <c r="G500" s="58"/>
      <c r="H500" s="58"/>
      <c r="I500" s="58"/>
      <c r="J500" s="58"/>
      <c r="K500" s="58"/>
      <c r="L500" s="59">
        <f t="shared" si="55"/>
        <v>0</v>
      </c>
      <c r="M500" s="68"/>
      <c r="N500" s="68"/>
      <c r="O500" s="68"/>
      <c r="P500" s="68"/>
      <c r="Q500" s="99" t="e">
        <f t="shared" si="56"/>
        <v>#DIV/0!</v>
      </c>
      <c r="R500" s="100">
        <f t="shared" si="57"/>
        <v>0.43387671059875982</v>
      </c>
      <c r="S500" s="83"/>
      <c r="T500" s="83"/>
      <c r="U500" s="101">
        <f t="shared" si="58"/>
        <v>2021.2824107652905</v>
      </c>
      <c r="V500" s="59" t="e">
        <f t="shared" si="54"/>
        <v>#DIV/0!</v>
      </c>
      <c r="W500" s="68"/>
      <c r="X500" s="68"/>
      <c r="Y500" s="68"/>
      <c r="Z500" s="68"/>
      <c r="AA500" s="45"/>
    </row>
    <row r="501" spans="2:27" x14ac:dyDescent="0.45">
      <c r="B501" s="45" t="s">
        <v>307</v>
      </c>
      <c r="C501" s="90"/>
      <c r="D501" s="56"/>
      <c r="E501" s="80"/>
      <c r="F501" s="58"/>
      <c r="G501" s="58"/>
      <c r="H501" s="58"/>
      <c r="I501" s="58"/>
      <c r="J501" s="58"/>
      <c r="K501" s="58"/>
      <c r="L501" s="59">
        <f t="shared" si="55"/>
        <v>0</v>
      </c>
      <c r="M501" s="68"/>
      <c r="N501" s="68"/>
      <c r="O501" s="68"/>
      <c r="P501" s="68"/>
      <c r="Q501" s="99" t="e">
        <f t="shared" si="56"/>
        <v>#DIV/0!</v>
      </c>
      <c r="R501" s="100">
        <f t="shared" si="57"/>
        <v>0.43387671059875982</v>
      </c>
      <c r="S501" s="83"/>
      <c r="T501" s="83"/>
      <c r="U501" s="101">
        <f t="shared" si="58"/>
        <v>2021.2824107652905</v>
      </c>
      <c r="V501" s="59" t="e">
        <f t="shared" si="54"/>
        <v>#DIV/0!</v>
      </c>
      <c r="W501" s="68"/>
      <c r="X501" s="68"/>
      <c r="Y501" s="68"/>
      <c r="Z501" s="68"/>
      <c r="AA501" s="45"/>
    </row>
    <row r="502" spans="2:27" x14ac:dyDescent="0.45">
      <c r="B502" s="45" t="s">
        <v>308</v>
      </c>
      <c r="C502" s="90"/>
      <c r="D502" s="56"/>
      <c r="E502" s="84"/>
      <c r="F502" s="58"/>
      <c r="G502" s="58"/>
      <c r="H502" s="58"/>
      <c r="I502" s="58"/>
      <c r="J502" s="58"/>
      <c r="K502" s="58"/>
      <c r="L502" s="59">
        <f t="shared" si="55"/>
        <v>0</v>
      </c>
      <c r="M502" s="68"/>
      <c r="N502" s="68"/>
      <c r="O502" s="68"/>
      <c r="P502" s="68"/>
      <c r="Q502" s="99" t="e">
        <f t="shared" si="56"/>
        <v>#DIV/0!</v>
      </c>
      <c r="R502" s="100">
        <f t="shared" si="57"/>
        <v>0.43387671059875982</v>
      </c>
      <c r="S502" s="83"/>
      <c r="T502" s="83"/>
      <c r="U502" s="101">
        <f t="shared" si="58"/>
        <v>2021.2824107652905</v>
      </c>
      <c r="V502" s="59" t="e">
        <f t="shared" si="54"/>
        <v>#DIV/0!</v>
      </c>
      <c r="W502" s="68"/>
      <c r="X502" s="68"/>
      <c r="Y502" s="68"/>
      <c r="Z502" s="68"/>
      <c r="AA502" s="45"/>
    </row>
    <row r="503" spans="2:27" x14ac:dyDescent="0.45">
      <c r="B503" s="45" t="s">
        <v>309</v>
      </c>
      <c r="C503" s="90"/>
      <c r="D503" s="56"/>
      <c r="E503" s="57"/>
      <c r="F503" s="58"/>
      <c r="G503" s="58"/>
      <c r="H503" s="58"/>
      <c r="I503" s="58"/>
      <c r="J503" s="58"/>
      <c r="K503" s="58"/>
      <c r="L503" s="59">
        <f t="shared" si="55"/>
        <v>0</v>
      </c>
      <c r="M503" s="68"/>
      <c r="N503" s="68"/>
      <c r="O503" s="68"/>
      <c r="P503" s="68"/>
      <c r="Q503" s="99" t="e">
        <f t="shared" si="56"/>
        <v>#DIV/0!</v>
      </c>
      <c r="R503" s="100">
        <f t="shared" si="57"/>
        <v>0.43387671059875982</v>
      </c>
      <c r="S503" s="83"/>
      <c r="T503" s="83"/>
      <c r="U503" s="101">
        <f t="shared" si="58"/>
        <v>2021.2824107652905</v>
      </c>
      <c r="V503" s="59" t="e">
        <f t="shared" si="54"/>
        <v>#DIV/0!</v>
      </c>
      <c r="W503" s="68"/>
      <c r="X503" s="68"/>
      <c r="Y503" s="68"/>
      <c r="Z503" s="68"/>
      <c r="AA503" s="45"/>
    </row>
    <row r="504" spans="2:27" x14ac:dyDescent="0.45">
      <c r="B504" s="45" t="s">
        <v>310</v>
      </c>
      <c r="C504" s="90"/>
      <c r="D504" s="56"/>
      <c r="E504" s="80"/>
      <c r="F504" s="58"/>
      <c r="G504" s="58"/>
      <c r="H504" s="58"/>
      <c r="I504" s="58"/>
      <c r="J504" s="58"/>
      <c r="K504" s="58"/>
      <c r="L504" s="59">
        <f t="shared" si="55"/>
        <v>0</v>
      </c>
      <c r="M504" s="68"/>
      <c r="N504" s="68"/>
      <c r="O504" s="68"/>
      <c r="P504" s="68"/>
      <c r="Q504" s="99" t="e">
        <f t="shared" si="56"/>
        <v>#DIV/0!</v>
      </c>
      <c r="R504" s="100">
        <f t="shared" si="57"/>
        <v>0.43387671059875982</v>
      </c>
      <c r="S504" s="83"/>
      <c r="T504" s="83"/>
      <c r="U504" s="101">
        <f t="shared" si="58"/>
        <v>2021.2824107652905</v>
      </c>
      <c r="V504" s="59" t="e">
        <f t="shared" si="54"/>
        <v>#DIV/0!</v>
      </c>
      <c r="W504" s="68"/>
      <c r="X504" s="68"/>
      <c r="Y504" s="68"/>
      <c r="Z504" s="68"/>
      <c r="AA504" s="45"/>
    </row>
    <row r="505" spans="2:27" x14ac:dyDescent="0.45">
      <c r="B505" s="45" t="s">
        <v>311</v>
      </c>
      <c r="C505" s="90"/>
      <c r="D505" s="56"/>
      <c r="E505" s="84"/>
      <c r="F505" s="58"/>
      <c r="G505" s="58"/>
      <c r="H505" s="58"/>
      <c r="I505" s="58"/>
      <c r="J505" s="58"/>
      <c r="K505" s="58"/>
      <c r="L505" s="59">
        <f t="shared" si="55"/>
        <v>0</v>
      </c>
      <c r="M505" s="68"/>
      <c r="N505" s="68"/>
      <c r="O505" s="68"/>
      <c r="P505" s="68"/>
      <c r="Q505" s="99" t="e">
        <f t="shared" si="56"/>
        <v>#DIV/0!</v>
      </c>
      <c r="R505" s="100">
        <f t="shared" si="57"/>
        <v>0.43387671059875982</v>
      </c>
      <c r="S505" s="83"/>
      <c r="T505" s="83"/>
      <c r="U505" s="101">
        <f t="shared" si="58"/>
        <v>2021.2824107652905</v>
      </c>
      <c r="V505" s="59" t="e">
        <f t="shared" si="54"/>
        <v>#DIV/0!</v>
      </c>
      <c r="W505" s="68"/>
      <c r="X505" s="68"/>
      <c r="Y505" s="68"/>
      <c r="Z505" s="68"/>
      <c r="AA505" s="45"/>
    </row>
    <row r="506" spans="2:27" x14ac:dyDescent="0.45">
      <c r="B506" s="45" t="s">
        <v>312</v>
      </c>
      <c r="C506" s="90"/>
      <c r="D506" s="56"/>
      <c r="E506" s="57"/>
      <c r="F506" s="58"/>
      <c r="G506" s="58"/>
      <c r="H506" s="58"/>
      <c r="I506" s="58"/>
      <c r="J506" s="58"/>
      <c r="K506" s="58"/>
      <c r="L506" s="59">
        <f t="shared" si="55"/>
        <v>0</v>
      </c>
      <c r="M506" s="68"/>
      <c r="N506" s="68"/>
      <c r="O506" s="68"/>
      <c r="P506" s="68"/>
      <c r="Q506" s="99" t="e">
        <f t="shared" si="56"/>
        <v>#DIV/0!</v>
      </c>
      <c r="R506" s="100">
        <f t="shared" si="57"/>
        <v>0.43387671059875982</v>
      </c>
      <c r="S506" s="83"/>
      <c r="T506" s="83"/>
      <c r="U506" s="101">
        <f t="shared" si="58"/>
        <v>2021.2824107652905</v>
      </c>
      <c r="V506" s="59" t="e">
        <f t="shared" si="54"/>
        <v>#DIV/0!</v>
      </c>
      <c r="W506" s="68"/>
      <c r="X506" s="68"/>
      <c r="Y506" s="68"/>
      <c r="Z506" s="68"/>
      <c r="AA506" s="45"/>
    </row>
    <row r="507" spans="2:27" x14ac:dyDescent="0.45">
      <c r="B507" s="45" t="s">
        <v>313</v>
      </c>
      <c r="C507" s="90"/>
      <c r="D507" s="56"/>
      <c r="E507" s="80"/>
      <c r="F507" s="58"/>
      <c r="G507" s="58"/>
      <c r="H507" s="58"/>
      <c r="I507" s="58"/>
      <c r="J507" s="58"/>
      <c r="K507" s="58"/>
      <c r="L507" s="59">
        <f t="shared" si="55"/>
        <v>0</v>
      </c>
      <c r="M507" s="68"/>
      <c r="N507" s="68"/>
      <c r="O507" s="68"/>
      <c r="P507" s="68"/>
      <c r="Q507" s="99" t="e">
        <f t="shared" si="56"/>
        <v>#DIV/0!</v>
      </c>
      <c r="R507" s="100">
        <f t="shared" si="57"/>
        <v>0.43387671059875982</v>
      </c>
      <c r="S507" s="83"/>
      <c r="T507" s="83"/>
      <c r="U507" s="101">
        <f t="shared" si="58"/>
        <v>2021.2824107652905</v>
      </c>
      <c r="V507" s="59" t="e">
        <f t="shared" si="54"/>
        <v>#DIV/0!</v>
      </c>
      <c r="W507" s="68"/>
      <c r="X507" s="68"/>
      <c r="Y507" s="68"/>
      <c r="Z507" s="68"/>
      <c r="AA507" s="45"/>
    </row>
    <row r="508" spans="2:27" x14ac:dyDescent="0.45">
      <c r="B508" s="45" t="s">
        <v>314</v>
      </c>
      <c r="C508" s="90"/>
      <c r="D508" s="56"/>
      <c r="E508" s="84"/>
      <c r="F508" s="58"/>
      <c r="G508" s="58"/>
      <c r="H508" s="58"/>
      <c r="I508" s="58"/>
      <c r="J508" s="58"/>
      <c r="K508" s="58"/>
      <c r="L508" s="59">
        <f t="shared" si="55"/>
        <v>0</v>
      </c>
      <c r="M508" s="68"/>
      <c r="N508" s="68"/>
      <c r="O508" s="68"/>
      <c r="P508" s="68"/>
      <c r="Q508" s="99" t="e">
        <f t="shared" si="56"/>
        <v>#DIV/0!</v>
      </c>
      <c r="R508" s="100">
        <f t="shared" si="57"/>
        <v>0.43387671059875982</v>
      </c>
      <c r="S508" s="83"/>
      <c r="T508" s="83"/>
      <c r="U508" s="101">
        <f t="shared" si="58"/>
        <v>2021.2824107652905</v>
      </c>
      <c r="V508" s="59" t="e">
        <f t="shared" si="54"/>
        <v>#DIV/0!</v>
      </c>
      <c r="W508" s="68"/>
      <c r="X508" s="68"/>
      <c r="Y508" s="68"/>
      <c r="Z508" s="68"/>
      <c r="AA508" s="45"/>
    </row>
    <row r="509" spans="2:27" x14ac:dyDescent="0.45">
      <c r="B509" s="45" t="s">
        <v>315</v>
      </c>
      <c r="C509" s="90"/>
      <c r="D509" s="56"/>
      <c r="E509" s="57"/>
      <c r="F509" s="58"/>
      <c r="G509" s="58"/>
      <c r="H509" s="58"/>
      <c r="I509" s="58"/>
      <c r="J509" s="58"/>
      <c r="K509" s="58"/>
      <c r="L509" s="59">
        <f t="shared" si="55"/>
        <v>0</v>
      </c>
      <c r="M509" s="68"/>
      <c r="N509" s="68"/>
      <c r="O509" s="68"/>
      <c r="P509" s="68"/>
      <c r="Q509" s="99" t="e">
        <f t="shared" si="56"/>
        <v>#DIV/0!</v>
      </c>
      <c r="R509" s="100">
        <f t="shared" si="57"/>
        <v>0.43387671059875982</v>
      </c>
      <c r="S509" s="83"/>
      <c r="T509" s="83"/>
      <c r="U509" s="101">
        <f t="shared" si="58"/>
        <v>2021.2824107652905</v>
      </c>
      <c r="V509" s="59" t="e">
        <f t="shared" si="54"/>
        <v>#DIV/0!</v>
      </c>
      <c r="W509" s="68"/>
      <c r="X509" s="68"/>
      <c r="Y509" s="68"/>
      <c r="Z509" s="68"/>
      <c r="AA509" s="45"/>
    </row>
    <row r="510" spans="2:27" x14ac:dyDescent="0.45">
      <c r="B510" s="45" t="s">
        <v>316</v>
      </c>
      <c r="C510" s="90"/>
      <c r="D510" s="56"/>
      <c r="E510" s="80"/>
      <c r="F510" s="58"/>
      <c r="G510" s="58"/>
      <c r="H510" s="58"/>
      <c r="I510" s="58"/>
      <c r="J510" s="58"/>
      <c r="K510" s="58"/>
      <c r="L510" s="59">
        <f t="shared" si="55"/>
        <v>0</v>
      </c>
      <c r="M510" s="68"/>
      <c r="N510" s="68"/>
      <c r="O510" s="68"/>
      <c r="P510" s="68"/>
      <c r="Q510" s="99" t="e">
        <f t="shared" si="56"/>
        <v>#DIV/0!</v>
      </c>
      <c r="R510" s="100">
        <f t="shared" si="57"/>
        <v>0.43387671059875982</v>
      </c>
      <c r="S510" s="83"/>
      <c r="T510" s="83"/>
      <c r="U510" s="101">
        <f t="shared" si="58"/>
        <v>2021.2824107652905</v>
      </c>
      <c r="V510" s="59" t="e">
        <f t="shared" si="54"/>
        <v>#DIV/0!</v>
      </c>
      <c r="W510" s="68"/>
      <c r="X510" s="68"/>
      <c r="Y510" s="68"/>
      <c r="Z510" s="68"/>
      <c r="AA510" s="45"/>
    </row>
    <row r="511" spans="2:27" x14ac:dyDescent="0.45">
      <c r="B511" s="45" t="s">
        <v>317</v>
      </c>
      <c r="C511" s="90"/>
      <c r="D511" s="56"/>
      <c r="E511" s="84"/>
      <c r="F511" s="58"/>
      <c r="G511" s="58"/>
      <c r="H511" s="58"/>
      <c r="I511" s="58"/>
      <c r="J511" s="58"/>
      <c r="K511" s="58"/>
      <c r="L511" s="59">
        <f t="shared" si="55"/>
        <v>0</v>
      </c>
      <c r="M511" s="68"/>
      <c r="N511" s="68"/>
      <c r="O511" s="68"/>
      <c r="P511" s="68"/>
      <c r="Q511" s="99" t="e">
        <f t="shared" si="56"/>
        <v>#DIV/0!</v>
      </c>
      <c r="R511" s="100">
        <f t="shared" si="57"/>
        <v>0.43387671059875982</v>
      </c>
      <c r="S511" s="83"/>
      <c r="T511" s="83"/>
      <c r="U511" s="101">
        <f t="shared" si="58"/>
        <v>2021.2824107652905</v>
      </c>
      <c r="V511" s="59" t="e">
        <f t="shared" si="54"/>
        <v>#DIV/0!</v>
      </c>
      <c r="W511" s="68"/>
      <c r="X511" s="68"/>
      <c r="Y511" s="68"/>
      <c r="Z511" s="68"/>
      <c r="AA511" s="45"/>
    </row>
    <row r="512" spans="2:27" x14ac:dyDescent="0.45">
      <c r="B512" s="45" t="s">
        <v>318</v>
      </c>
      <c r="C512" s="90"/>
      <c r="D512" s="56"/>
      <c r="E512" s="57"/>
      <c r="F512" s="58"/>
      <c r="G512" s="58"/>
      <c r="H512" s="58"/>
      <c r="I512" s="58"/>
      <c r="J512" s="58"/>
      <c r="K512" s="58"/>
      <c r="L512" s="59">
        <f t="shared" si="55"/>
        <v>0</v>
      </c>
      <c r="M512" s="68"/>
      <c r="N512" s="68"/>
      <c r="O512" s="68"/>
      <c r="P512" s="68"/>
      <c r="Q512" s="99" t="e">
        <f t="shared" si="56"/>
        <v>#DIV/0!</v>
      </c>
      <c r="R512" s="100">
        <f t="shared" si="57"/>
        <v>0.43387671059875982</v>
      </c>
      <c r="S512" s="83"/>
      <c r="T512" s="83"/>
      <c r="U512" s="101">
        <f t="shared" si="58"/>
        <v>2021.2824107652905</v>
      </c>
      <c r="V512" s="59" t="e">
        <f t="shared" si="54"/>
        <v>#DIV/0!</v>
      </c>
      <c r="W512" s="68"/>
      <c r="X512" s="68"/>
      <c r="Y512" s="68"/>
      <c r="Z512" s="68"/>
      <c r="AA512" s="45"/>
    </row>
    <row r="513" spans="2:27" x14ac:dyDescent="0.45">
      <c r="B513" s="45" t="s">
        <v>319</v>
      </c>
      <c r="C513" s="90"/>
      <c r="D513" s="56"/>
      <c r="E513" s="80"/>
      <c r="F513" s="58"/>
      <c r="G513" s="58"/>
      <c r="H513" s="58"/>
      <c r="I513" s="58"/>
      <c r="J513" s="58"/>
      <c r="K513" s="58"/>
      <c r="L513" s="59">
        <f t="shared" si="55"/>
        <v>0</v>
      </c>
      <c r="M513" s="68"/>
      <c r="N513" s="68"/>
      <c r="O513" s="68"/>
      <c r="P513" s="68"/>
      <c r="Q513" s="99" t="e">
        <f t="shared" si="56"/>
        <v>#DIV/0!</v>
      </c>
      <c r="R513" s="100">
        <f t="shared" si="57"/>
        <v>0.43387671059875982</v>
      </c>
      <c r="S513" s="83"/>
      <c r="T513" s="83"/>
      <c r="U513" s="101">
        <f t="shared" si="58"/>
        <v>2021.2824107652905</v>
      </c>
      <c r="V513" s="59" t="e">
        <f t="shared" si="54"/>
        <v>#DIV/0!</v>
      </c>
      <c r="W513" s="68"/>
      <c r="X513" s="68"/>
      <c r="Y513" s="68"/>
      <c r="Z513" s="68"/>
      <c r="AA513" s="45"/>
    </row>
    <row r="514" spans="2:27" x14ac:dyDescent="0.45">
      <c r="B514" s="45" t="s">
        <v>320</v>
      </c>
      <c r="C514" s="90"/>
      <c r="D514" s="56"/>
      <c r="E514" s="84"/>
      <c r="F514" s="58"/>
      <c r="G514" s="58"/>
      <c r="H514" s="58"/>
      <c r="I514" s="58"/>
      <c r="J514" s="58"/>
      <c r="K514" s="58"/>
      <c r="L514" s="59">
        <f t="shared" si="55"/>
        <v>0</v>
      </c>
      <c r="M514" s="68"/>
      <c r="N514" s="68"/>
      <c r="O514" s="68"/>
      <c r="P514" s="68"/>
      <c r="Q514" s="99" t="e">
        <f t="shared" si="56"/>
        <v>#DIV/0!</v>
      </c>
      <c r="R514" s="100">
        <f t="shared" si="57"/>
        <v>0.43387671059875982</v>
      </c>
      <c r="S514" s="83"/>
      <c r="T514" s="83"/>
      <c r="U514" s="101">
        <f t="shared" si="58"/>
        <v>2021.2824107652905</v>
      </c>
      <c r="V514" s="59" t="e">
        <f t="shared" si="54"/>
        <v>#DIV/0!</v>
      </c>
      <c r="W514" s="68"/>
      <c r="X514" s="68"/>
      <c r="Y514" s="68"/>
      <c r="Z514" s="68"/>
      <c r="AA514" s="45"/>
    </row>
    <row r="515" spans="2:27" x14ac:dyDescent="0.45">
      <c r="B515" s="45" t="s">
        <v>321</v>
      </c>
      <c r="C515" s="90"/>
      <c r="D515" s="56"/>
      <c r="E515" s="80"/>
      <c r="F515" s="58"/>
      <c r="G515" s="58"/>
      <c r="H515" s="58"/>
      <c r="I515" s="58"/>
      <c r="J515" s="58"/>
      <c r="K515" s="58"/>
      <c r="L515" s="59">
        <f t="shared" si="55"/>
        <v>0</v>
      </c>
      <c r="M515" s="68"/>
      <c r="N515" s="68"/>
      <c r="O515" s="68"/>
      <c r="P515" s="68"/>
      <c r="Q515" s="99" t="e">
        <f t="shared" si="56"/>
        <v>#DIV/0!</v>
      </c>
      <c r="R515" s="100">
        <f t="shared" si="57"/>
        <v>0.43387671059875982</v>
      </c>
      <c r="S515" s="83"/>
      <c r="T515" s="83"/>
      <c r="U515" s="101">
        <f t="shared" si="58"/>
        <v>2021.2824107652905</v>
      </c>
      <c r="V515" s="59" t="e">
        <f t="shared" si="54"/>
        <v>#DIV/0!</v>
      </c>
      <c r="W515" s="68"/>
      <c r="X515" s="68"/>
      <c r="Y515" s="68"/>
      <c r="Z515" s="68"/>
      <c r="AA515" s="45"/>
    </row>
    <row r="516" spans="2:27" x14ac:dyDescent="0.45">
      <c r="B516" s="45" t="s">
        <v>322</v>
      </c>
      <c r="C516" s="90"/>
      <c r="D516" s="56"/>
      <c r="E516" s="84"/>
      <c r="F516" s="58"/>
      <c r="G516" s="58"/>
      <c r="H516" s="58"/>
      <c r="I516" s="58"/>
      <c r="J516" s="58"/>
      <c r="K516" s="58"/>
      <c r="L516" s="59">
        <f t="shared" si="55"/>
        <v>0</v>
      </c>
      <c r="M516" s="68"/>
      <c r="N516" s="68"/>
      <c r="O516" s="68"/>
      <c r="P516" s="68"/>
      <c r="Q516" s="99" t="e">
        <f t="shared" si="56"/>
        <v>#DIV/0!</v>
      </c>
      <c r="R516" s="100">
        <f t="shared" si="57"/>
        <v>0.43387671059875982</v>
      </c>
      <c r="S516" s="83"/>
      <c r="T516" s="83"/>
      <c r="U516" s="101">
        <f t="shared" si="58"/>
        <v>2021.2824107652905</v>
      </c>
      <c r="V516" s="59" t="e">
        <f t="shared" si="54"/>
        <v>#DIV/0!</v>
      </c>
      <c r="W516" s="68"/>
      <c r="X516" s="68"/>
      <c r="Y516" s="68"/>
      <c r="Z516" s="68"/>
      <c r="AA516" s="45"/>
    </row>
    <row r="517" spans="2:27" x14ac:dyDescent="0.45">
      <c r="B517" s="45" t="s">
        <v>323</v>
      </c>
      <c r="C517" s="90"/>
      <c r="D517" s="56"/>
      <c r="E517" s="57"/>
      <c r="F517" s="58"/>
      <c r="G517" s="58"/>
      <c r="H517" s="58"/>
      <c r="I517" s="58"/>
      <c r="J517" s="58"/>
      <c r="K517" s="58"/>
      <c r="L517" s="59">
        <f t="shared" si="55"/>
        <v>0</v>
      </c>
      <c r="M517" s="68"/>
      <c r="N517" s="68"/>
      <c r="O517" s="68"/>
      <c r="P517" s="68"/>
      <c r="Q517" s="99" t="e">
        <f t="shared" si="56"/>
        <v>#DIV/0!</v>
      </c>
      <c r="R517" s="100">
        <f t="shared" si="57"/>
        <v>0.43387671059875982</v>
      </c>
      <c r="S517" s="83"/>
      <c r="T517" s="83"/>
      <c r="U517" s="101">
        <f t="shared" si="58"/>
        <v>2021.2824107652905</v>
      </c>
      <c r="V517" s="59" t="e">
        <f t="shared" si="54"/>
        <v>#DIV/0!</v>
      </c>
      <c r="W517" s="68"/>
      <c r="X517" s="68"/>
      <c r="Y517" s="68"/>
      <c r="Z517" s="68"/>
      <c r="AA517" s="45"/>
    </row>
    <row r="518" spans="2:27" x14ac:dyDescent="0.45">
      <c r="B518" s="45" t="s">
        <v>324</v>
      </c>
      <c r="C518" s="90"/>
      <c r="D518" s="56"/>
      <c r="E518" s="80"/>
      <c r="F518" s="58"/>
      <c r="G518" s="58"/>
      <c r="H518" s="58"/>
      <c r="I518" s="58"/>
      <c r="J518" s="58"/>
      <c r="K518" s="58"/>
      <c r="L518" s="59">
        <f t="shared" si="55"/>
        <v>0</v>
      </c>
      <c r="M518" s="68"/>
      <c r="N518" s="68"/>
      <c r="O518" s="68"/>
      <c r="P518" s="68"/>
      <c r="Q518" s="99" t="e">
        <f t="shared" si="56"/>
        <v>#DIV/0!</v>
      </c>
      <c r="R518" s="100">
        <f t="shared" si="57"/>
        <v>0.43387671059875982</v>
      </c>
      <c r="S518" s="83"/>
      <c r="T518" s="83"/>
      <c r="U518" s="101">
        <f t="shared" si="58"/>
        <v>2021.2824107652905</v>
      </c>
      <c r="V518" s="59" t="e">
        <f t="shared" si="54"/>
        <v>#DIV/0!</v>
      </c>
      <c r="W518" s="68"/>
      <c r="X518" s="68"/>
      <c r="Y518" s="68"/>
      <c r="Z518" s="68"/>
      <c r="AA518" s="45"/>
    </row>
    <row r="519" spans="2:27" x14ac:dyDescent="0.45">
      <c r="B519" s="45" t="s">
        <v>325</v>
      </c>
      <c r="C519" s="90"/>
      <c r="D519" s="56"/>
      <c r="E519" s="84"/>
      <c r="F519" s="58"/>
      <c r="G519" s="58"/>
      <c r="H519" s="58"/>
      <c r="I519" s="58"/>
      <c r="J519" s="58"/>
      <c r="K519" s="58"/>
      <c r="L519" s="59">
        <f t="shared" si="55"/>
        <v>0</v>
      </c>
      <c r="M519" s="68"/>
      <c r="N519" s="68"/>
      <c r="O519" s="68"/>
      <c r="P519" s="68"/>
      <c r="Q519" s="99" t="e">
        <f t="shared" si="56"/>
        <v>#DIV/0!</v>
      </c>
      <c r="R519" s="100">
        <f t="shared" si="57"/>
        <v>0.43387671059875982</v>
      </c>
      <c r="S519" s="83"/>
      <c r="T519" s="83"/>
      <c r="U519" s="101">
        <f t="shared" si="58"/>
        <v>2021.2824107652905</v>
      </c>
      <c r="V519" s="59" t="e">
        <f t="shared" si="54"/>
        <v>#DIV/0!</v>
      </c>
      <c r="W519" s="68"/>
      <c r="X519" s="68"/>
      <c r="Y519" s="68"/>
      <c r="Z519" s="68"/>
      <c r="AA519" s="45"/>
    </row>
    <row r="520" spans="2:27" x14ac:dyDescent="0.45">
      <c r="B520" s="45" t="s">
        <v>326</v>
      </c>
      <c r="C520" s="90"/>
      <c r="D520" s="56"/>
      <c r="E520" s="57"/>
      <c r="F520" s="58"/>
      <c r="G520" s="58"/>
      <c r="H520" s="58"/>
      <c r="I520" s="58"/>
      <c r="J520" s="58"/>
      <c r="K520" s="58"/>
      <c r="L520" s="59">
        <f t="shared" si="55"/>
        <v>0</v>
      </c>
      <c r="M520" s="68"/>
      <c r="N520" s="68"/>
      <c r="O520" s="68"/>
      <c r="P520" s="68"/>
      <c r="Q520" s="99" t="e">
        <f t="shared" si="56"/>
        <v>#DIV/0!</v>
      </c>
      <c r="R520" s="100">
        <f t="shared" si="57"/>
        <v>0.43387671059875982</v>
      </c>
      <c r="S520" s="83"/>
      <c r="T520" s="83"/>
      <c r="U520" s="101">
        <f t="shared" si="58"/>
        <v>2021.2824107652905</v>
      </c>
      <c r="V520" s="59" t="e">
        <f t="shared" si="54"/>
        <v>#DIV/0!</v>
      </c>
      <c r="W520" s="68"/>
      <c r="X520" s="68"/>
      <c r="Y520" s="68"/>
      <c r="Z520" s="68"/>
      <c r="AA520" s="45"/>
    </row>
    <row r="521" spans="2:27" x14ac:dyDescent="0.45">
      <c r="B521" s="45" t="s">
        <v>327</v>
      </c>
      <c r="C521" s="90"/>
      <c r="D521" s="56"/>
      <c r="E521" s="80"/>
      <c r="F521" s="58"/>
      <c r="G521" s="58"/>
      <c r="H521" s="58"/>
      <c r="I521" s="58"/>
      <c r="J521" s="58"/>
      <c r="K521" s="58"/>
      <c r="L521" s="59">
        <f t="shared" si="55"/>
        <v>0</v>
      </c>
      <c r="M521" s="68"/>
      <c r="N521" s="68"/>
      <c r="O521" s="68"/>
      <c r="P521" s="68"/>
      <c r="Q521" s="99" t="e">
        <f t="shared" si="56"/>
        <v>#DIV/0!</v>
      </c>
      <c r="R521" s="100">
        <f t="shared" si="57"/>
        <v>0.43387671059875982</v>
      </c>
      <c r="S521" s="83"/>
      <c r="T521" s="83"/>
      <c r="U521" s="101">
        <f t="shared" si="58"/>
        <v>2021.2824107652905</v>
      </c>
      <c r="V521" s="59" t="e">
        <f t="shared" si="54"/>
        <v>#DIV/0!</v>
      </c>
      <c r="W521" s="68"/>
      <c r="X521" s="68"/>
      <c r="Y521" s="68"/>
      <c r="Z521" s="68"/>
      <c r="AA521" s="45"/>
    </row>
    <row r="522" spans="2:27" x14ac:dyDescent="0.45">
      <c r="B522" s="45" t="s">
        <v>328</v>
      </c>
      <c r="C522" s="90"/>
      <c r="D522" s="56"/>
      <c r="E522" s="84"/>
      <c r="F522" s="58"/>
      <c r="G522" s="58"/>
      <c r="H522" s="58"/>
      <c r="I522" s="58"/>
      <c r="J522" s="58"/>
      <c r="K522" s="58"/>
      <c r="L522" s="59">
        <f t="shared" si="55"/>
        <v>0</v>
      </c>
      <c r="M522" s="68"/>
      <c r="N522" s="68"/>
      <c r="O522" s="68"/>
      <c r="P522" s="68"/>
      <c r="Q522" s="99" t="e">
        <f t="shared" si="56"/>
        <v>#DIV/0!</v>
      </c>
      <c r="R522" s="100">
        <f t="shared" si="57"/>
        <v>0.43387671059875982</v>
      </c>
      <c r="S522" s="83"/>
      <c r="T522" s="83"/>
      <c r="U522" s="101">
        <f t="shared" si="58"/>
        <v>2021.2824107652905</v>
      </c>
      <c r="V522" s="59" t="e">
        <f t="shared" si="54"/>
        <v>#DIV/0!</v>
      </c>
      <c r="W522" s="68"/>
      <c r="X522" s="68"/>
      <c r="Y522" s="68"/>
      <c r="Z522" s="68"/>
      <c r="AA522" s="45"/>
    </row>
    <row r="523" spans="2:27" x14ac:dyDescent="0.45">
      <c r="B523" s="45" t="s">
        <v>329</v>
      </c>
      <c r="C523" s="90"/>
      <c r="D523" s="56"/>
      <c r="E523" s="57"/>
      <c r="F523" s="58"/>
      <c r="G523" s="58"/>
      <c r="H523" s="58"/>
      <c r="I523" s="58"/>
      <c r="J523" s="58"/>
      <c r="K523" s="58"/>
      <c r="L523" s="59">
        <f t="shared" si="55"/>
        <v>0</v>
      </c>
      <c r="M523" s="68"/>
      <c r="N523" s="68"/>
      <c r="O523" s="68"/>
      <c r="P523" s="68"/>
      <c r="Q523" s="99" t="e">
        <f t="shared" si="56"/>
        <v>#DIV/0!</v>
      </c>
      <c r="R523" s="100">
        <f t="shared" si="57"/>
        <v>0.43387671059875982</v>
      </c>
      <c r="S523" s="83"/>
      <c r="T523" s="83"/>
      <c r="U523" s="101">
        <f t="shared" si="58"/>
        <v>2021.2824107652905</v>
      </c>
      <c r="V523" s="59" t="e">
        <f t="shared" si="54"/>
        <v>#DIV/0!</v>
      </c>
      <c r="W523" s="68"/>
      <c r="X523" s="68"/>
      <c r="Y523" s="68"/>
      <c r="Z523" s="68"/>
      <c r="AA523" s="45"/>
    </row>
    <row r="524" spans="2:27" x14ac:dyDescent="0.45">
      <c r="B524" s="45" t="s">
        <v>330</v>
      </c>
      <c r="C524" s="90"/>
      <c r="D524" s="56"/>
      <c r="E524" s="80"/>
      <c r="F524" s="58"/>
      <c r="G524" s="58"/>
      <c r="H524" s="58"/>
      <c r="I524" s="58"/>
      <c r="J524" s="58"/>
      <c r="K524" s="58"/>
      <c r="L524" s="59">
        <f t="shared" si="55"/>
        <v>0</v>
      </c>
      <c r="M524" s="68"/>
      <c r="N524" s="68"/>
      <c r="O524" s="68"/>
      <c r="P524" s="68"/>
      <c r="Q524" s="99" t="e">
        <f t="shared" si="56"/>
        <v>#DIV/0!</v>
      </c>
      <c r="R524" s="100">
        <f t="shared" si="57"/>
        <v>0.43387671059875982</v>
      </c>
      <c r="S524" s="83"/>
      <c r="T524" s="83"/>
      <c r="U524" s="101">
        <f t="shared" si="58"/>
        <v>2021.2824107652905</v>
      </c>
      <c r="V524" s="59" t="e">
        <f t="shared" si="54"/>
        <v>#DIV/0!</v>
      </c>
      <c r="W524" s="68"/>
      <c r="X524" s="68"/>
      <c r="Y524" s="68"/>
      <c r="Z524" s="68"/>
      <c r="AA524" s="45"/>
    </row>
    <row r="525" spans="2:27" x14ac:dyDescent="0.45">
      <c r="B525" s="45" t="s">
        <v>331</v>
      </c>
      <c r="C525" s="90"/>
      <c r="D525" s="56"/>
      <c r="E525" s="84"/>
      <c r="F525" s="58"/>
      <c r="G525" s="58"/>
      <c r="H525" s="58"/>
      <c r="I525" s="58"/>
      <c r="J525" s="58"/>
      <c r="K525" s="58"/>
      <c r="L525" s="59">
        <f t="shared" si="55"/>
        <v>0</v>
      </c>
      <c r="M525" s="68"/>
      <c r="N525" s="68"/>
      <c r="O525" s="68"/>
      <c r="P525" s="68"/>
      <c r="Q525" s="99" t="e">
        <f t="shared" si="56"/>
        <v>#DIV/0!</v>
      </c>
      <c r="R525" s="100">
        <f t="shared" si="57"/>
        <v>0.43387671059875982</v>
      </c>
      <c r="S525" s="83"/>
      <c r="T525" s="83"/>
      <c r="U525" s="101">
        <f t="shared" si="58"/>
        <v>2021.2824107652905</v>
      </c>
      <c r="V525" s="59" t="e">
        <f t="shared" si="54"/>
        <v>#DIV/0!</v>
      </c>
      <c r="W525" s="68"/>
      <c r="X525" s="68"/>
      <c r="Y525" s="68"/>
      <c r="Z525" s="68"/>
      <c r="AA525" s="45"/>
    </row>
    <row r="526" spans="2:27" x14ac:dyDescent="0.45">
      <c r="B526" s="45" t="s">
        <v>332</v>
      </c>
      <c r="C526" s="90"/>
      <c r="D526" s="56"/>
      <c r="E526" s="57"/>
      <c r="F526" s="58"/>
      <c r="G526" s="58"/>
      <c r="H526" s="58"/>
      <c r="I526" s="58"/>
      <c r="J526" s="58"/>
      <c r="K526" s="58"/>
      <c r="L526" s="59">
        <f t="shared" si="55"/>
        <v>0</v>
      </c>
      <c r="M526" s="68"/>
      <c r="N526" s="68"/>
      <c r="O526" s="68"/>
      <c r="P526" s="68"/>
      <c r="Q526" s="99" t="e">
        <f t="shared" si="56"/>
        <v>#DIV/0!</v>
      </c>
      <c r="R526" s="100">
        <f t="shared" si="57"/>
        <v>0.43387671059875982</v>
      </c>
      <c r="S526" s="83"/>
      <c r="T526" s="83"/>
      <c r="U526" s="101">
        <f t="shared" si="58"/>
        <v>2021.2824107652905</v>
      </c>
      <c r="V526" s="59" t="e">
        <f t="shared" si="54"/>
        <v>#DIV/0!</v>
      </c>
      <c r="W526" s="68"/>
      <c r="X526" s="68"/>
      <c r="Y526" s="68"/>
      <c r="Z526" s="68"/>
      <c r="AA526" s="45"/>
    </row>
    <row r="527" spans="2:27" x14ac:dyDescent="0.45">
      <c r="B527" s="45" t="s">
        <v>333</v>
      </c>
      <c r="C527" s="90"/>
      <c r="D527" s="56"/>
      <c r="E527" s="80"/>
      <c r="F527" s="58"/>
      <c r="G527" s="58"/>
      <c r="H527" s="58"/>
      <c r="I527" s="58"/>
      <c r="J527" s="58"/>
      <c r="K527" s="58"/>
      <c r="L527" s="59">
        <f t="shared" si="55"/>
        <v>0</v>
      </c>
      <c r="M527" s="68"/>
      <c r="N527" s="68"/>
      <c r="O527" s="68"/>
      <c r="P527" s="68"/>
      <c r="Q527" s="99" t="e">
        <f t="shared" si="56"/>
        <v>#DIV/0!</v>
      </c>
      <c r="R527" s="100">
        <f t="shared" si="57"/>
        <v>0.43387671059875982</v>
      </c>
      <c r="S527" s="83"/>
      <c r="T527" s="83"/>
      <c r="U527" s="101">
        <f t="shared" si="58"/>
        <v>2021.2824107652905</v>
      </c>
      <c r="V527" s="59" t="e">
        <f t="shared" si="54"/>
        <v>#DIV/0!</v>
      </c>
      <c r="W527" s="68"/>
      <c r="X527" s="68"/>
      <c r="Y527" s="68"/>
      <c r="Z527" s="68"/>
      <c r="AA527" s="45"/>
    </row>
    <row r="528" spans="2:27" x14ac:dyDescent="0.45">
      <c r="B528" s="45" t="s">
        <v>334</v>
      </c>
      <c r="C528" s="90"/>
      <c r="D528" s="56"/>
      <c r="E528" s="57"/>
      <c r="F528" s="58"/>
      <c r="G528" s="58"/>
      <c r="H528" s="58"/>
      <c r="I528" s="58"/>
      <c r="J528" s="58"/>
      <c r="K528" s="58"/>
      <c r="L528" s="59">
        <f t="shared" si="55"/>
        <v>0</v>
      </c>
      <c r="M528" s="68"/>
      <c r="N528" s="68"/>
      <c r="O528" s="68"/>
      <c r="P528" s="68"/>
      <c r="Q528" s="99" t="e">
        <f t="shared" si="56"/>
        <v>#DIV/0!</v>
      </c>
      <c r="R528" s="100">
        <f t="shared" si="57"/>
        <v>0.43387671059875982</v>
      </c>
      <c r="S528" s="83"/>
      <c r="T528" s="83"/>
      <c r="U528" s="101">
        <f t="shared" si="58"/>
        <v>2021.2824107652905</v>
      </c>
      <c r="V528" s="59" t="e">
        <f t="shared" si="54"/>
        <v>#DIV/0!</v>
      </c>
      <c r="W528" s="68"/>
      <c r="X528" s="68"/>
      <c r="Y528" s="68"/>
      <c r="Z528" s="68"/>
      <c r="AA528" s="45"/>
    </row>
    <row r="529" spans="2:27" x14ac:dyDescent="0.45">
      <c r="B529" s="45" t="s">
        <v>335</v>
      </c>
      <c r="C529" s="90"/>
      <c r="D529" s="56"/>
      <c r="E529" s="80"/>
      <c r="F529" s="58"/>
      <c r="G529" s="58"/>
      <c r="H529" s="58"/>
      <c r="I529" s="58"/>
      <c r="J529" s="58"/>
      <c r="K529" s="58"/>
      <c r="L529" s="59">
        <f t="shared" si="55"/>
        <v>0</v>
      </c>
      <c r="M529" s="68"/>
      <c r="N529" s="68"/>
      <c r="O529" s="68"/>
      <c r="P529" s="68"/>
      <c r="Q529" s="99" t="e">
        <f t="shared" si="56"/>
        <v>#DIV/0!</v>
      </c>
      <c r="R529" s="100">
        <f t="shared" si="57"/>
        <v>0.43387671059875982</v>
      </c>
      <c r="S529" s="83"/>
      <c r="T529" s="83"/>
      <c r="U529" s="101">
        <f t="shared" si="58"/>
        <v>2021.2824107652905</v>
      </c>
      <c r="V529" s="59" t="e">
        <f t="shared" ref="V529:V592" si="59">1/2*((P529*S529+R529*U529+T529*Q529)-(Q529*R529+S529*T529+U529*P529))/0.1582*100</f>
        <v>#DIV/0!</v>
      </c>
      <c r="W529" s="68"/>
      <c r="X529" s="68"/>
      <c r="Y529" s="68"/>
      <c r="Z529" s="68"/>
      <c r="AA529" s="45"/>
    </row>
    <row r="530" spans="2:27" x14ac:dyDescent="0.45">
      <c r="B530" s="45" t="s">
        <v>336</v>
      </c>
      <c r="C530" s="90"/>
      <c r="D530" s="56"/>
      <c r="E530" s="84"/>
      <c r="F530" s="58"/>
      <c r="G530" s="58"/>
      <c r="H530" s="58"/>
      <c r="I530" s="58"/>
      <c r="J530" s="58"/>
      <c r="K530" s="58"/>
      <c r="L530" s="59">
        <f t="shared" ref="L530:L593" si="60">1/2*((F530*I530+H530*K530+J530*G530)-(G530*H530+I530*J530+K530*F530))/0.1582*100</f>
        <v>0</v>
      </c>
      <c r="M530" s="68"/>
      <c r="N530" s="68"/>
      <c r="O530" s="68"/>
      <c r="P530" s="68"/>
      <c r="Q530" s="99" t="e">
        <f t="shared" ref="Q530:Q593" si="61">O530/P530</f>
        <v>#DIV/0!</v>
      </c>
      <c r="R530" s="100">
        <f t="shared" ref="R530:R593" si="62">SQRT(POWER(M530-$M$12,2)+POWER(N530-$N$12,2))</f>
        <v>0.43387671059875982</v>
      </c>
      <c r="S530" s="83"/>
      <c r="T530" s="83"/>
      <c r="U530" s="101">
        <f t="shared" ref="U530:U593" si="63">(-449*((M530-0.332)/(N530-0.1858))^3)+(3525*((M530-0.332)/(N530-0.1858))^2)+(-6823.3*(M530-0.332)/(N530-0.1858))+5520.33</f>
        <v>2021.2824107652905</v>
      </c>
      <c r="V530" s="59" t="e">
        <f t="shared" si="59"/>
        <v>#DIV/0!</v>
      </c>
      <c r="W530" s="68"/>
      <c r="X530" s="68"/>
      <c r="Y530" s="68"/>
      <c r="Z530" s="68"/>
      <c r="AA530" s="45"/>
    </row>
    <row r="531" spans="2:27" x14ac:dyDescent="0.45">
      <c r="B531" s="45" t="s">
        <v>337</v>
      </c>
      <c r="C531" s="90"/>
      <c r="D531" s="56"/>
      <c r="E531" s="57"/>
      <c r="F531" s="58"/>
      <c r="G531" s="58"/>
      <c r="H531" s="58"/>
      <c r="I531" s="58"/>
      <c r="J531" s="58"/>
      <c r="K531" s="58"/>
      <c r="L531" s="59">
        <f t="shared" si="60"/>
        <v>0</v>
      </c>
      <c r="M531" s="68"/>
      <c r="N531" s="68"/>
      <c r="O531" s="68"/>
      <c r="P531" s="68"/>
      <c r="Q531" s="99" t="e">
        <f t="shared" si="61"/>
        <v>#DIV/0!</v>
      </c>
      <c r="R531" s="100">
        <f t="shared" si="62"/>
        <v>0.43387671059875982</v>
      </c>
      <c r="S531" s="83"/>
      <c r="T531" s="83"/>
      <c r="U531" s="101">
        <f t="shared" si="63"/>
        <v>2021.2824107652905</v>
      </c>
      <c r="V531" s="59" t="e">
        <f t="shared" si="59"/>
        <v>#DIV/0!</v>
      </c>
      <c r="W531" s="68"/>
      <c r="X531" s="68"/>
      <c r="Y531" s="68"/>
      <c r="Z531" s="68"/>
      <c r="AA531" s="45"/>
    </row>
    <row r="532" spans="2:27" x14ac:dyDescent="0.45">
      <c r="B532" s="45" t="s">
        <v>338</v>
      </c>
      <c r="C532" s="90"/>
      <c r="D532" s="56"/>
      <c r="E532" s="80"/>
      <c r="F532" s="58"/>
      <c r="G532" s="58"/>
      <c r="H532" s="58"/>
      <c r="I532" s="58"/>
      <c r="J532" s="58"/>
      <c r="K532" s="58"/>
      <c r="L532" s="59">
        <f t="shared" si="60"/>
        <v>0</v>
      </c>
      <c r="M532" s="68"/>
      <c r="N532" s="68"/>
      <c r="O532" s="68"/>
      <c r="P532" s="68"/>
      <c r="Q532" s="99" t="e">
        <f t="shared" si="61"/>
        <v>#DIV/0!</v>
      </c>
      <c r="R532" s="100">
        <f t="shared" si="62"/>
        <v>0.43387671059875982</v>
      </c>
      <c r="S532" s="83"/>
      <c r="T532" s="83"/>
      <c r="U532" s="101">
        <f t="shared" si="63"/>
        <v>2021.2824107652905</v>
      </c>
      <c r="V532" s="59" t="e">
        <f t="shared" si="59"/>
        <v>#DIV/0!</v>
      </c>
      <c r="W532" s="68"/>
      <c r="X532" s="68"/>
      <c r="Y532" s="68"/>
      <c r="Z532" s="68"/>
      <c r="AA532" s="45"/>
    </row>
    <row r="533" spans="2:27" x14ac:dyDescent="0.45">
      <c r="B533" s="45" t="s">
        <v>339</v>
      </c>
      <c r="C533" s="90"/>
      <c r="D533" s="56"/>
      <c r="E533" s="84"/>
      <c r="F533" s="58"/>
      <c r="G533" s="58"/>
      <c r="H533" s="58"/>
      <c r="I533" s="58"/>
      <c r="J533" s="58"/>
      <c r="K533" s="58"/>
      <c r="L533" s="59">
        <f t="shared" si="60"/>
        <v>0</v>
      </c>
      <c r="M533" s="68"/>
      <c r="N533" s="68"/>
      <c r="O533" s="68"/>
      <c r="P533" s="68"/>
      <c r="Q533" s="99" t="e">
        <f t="shared" si="61"/>
        <v>#DIV/0!</v>
      </c>
      <c r="R533" s="100">
        <f t="shared" si="62"/>
        <v>0.43387671059875982</v>
      </c>
      <c r="S533" s="83"/>
      <c r="T533" s="83"/>
      <c r="U533" s="101">
        <f t="shared" si="63"/>
        <v>2021.2824107652905</v>
      </c>
      <c r="V533" s="59" t="e">
        <f t="shared" si="59"/>
        <v>#DIV/0!</v>
      </c>
      <c r="W533" s="68"/>
      <c r="X533" s="68"/>
      <c r="Y533" s="68"/>
      <c r="Z533" s="68"/>
      <c r="AA533" s="45"/>
    </row>
    <row r="534" spans="2:27" x14ac:dyDescent="0.45">
      <c r="B534" s="45" t="s">
        <v>340</v>
      </c>
      <c r="C534" s="90"/>
      <c r="D534" s="56"/>
      <c r="E534" s="57"/>
      <c r="F534" s="58"/>
      <c r="G534" s="58"/>
      <c r="H534" s="58"/>
      <c r="I534" s="58"/>
      <c r="J534" s="58"/>
      <c r="K534" s="58"/>
      <c r="L534" s="59">
        <f t="shared" si="60"/>
        <v>0</v>
      </c>
      <c r="M534" s="68"/>
      <c r="N534" s="68"/>
      <c r="O534" s="68"/>
      <c r="P534" s="68"/>
      <c r="Q534" s="99" t="e">
        <f t="shared" si="61"/>
        <v>#DIV/0!</v>
      </c>
      <c r="R534" s="100">
        <f t="shared" si="62"/>
        <v>0.43387671059875982</v>
      </c>
      <c r="S534" s="83"/>
      <c r="T534" s="83"/>
      <c r="U534" s="101">
        <f t="shared" si="63"/>
        <v>2021.2824107652905</v>
      </c>
      <c r="V534" s="59" t="e">
        <f t="shared" si="59"/>
        <v>#DIV/0!</v>
      </c>
      <c r="W534" s="68"/>
      <c r="X534" s="68"/>
      <c r="Y534" s="68"/>
      <c r="Z534" s="68"/>
      <c r="AA534" s="45"/>
    </row>
    <row r="535" spans="2:27" x14ac:dyDescent="0.45">
      <c r="B535" s="45" t="s">
        <v>341</v>
      </c>
      <c r="C535" s="90"/>
      <c r="D535" s="56"/>
      <c r="E535" s="80"/>
      <c r="F535" s="58"/>
      <c r="G535" s="58"/>
      <c r="H535" s="58"/>
      <c r="I535" s="58"/>
      <c r="J535" s="58"/>
      <c r="K535" s="58"/>
      <c r="L535" s="59">
        <f t="shared" si="60"/>
        <v>0</v>
      </c>
      <c r="M535" s="68"/>
      <c r="N535" s="68"/>
      <c r="O535" s="68"/>
      <c r="P535" s="68"/>
      <c r="Q535" s="99" t="e">
        <f t="shared" si="61"/>
        <v>#DIV/0!</v>
      </c>
      <c r="R535" s="100">
        <f t="shared" si="62"/>
        <v>0.43387671059875982</v>
      </c>
      <c r="S535" s="83"/>
      <c r="T535" s="83"/>
      <c r="U535" s="101">
        <f t="shared" si="63"/>
        <v>2021.2824107652905</v>
      </c>
      <c r="V535" s="59" t="e">
        <f t="shared" si="59"/>
        <v>#DIV/0!</v>
      </c>
      <c r="W535" s="68"/>
      <c r="X535" s="68"/>
      <c r="Y535" s="68"/>
      <c r="Z535" s="68"/>
      <c r="AA535" s="45"/>
    </row>
    <row r="536" spans="2:27" x14ac:dyDescent="0.45">
      <c r="B536" s="45" t="s">
        <v>342</v>
      </c>
      <c r="C536" s="90"/>
      <c r="D536" s="56"/>
      <c r="E536" s="84"/>
      <c r="F536" s="58"/>
      <c r="G536" s="58"/>
      <c r="H536" s="58"/>
      <c r="I536" s="58"/>
      <c r="J536" s="58"/>
      <c r="K536" s="58"/>
      <c r="L536" s="59">
        <f t="shared" si="60"/>
        <v>0</v>
      </c>
      <c r="M536" s="68"/>
      <c r="N536" s="68"/>
      <c r="O536" s="68"/>
      <c r="P536" s="68"/>
      <c r="Q536" s="99" t="e">
        <f t="shared" si="61"/>
        <v>#DIV/0!</v>
      </c>
      <c r="R536" s="100">
        <f t="shared" si="62"/>
        <v>0.43387671059875982</v>
      </c>
      <c r="S536" s="83"/>
      <c r="T536" s="83"/>
      <c r="U536" s="101">
        <f t="shared" si="63"/>
        <v>2021.2824107652905</v>
      </c>
      <c r="V536" s="59" t="e">
        <f t="shared" si="59"/>
        <v>#DIV/0!</v>
      </c>
      <c r="W536" s="68"/>
      <c r="X536" s="68"/>
      <c r="Y536" s="68"/>
      <c r="Z536" s="68"/>
      <c r="AA536" s="45"/>
    </row>
    <row r="537" spans="2:27" x14ac:dyDescent="0.45">
      <c r="B537" s="45" t="s">
        <v>343</v>
      </c>
      <c r="C537" s="90"/>
      <c r="D537" s="56"/>
      <c r="E537" s="57"/>
      <c r="F537" s="58"/>
      <c r="G537" s="58"/>
      <c r="H537" s="58"/>
      <c r="I537" s="58"/>
      <c r="J537" s="58"/>
      <c r="K537" s="58"/>
      <c r="L537" s="59">
        <f t="shared" si="60"/>
        <v>0</v>
      </c>
      <c r="M537" s="68"/>
      <c r="N537" s="68"/>
      <c r="O537" s="68"/>
      <c r="P537" s="68"/>
      <c r="Q537" s="99" t="e">
        <f t="shared" si="61"/>
        <v>#DIV/0!</v>
      </c>
      <c r="R537" s="100">
        <f t="shared" si="62"/>
        <v>0.43387671059875982</v>
      </c>
      <c r="S537" s="83"/>
      <c r="T537" s="83"/>
      <c r="U537" s="101">
        <f t="shared" si="63"/>
        <v>2021.2824107652905</v>
      </c>
      <c r="V537" s="59" t="e">
        <f t="shared" si="59"/>
        <v>#DIV/0!</v>
      </c>
      <c r="W537" s="68"/>
      <c r="X537" s="68"/>
      <c r="Y537" s="68"/>
      <c r="Z537" s="68"/>
      <c r="AA537" s="45"/>
    </row>
    <row r="538" spans="2:27" x14ac:dyDescent="0.45">
      <c r="B538" s="45" t="s">
        <v>344</v>
      </c>
      <c r="C538" s="90"/>
      <c r="D538" s="56"/>
      <c r="E538" s="80"/>
      <c r="F538" s="58"/>
      <c r="G538" s="58"/>
      <c r="H538" s="58"/>
      <c r="I538" s="58"/>
      <c r="J538" s="58"/>
      <c r="K538" s="58"/>
      <c r="L538" s="59">
        <f t="shared" si="60"/>
        <v>0</v>
      </c>
      <c r="M538" s="68"/>
      <c r="N538" s="68"/>
      <c r="O538" s="68"/>
      <c r="P538" s="68"/>
      <c r="Q538" s="99" t="e">
        <f t="shared" si="61"/>
        <v>#DIV/0!</v>
      </c>
      <c r="R538" s="100">
        <f t="shared" si="62"/>
        <v>0.43387671059875982</v>
      </c>
      <c r="S538" s="83"/>
      <c r="T538" s="83"/>
      <c r="U538" s="101">
        <f t="shared" si="63"/>
        <v>2021.2824107652905</v>
      </c>
      <c r="V538" s="59" t="e">
        <f t="shared" si="59"/>
        <v>#DIV/0!</v>
      </c>
      <c r="W538" s="68"/>
      <c r="X538" s="68"/>
      <c r="Y538" s="68"/>
      <c r="Z538" s="68"/>
      <c r="AA538" s="45"/>
    </row>
    <row r="539" spans="2:27" x14ac:dyDescent="0.45">
      <c r="B539" s="45" t="s">
        <v>345</v>
      </c>
      <c r="C539" s="90"/>
      <c r="D539" s="56"/>
      <c r="E539" s="84"/>
      <c r="F539" s="58"/>
      <c r="G539" s="58"/>
      <c r="H539" s="58"/>
      <c r="I539" s="58"/>
      <c r="J539" s="58"/>
      <c r="K539" s="58"/>
      <c r="L539" s="59">
        <f t="shared" si="60"/>
        <v>0</v>
      </c>
      <c r="M539" s="68"/>
      <c r="N539" s="68"/>
      <c r="O539" s="68"/>
      <c r="P539" s="68"/>
      <c r="Q539" s="99" t="e">
        <f t="shared" si="61"/>
        <v>#DIV/0!</v>
      </c>
      <c r="R539" s="100">
        <f t="shared" si="62"/>
        <v>0.43387671059875982</v>
      </c>
      <c r="S539" s="83"/>
      <c r="T539" s="83"/>
      <c r="U539" s="101">
        <f t="shared" si="63"/>
        <v>2021.2824107652905</v>
      </c>
      <c r="V539" s="59" t="e">
        <f t="shared" si="59"/>
        <v>#DIV/0!</v>
      </c>
      <c r="W539" s="68"/>
      <c r="X539" s="68"/>
      <c r="Y539" s="68"/>
      <c r="Z539" s="68"/>
      <c r="AA539" s="45"/>
    </row>
    <row r="540" spans="2:27" x14ac:dyDescent="0.45">
      <c r="B540" s="45" t="s">
        <v>346</v>
      </c>
      <c r="C540" s="90"/>
      <c r="D540" s="56"/>
      <c r="E540" s="57"/>
      <c r="F540" s="58"/>
      <c r="G540" s="58"/>
      <c r="H540" s="58"/>
      <c r="I540" s="58"/>
      <c r="J540" s="58"/>
      <c r="K540" s="58"/>
      <c r="L540" s="59">
        <f t="shared" si="60"/>
        <v>0</v>
      </c>
      <c r="M540" s="68"/>
      <c r="N540" s="68"/>
      <c r="O540" s="68"/>
      <c r="P540" s="68"/>
      <c r="Q540" s="99" t="e">
        <f t="shared" si="61"/>
        <v>#DIV/0!</v>
      </c>
      <c r="R540" s="100">
        <f t="shared" si="62"/>
        <v>0.43387671059875982</v>
      </c>
      <c r="S540" s="83"/>
      <c r="T540" s="83"/>
      <c r="U540" s="101">
        <f t="shared" si="63"/>
        <v>2021.2824107652905</v>
      </c>
      <c r="V540" s="59" t="e">
        <f t="shared" si="59"/>
        <v>#DIV/0!</v>
      </c>
      <c r="W540" s="68"/>
      <c r="X540" s="68"/>
      <c r="Y540" s="68"/>
      <c r="Z540" s="68"/>
      <c r="AA540" s="45"/>
    </row>
    <row r="541" spans="2:27" x14ac:dyDescent="0.45">
      <c r="B541" s="45" t="s">
        <v>347</v>
      </c>
      <c r="C541" s="90"/>
      <c r="D541" s="56"/>
      <c r="E541" s="80"/>
      <c r="F541" s="58"/>
      <c r="G541" s="58"/>
      <c r="H541" s="58"/>
      <c r="I541" s="58"/>
      <c r="J541" s="58"/>
      <c r="K541" s="58"/>
      <c r="L541" s="59">
        <f t="shared" si="60"/>
        <v>0</v>
      </c>
      <c r="M541" s="68"/>
      <c r="N541" s="68"/>
      <c r="O541" s="68"/>
      <c r="P541" s="68"/>
      <c r="Q541" s="99" t="e">
        <f t="shared" si="61"/>
        <v>#DIV/0!</v>
      </c>
      <c r="R541" s="100">
        <f t="shared" si="62"/>
        <v>0.43387671059875982</v>
      </c>
      <c r="S541" s="83"/>
      <c r="T541" s="83"/>
      <c r="U541" s="101">
        <f t="shared" si="63"/>
        <v>2021.2824107652905</v>
      </c>
      <c r="V541" s="59" t="e">
        <f t="shared" si="59"/>
        <v>#DIV/0!</v>
      </c>
      <c r="W541" s="68"/>
      <c r="X541" s="68"/>
      <c r="Y541" s="68"/>
      <c r="Z541" s="68"/>
      <c r="AA541" s="45"/>
    </row>
    <row r="542" spans="2:27" x14ac:dyDescent="0.45">
      <c r="B542" s="45" t="s">
        <v>348</v>
      </c>
      <c r="C542" s="90"/>
      <c r="D542" s="56"/>
      <c r="E542" s="84"/>
      <c r="F542" s="58"/>
      <c r="G542" s="58"/>
      <c r="H542" s="58"/>
      <c r="I542" s="58"/>
      <c r="J542" s="58"/>
      <c r="K542" s="58"/>
      <c r="L542" s="59">
        <f t="shared" si="60"/>
        <v>0</v>
      </c>
      <c r="M542" s="68"/>
      <c r="N542" s="68"/>
      <c r="O542" s="68"/>
      <c r="P542" s="68"/>
      <c r="Q542" s="99" t="e">
        <f t="shared" si="61"/>
        <v>#DIV/0!</v>
      </c>
      <c r="R542" s="100">
        <f t="shared" si="62"/>
        <v>0.43387671059875982</v>
      </c>
      <c r="S542" s="83"/>
      <c r="T542" s="83"/>
      <c r="U542" s="101">
        <f t="shared" si="63"/>
        <v>2021.2824107652905</v>
      </c>
      <c r="V542" s="59" t="e">
        <f t="shared" si="59"/>
        <v>#DIV/0!</v>
      </c>
      <c r="W542" s="68"/>
      <c r="X542" s="68"/>
      <c r="Y542" s="68"/>
      <c r="Z542" s="68"/>
      <c r="AA542" s="45"/>
    </row>
    <row r="543" spans="2:27" x14ac:dyDescent="0.45">
      <c r="B543" s="45" t="s">
        <v>349</v>
      </c>
      <c r="C543" s="90"/>
      <c r="D543" s="56"/>
      <c r="E543" s="57"/>
      <c r="F543" s="58"/>
      <c r="G543" s="58"/>
      <c r="H543" s="58"/>
      <c r="I543" s="58"/>
      <c r="J543" s="58"/>
      <c r="K543" s="58"/>
      <c r="L543" s="59">
        <f t="shared" si="60"/>
        <v>0</v>
      </c>
      <c r="M543" s="68"/>
      <c r="N543" s="68"/>
      <c r="O543" s="68"/>
      <c r="P543" s="68"/>
      <c r="Q543" s="99" t="e">
        <f t="shared" si="61"/>
        <v>#DIV/0!</v>
      </c>
      <c r="R543" s="100">
        <f t="shared" si="62"/>
        <v>0.43387671059875982</v>
      </c>
      <c r="S543" s="83"/>
      <c r="T543" s="83"/>
      <c r="U543" s="101">
        <f t="shared" si="63"/>
        <v>2021.2824107652905</v>
      </c>
      <c r="V543" s="59" t="e">
        <f t="shared" si="59"/>
        <v>#DIV/0!</v>
      </c>
      <c r="W543" s="68"/>
      <c r="X543" s="68"/>
      <c r="Y543" s="68"/>
      <c r="Z543" s="68"/>
      <c r="AA543" s="45"/>
    </row>
    <row r="544" spans="2:27" x14ac:dyDescent="0.45">
      <c r="B544" s="45" t="s">
        <v>350</v>
      </c>
      <c r="C544" s="90"/>
      <c r="D544" s="56"/>
      <c r="E544" s="80"/>
      <c r="F544" s="58"/>
      <c r="G544" s="58"/>
      <c r="H544" s="58"/>
      <c r="I544" s="58"/>
      <c r="J544" s="58"/>
      <c r="K544" s="58"/>
      <c r="L544" s="59">
        <f t="shared" si="60"/>
        <v>0</v>
      </c>
      <c r="M544" s="68"/>
      <c r="N544" s="68"/>
      <c r="O544" s="68"/>
      <c r="P544" s="68"/>
      <c r="Q544" s="99" t="e">
        <f t="shared" si="61"/>
        <v>#DIV/0!</v>
      </c>
      <c r="R544" s="100">
        <f t="shared" si="62"/>
        <v>0.43387671059875982</v>
      </c>
      <c r="S544" s="83"/>
      <c r="T544" s="83"/>
      <c r="U544" s="101">
        <f t="shared" si="63"/>
        <v>2021.2824107652905</v>
      </c>
      <c r="V544" s="59" t="e">
        <f t="shared" si="59"/>
        <v>#DIV/0!</v>
      </c>
      <c r="W544" s="68"/>
      <c r="X544" s="68"/>
      <c r="Y544" s="68"/>
      <c r="Z544" s="68"/>
      <c r="AA544" s="45"/>
    </row>
    <row r="545" spans="2:27" x14ac:dyDescent="0.45">
      <c r="B545" s="45" t="s">
        <v>351</v>
      </c>
      <c r="C545" s="90"/>
      <c r="D545" s="56"/>
      <c r="E545" s="84"/>
      <c r="F545" s="58"/>
      <c r="G545" s="58"/>
      <c r="H545" s="58"/>
      <c r="I545" s="58"/>
      <c r="J545" s="58"/>
      <c r="K545" s="58"/>
      <c r="L545" s="59">
        <f t="shared" si="60"/>
        <v>0</v>
      </c>
      <c r="M545" s="68"/>
      <c r="N545" s="68"/>
      <c r="O545" s="68"/>
      <c r="P545" s="68"/>
      <c r="Q545" s="99" t="e">
        <f t="shared" si="61"/>
        <v>#DIV/0!</v>
      </c>
      <c r="R545" s="100">
        <f t="shared" si="62"/>
        <v>0.43387671059875982</v>
      </c>
      <c r="S545" s="83"/>
      <c r="T545" s="83"/>
      <c r="U545" s="101">
        <f t="shared" si="63"/>
        <v>2021.2824107652905</v>
      </c>
      <c r="V545" s="59" t="e">
        <f t="shared" si="59"/>
        <v>#DIV/0!</v>
      </c>
      <c r="W545" s="68"/>
      <c r="X545" s="68"/>
      <c r="Y545" s="68"/>
      <c r="Z545" s="68"/>
      <c r="AA545" s="45"/>
    </row>
    <row r="546" spans="2:27" x14ac:dyDescent="0.45">
      <c r="B546" s="45" t="s">
        <v>352</v>
      </c>
      <c r="C546" s="90"/>
      <c r="D546" s="56"/>
      <c r="E546" s="57"/>
      <c r="F546" s="58"/>
      <c r="G546" s="58"/>
      <c r="H546" s="58"/>
      <c r="I546" s="58"/>
      <c r="J546" s="58"/>
      <c r="K546" s="58"/>
      <c r="L546" s="59">
        <f t="shared" si="60"/>
        <v>0</v>
      </c>
      <c r="M546" s="68"/>
      <c r="N546" s="68"/>
      <c r="O546" s="68"/>
      <c r="P546" s="68"/>
      <c r="Q546" s="99" t="e">
        <f t="shared" si="61"/>
        <v>#DIV/0!</v>
      </c>
      <c r="R546" s="100">
        <f t="shared" si="62"/>
        <v>0.43387671059875982</v>
      </c>
      <c r="S546" s="83"/>
      <c r="T546" s="83"/>
      <c r="U546" s="101">
        <f t="shared" si="63"/>
        <v>2021.2824107652905</v>
      </c>
      <c r="V546" s="59" t="e">
        <f t="shared" si="59"/>
        <v>#DIV/0!</v>
      </c>
      <c r="W546" s="68"/>
      <c r="X546" s="68"/>
      <c r="Y546" s="68"/>
      <c r="Z546" s="68"/>
      <c r="AA546" s="45"/>
    </row>
    <row r="547" spans="2:27" x14ac:dyDescent="0.45">
      <c r="B547" s="45" t="s">
        <v>353</v>
      </c>
      <c r="C547" s="90"/>
      <c r="D547" s="56"/>
      <c r="E547" s="80"/>
      <c r="F547" s="58"/>
      <c r="G547" s="58"/>
      <c r="H547" s="58"/>
      <c r="I547" s="58"/>
      <c r="J547" s="58"/>
      <c r="K547" s="58"/>
      <c r="L547" s="59">
        <f t="shared" si="60"/>
        <v>0</v>
      </c>
      <c r="M547" s="68"/>
      <c r="N547" s="68"/>
      <c r="O547" s="68"/>
      <c r="P547" s="68"/>
      <c r="Q547" s="99" t="e">
        <f t="shared" si="61"/>
        <v>#DIV/0!</v>
      </c>
      <c r="R547" s="100">
        <f t="shared" si="62"/>
        <v>0.43387671059875982</v>
      </c>
      <c r="S547" s="83"/>
      <c r="T547" s="83"/>
      <c r="U547" s="101">
        <f t="shared" si="63"/>
        <v>2021.2824107652905</v>
      </c>
      <c r="V547" s="59" t="e">
        <f t="shared" si="59"/>
        <v>#DIV/0!</v>
      </c>
      <c r="W547" s="68"/>
      <c r="X547" s="68"/>
      <c r="Y547" s="68"/>
      <c r="Z547" s="68"/>
      <c r="AA547" s="45"/>
    </row>
    <row r="548" spans="2:27" x14ac:dyDescent="0.45">
      <c r="B548" s="45" t="s">
        <v>354</v>
      </c>
      <c r="C548" s="90"/>
      <c r="D548" s="56"/>
      <c r="E548" s="84"/>
      <c r="F548" s="58"/>
      <c r="G548" s="58"/>
      <c r="H548" s="58"/>
      <c r="I548" s="58"/>
      <c r="J548" s="58"/>
      <c r="K548" s="58"/>
      <c r="L548" s="59">
        <f t="shared" si="60"/>
        <v>0</v>
      </c>
      <c r="M548" s="68"/>
      <c r="N548" s="68"/>
      <c r="O548" s="68"/>
      <c r="P548" s="68"/>
      <c r="Q548" s="99" t="e">
        <f t="shared" si="61"/>
        <v>#DIV/0!</v>
      </c>
      <c r="R548" s="100">
        <f t="shared" si="62"/>
        <v>0.43387671059875982</v>
      </c>
      <c r="S548" s="83"/>
      <c r="T548" s="83"/>
      <c r="U548" s="101">
        <f t="shared" si="63"/>
        <v>2021.2824107652905</v>
      </c>
      <c r="V548" s="59" t="e">
        <f t="shared" si="59"/>
        <v>#DIV/0!</v>
      </c>
      <c r="W548" s="68"/>
      <c r="X548" s="68"/>
      <c r="Y548" s="68"/>
      <c r="Z548" s="68"/>
      <c r="AA548" s="45"/>
    </row>
    <row r="549" spans="2:27" x14ac:dyDescent="0.45">
      <c r="B549" s="45" t="s">
        <v>355</v>
      </c>
      <c r="C549" s="90"/>
      <c r="D549" s="56"/>
      <c r="E549" s="57"/>
      <c r="F549" s="58"/>
      <c r="G549" s="58"/>
      <c r="H549" s="58"/>
      <c r="I549" s="58"/>
      <c r="J549" s="58"/>
      <c r="K549" s="58"/>
      <c r="L549" s="59">
        <f t="shared" si="60"/>
        <v>0</v>
      </c>
      <c r="M549" s="68"/>
      <c r="N549" s="68"/>
      <c r="O549" s="68"/>
      <c r="P549" s="68"/>
      <c r="Q549" s="99" t="e">
        <f t="shared" si="61"/>
        <v>#DIV/0!</v>
      </c>
      <c r="R549" s="100">
        <f t="shared" si="62"/>
        <v>0.43387671059875982</v>
      </c>
      <c r="S549" s="83"/>
      <c r="T549" s="83"/>
      <c r="U549" s="101">
        <f t="shared" si="63"/>
        <v>2021.2824107652905</v>
      </c>
      <c r="V549" s="59" t="e">
        <f t="shared" si="59"/>
        <v>#DIV/0!</v>
      </c>
      <c r="W549" s="68"/>
      <c r="X549" s="68"/>
      <c r="Y549" s="68"/>
      <c r="Z549" s="68"/>
      <c r="AA549" s="45"/>
    </row>
    <row r="550" spans="2:27" x14ac:dyDescent="0.45">
      <c r="B550" s="45" t="s">
        <v>356</v>
      </c>
      <c r="C550" s="90"/>
      <c r="D550" s="56"/>
      <c r="E550" s="80"/>
      <c r="F550" s="58"/>
      <c r="G550" s="58"/>
      <c r="H550" s="58"/>
      <c r="I550" s="58"/>
      <c r="J550" s="58"/>
      <c r="K550" s="58"/>
      <c r="L550" s="59">
        <f t="shared" si="60"/>
        <v>0</v>
      </c>
      <c r="M550" s="68"/>
      <c r="N550" s="68"/>
      <c r="O550" s="68"/>
      <c r="P550" s="68"/>
      <c r="Q550" s="99" t="e">
        <f t="shared" si="61"/>
        <v>#DIV/0!</v>
      </c>
      <c r="R550" s="100">
        <f t="shared" si="62"/>
        <v>0.43387671059875982</v>
      </c>
      <c r="S550" s="83"/>
      <c r="T550" s="83"/>
      <c r="U550" s="101">
        <f t="shared" si="63"/>
        <v>2021.2824107652905</v>
      </c>
      <c r="V550" s="59" t="e">
        <f t="shared" si="59"/>
        <v>#DIV/0!</v>
      </c>
      <c r="W550" s="68"/>
      <c r="X550" s="68"/>
      <c r="Y550" s="68"/>
      <c r="Z550" s="68"/>
      <c r="AA550" s="45"/>
    </row>
    <row r="551" spans="2:27" x14ac:dyDescent="0.45">
      <c r="B551" s="45" t="s">
        <v>357</v>
      </c>
      <c r="C551" s="90"/>
      <c r="D551" s="56"/>
      <c r="E551" s="84"/>
      <c r="F551" s="58"/>
      <c r="G551" s="58"/>
      <c r="H551" s="58"/>
      <c r="I551" s="58"/>
      <c r="J551" s="58"/>
      <c r="K551" s="58"/>
      <c r="L551" s="59">
        <f t="shared" si="60"/>
        <v>0</v>
      </c>
      <c r="M551" s="68"/>
      <c r="N551" s="68"/>
      <c r="O551" s="68"/>
      <c r="P551" s="68"/>
      <c r="Q551" s="99" t="e">
        <f t="shared" si="61"/>
        <v>#DIV/0!</v>
      </c>
      <c r="R551" s="100">
        <f t="shared" si="62"/>
        <v>0.43387671059875982</v>
      </c>
      <c r="S551" s="83"/>
      <c r="T551" s="83"/>
      <c r="U551" s="101">
        <f t="shared" si="63"/>
        <v>2021.2824107652905</v>
      </c>
      <c r="V551" s="59" t="e">
        <f t="shared" si="59"/>
        <v>#DIV/0!</v>
      </c>
      <c r="W551" s="68"/>
      <c r="X551" s="68"/>
      <c r="Y551" s="68"/>
      <c r="Z551" s="68"/>
      <c r="AA551" s="45"/>
    </row>
    <row r="552" spans="2:27" x14ac:dyDescent="0.45">
      <c r="B552" s="45" t="s">
        <v>358</v>
      </c>
      <c r="C552" s="90"/>
      <c r="D552" s="56"/>
      <c r="E552" s="57"/>
      <c r="F552" s="58"/>
      <c r="G552" s="58"/>
      <c r="H552" s="58"/>
      <c r="I552" s="58"/>
      <c r="J552" s="58"/>
      <c r="K552" s="58"/>
      <c r="L552" s="59">
        <f t="shared" si="60"/>
        <v>0</v>
      </c>
      <c r="M552" s="68"/>
      <c r="N552" s="68"/>
      <c r="O552" s="68"/>
      <c r="P552" s="68"/>
      <c r="Q552" s="99" t="e">
        <f t="shared" si="61"/>
        <v>#DIV/0!</v>
      </c>
      <c r="R552" s="100">
        <f t="shared" si="62"/>
        <v>0.43387671059875982</v>
      </c>
      <c r="S552" s="83"/>
      <c r="T552" s="83"/>
      <c r="U552" s="101">
        <f t="shared" si="63"/>
        <v>2021.2824107652905</v>
      </c>
      <c r="V552" s="59" t="e">
        <f t="shared" si="59"/>
        <v>#DIV/0!</v>
      </c>
      <c r="W552" s="68"/>
      <c r="X552" s="68"/>
      <c r="Y552" s="68"/>
      <c r="Z552" s="68"/>
      <c r="AA552" s="45"/>
    </row>
    <row r="553" spans="2:27" x14ac:dyDescent="0.45">
      <c r="B553" s="45" t="s">
        <v>359</v>
      </c>
      <c r="C553" s="90"/>
      <c r="D553" s="56"/>
      <c r="E553" s="80"/>
      <c r="F553" s="58"/>
      <c r="G553" s="58"/>
      <c r="H553" s="58"/>
      <c r="I553" s="58"/>
      <c r="J553" s="58"/>
      <c r="K553" s="58"/>
      <c r="L553" s="59">
        <f t="shared" si="60"/>
        <v>0</v>
      </c>
      <c r="M553" s="68"/>
      <c r="N553" s="68"/>
      <c r="O553" s="68"/>
      <c r="P553" s="68"/>
      <c r="Q553" s="99" t="e">
        <f t="shared" si="61"/>
        <v>#DIV/0!</v>
      </c>
      <c r="R553" s="100">
        <f t="shared" si="62"/>
        <v>0.43387671059875982</v>
      </c>
      <c r="S553" s="83"/>
      <c r="T553" s="83"/>
      <c r="U553" s="101">
        <f t="shared" si="63"/>
        <v>2021.2824107652905</v>
      </c>
      <c r="V553" s="59" t="e">
        <f t="shared" si="59"/>
        <v>#DIV/0!</v>
      </c>
      <c r="W553" s="68"/>
      <c r="X553" s="68"/>
      <c r="Y553" s="68"/>
      <c r="Z553" s="68"/>
      <c r="AA553" s="45"/>
    </row>
    <row r="554" spans="2:27" x14ac:dyDescent="0.45">
      <c r="B554" s="45" t="s">
        <v>360</v>
      </c>
      <c r="C554" s="90"/>
      <c r="D554" s="56"/>
      <c r="E554" s="84"/>
      <c r="F554" s="58"/>
      <c r="G554" s="58"/>
      <c r="H554" s="58"/>
      <c r="I554" s="58"/>
      <c r="J554" s="58"/>
      <c r="K554" s="58"/>
      <c r="L554" s="59">
        <f t="shared" si="60"/>
        <v>0</v>
      </c>
      <c r="M554" s="68"/>
      <c r="N554" s="68"/>
      <c r="O554" s="68"/>
      <c r="P554" s="68"/>
      <c r="Q554" s="99" t="e">
        <f t="shared" si="61"/>
        <v>#DIV/0!</v>
      </c>
      <c r="R554" s="100">
        <f t="shared" si="62"/>
        <v>0.43387671059875982</v>
      </c>
      <c r="S554" s="83"/>
      <c r="T554" s="83"/>
      <c r="U554" s="101">
        <f t="shared" si="63"/>
        <v>2021.2824107652905</v>
      </c>
      <c r="V554" s="59" t="e">
        <f t="shared" si="59"/>
        <v>#DIV/0!</v>
      </c>
      <c r="W554" s="68"/>
      <c r="X554" s="68"/>
      <c r="Y554" s="68"/>
      <c r="Z554" s="68"/>
      <c r="AA554" s="45"/>
    </row>
    <row r="555" spans="2:27" x14ac:dyDescent="0.45">
      <c r="B555" s="45" t="s">
        <v>361</v>
      </c>
      <c r="C555" s="90"/>
      <c r="D555" s="56"/>
      <c r="E555" s="57"/>
      <c r="F555" s="58"/>
      <c r="G555" s="58"/>
      <c r="H555" s="58"/>
      <c r="I555" s="58"/>
      <c r="J555" s="58"/>
      <c r="K555" s="58"/>
      <c r="L555" s="59">
        <f t="shared" si="60"/>
        <v>0</v>
      </c>
      <c r="M555" s="68"/>
      <c r="N555" s="68"/>
      <c r="O555" s="68"/>
      <c r="P555" s="68"/>
      <c r="Q555" s="99" t="e">
        <f t="shared" si="61"/>
        <v>#DIV/0!</v>
      </c>
      <c r="R555" s="100">
        <f t="shared" si="62"/>
        <v>0.43387671059875982</v>
      </c>
      <c r="S555" s="83"/>
      <c r="T555" s="83"/>
      <c r="U555" s="101">
        <f t="shared" si="63"/>
        <v>2021.2824107652905</v>
      </c>
      <c r="V555" s="59" t="e">
        <f t="shared" si="59"/>
        <v>#DIV/0!</v>
      </c>
      <c r="W555" s="68"/>
      <c r="X555" s="68"/>
      <c r="Y555" s="68"/>
      <c r="Z555" s="68"/>
      <c r="AA555" s="45"/>
    </row>
    <row r="556" spans="2:27" x14ac:dyDescent="0.45">
      <c r="B556" s="45" t="s">
        <v>362</v>
      </c>
      <c r="C556" s="90"/>
      <c r="D556" s="56"/>
      <c r="E556" s="80"/>
      <c r="F556" s="58"/>
      <c r="G556" s="58"/>
      <c r="H556" s="58"/>
      <c r="I556" s="58"/>
      <c r="J556" s="58"/>
      <c r="K556" s="58"/>
      <c r="L556" s="59">
        <f t="shared" si="60"/>
        <v>0</v>
      </c>
      <c r="M556" s="68"/>
      <c r="N556" s="68"/>
      <c r="O556" s="68"/>
      <c r="P556" s="68"/>
      <c r="Q556" s="99" t="e">
        <f t="shared" si="61"/>
        <v>#DIV/0!</v>
      </c>
      <c r="R556" s="100">
        <f t="shared" si="62"/>
        <v>0.43387671059875982</v>
      </c>
      <c r="S556" s="83"/>
      <c r="T556" s="83"/>
      <c r="U556" s="101">
        <f t="shared" si="63"/>
        <v>2021.2824107652905</v>
      </c>
      <c r="V556" s="59" t="e">
        <f t="shared" si="59"/>
        <v>#DIV/0!</v>
      </c>
      <c r="W556" s="68"/>
      <c r="X556" s="68"/>
      <c r="Y556" s="68"/>
      <c r="Z556" s="68"/>
      <c r="AA556" s="45"/>
    </row>
    <row r="557" spans="2:27" x14ac:dyDescent="0.45">
      <c r="B557" s="45" t="s">
        <v>363</v>
      </c>
      <c r="C557" s="90"/>
      <c r="D557" s="56"/>
      <c r="E557" s="84"/>
      <c r="F557" s="58"/>
      <c r="G557" s="58"/>
      <c r="H557" s="58"/>
      <c r="I557" s="58"/>
      <c r="J557" s="58"/>
      <c r="K557" s="58"/>
      <c r="L557" s="59">
        <f t="shared" si="60"/>
        <v>0</v>
      </c>
      <c r="M557" s="68"/>
      <c r="N557" s="68"/>
      <c r="O557" s="68"/>
      <c r="P557" s="68"/>
      <c r="Q557" s="99" t="e">
        <f t="shared" si="61"/>
        <v>#DIV/0!</v>
      </c>
      <c r="R557" s="100">
        <f t="shared" si="62"/>
        <v>0.43387671059875982</v>
      </c>
      <c r="S557" s="83"/>
      <c r="T557" s="83"/>
      <c r="U557" s="101">
        <f t="shared" si="63"/>
        <v>2021.2824107652905</v>
      </c>
      <c r="V557" s="59" t="e">
        <f t="shared" si="59"/>
        <v>#DIV/0!</v>
      </c>
      <c r="W557" s="68"/>
      <c r="X557" s="68"/>
      <c r="Y557" s="68"/>
      <c r="Z557" s="68"/>
      <c r="AA557" s="45"/>
    </row>
    <row r="558" spans="2:27" x14ac:dyDescent="0.45">
      <c r="B558" s="45" t="s">
        <v>364</v>
      </c>
      <c r="C558" s="90"/>
      <c r="D558" s="56"/>
      <c r="E558" s="57"/>
      <c r="F558" s="58"/>
      <c r="G558" s="58"/>
      <c r="H558" s="58"/>
      <c r="I558" s="58"/>
      <c r="J558" s="58"/>
      <c r="K558" s="58"/>
      <c r="L558" s="59">
        <f t="shared" si="60"/>
        <v>0</v>
      </c>
      <c r="M558" s="68"/>
      <c r="N558" s="68"/>
      <c r="O558" s="68"/>
      <c r="P558" s="68"/>
      <c r="Q558" s="99" t="e">
        <f t="shared" si="61"/>
        <v>#DIV/0!</v>
      </c>
      <c r="R558" s="100">
        <f t="shared" si="62"/>
        <v>0.43387671059875982</v>
      </c>
      <c r="S558" s="83"/>
      <c r="T558" s="83"/>
      <c r="U558" s="101">
        <f t="shared" si="63"/>
        <v>2021.2824107652905</v>
      </c>
      <c r="V558" s="59" t="e">
        <f t="shared" si="59"/>
        <v>#DIV/0!</v>
      </c>
      <c r="W558" s="68"/>
      <c r="X558" s="68"/>
      <c r="Y558" s="68"/>
      <c r="Z558" s="68"/>
      <c r="AA558" s="45"/>
    </row>
    <row r="559" spans="2:27" x14ac:dyDescent="0.45">
      <c r="B559" s="45" t="s">
        <v>365</v>
      </c>
      <c r="C559" s="90"/>
      <c r="D559" s="56"/>
      <c r="E559" s="80"/>
      <c r="F559" s="58"/>
      <c r="G559" s="58"/>
      <c r="H559" s="58"/>
      <c r="I559" s="58"/>
      <c r="J559" s="58"/>
      <c r="K559" s="58"/>
      <c r="L559" s="59">
        <f t="shared" si="60"/>
        <v>0</v>
      </c>
      <c r="M559" s="68"/>
      <c r="N559" s="68"/>
      <c r="O559" s="68"/>
      <c r="P559" s="68"/>
      <c r="Q559" s="99" t="e">
        <f t="shared" si="61"/>
        <v>#DIV/0!</v>
      </c>
      <c r="R559" s="100">
        <f t="shared" si="62"/>
        <v>0.43387671059875982</v>
      </c>
      <c r="S559" s="83"/>
      <c r="T559" s="83"/>
      <c r="U559" s="101">
        <f t="shared" si="63"/>
        <v>2021.2824107652905</v>
      </c>
      <c r="V559" s="59" t="e">
        <f t="shared" si="59"/>
        <v>#DIV/0!</v>
      </c>
      <c r="W559" s="68"/>
      <c r="X559" s="68"/>
      <c r="Y559" s="68"/>
      <c r="Z559" s="68"/>
      <c r="AA559" s="45"/>
    </row>
    <row r="560" spans="2:27" x14ac:dyDescent="0.45">
      <c r="B560" s="45" t="s">
        <v>366</v>
      </c>
      <c r="C560" s="90"/>
      <c r="D560" s="56"/>
      <c r="E560" s="84"/>
      <c r="F560" s="58"/>
      <c r="G560" s="58"/>
      <c r="H560" s="58"/>
      <c r="I560" s="58"/>
      <c r="J560" s="58"/>
      <c r="K560" s="58"/>
      <c r="L560" s="59">
        <f t="shared" si="60"/>
        <v>0</v>
      </c>
      <c r="M560" s="68"/>
      <c r="N560" s="68"/>
      <c r="O560" s="68"/>
      <c r="P560" s="68"/>
      <c r="Q560" s="99" t="e">
        <f t="shared" si="61"/>
        <v>#DIV/0!</v>
      </c>
      <c r="R560" s="100">
        <f t="shared" si="62"/>
        <v>0.43387671059875982</v>
      </c>
      <c r="S560" s="83"/>
      <c r="T560" s="83"/>
      <c r="U560" s="101">
        <f t="shared" si="63"/>
        <v>2021.2824107652905</v>
      </c>
      <c r="V560" s="59" t="e">
        <f t="shared" si="59"/>
        <v>#DIV/0!</v>
      </c>
      <c r="W560" s="68"/>
      <c r="X560" s="68"/>
      <c r="Y560" s="68"/>
      <c r="Z560" s="68"/>
      <c r="AA560" s="45"/>
    </row>
    <row r="561" spans="2:27" x14ac:dyDescent="0.45">
      <c r="B561" s="45" t="s">
        <v>367</v>
      </c>
      <c r="C561" s="90"/>
      <c r="D561" s="56"/>
      <c r="E561" s="57"/>
      <c r="F561" s="58"/>
      <c r="G561" s="58"/>
      <c r="H561" s="58"/>
      <c r="I561" s="58"/>
      <c r="J561" s="58"/>
      <c r="K561" s="58"/>
      <c r="L561" s="59">
        <f t="shared" si="60"/>
        <v>0</v>
      </c>
      <c r="M561" s="68"/>
      <c r="N561" s="68"/>
      <c r="O561" s="68"/>
      <c r="P561" s="68"/>
      <c r="Q561" s="99" t="e">
        <f t="shared" si="61"/>
        <v>#DIV/0!</v>
      </c>
      <c r="R561" s="100">
        <f t="shared" si="62"/>
        <v>0.43387671059875982</v>
      </c>
      <c r="S561" s="83"/>
      <c r="T561" s="83"/>
      <c r="U561" s="101">
        <f t="shared" si="63"/>
        <v>2021.2824107652905</v>
      </c>
      <c r="V561" s="59" t="e">
        <f t="shared" si="59"/>
        <v>#DIV/0!</v>
      </c>
      <c r="W561" s="68"/>
      <c r="X561" s="68"/>
      <c r="Y561" s="68"/>
      <c r="Z561" s="68"/>
      <c r="AA561" s="45"/>
    </row>
    <row r="562" spans="2:27" x14ac:dyDescent="0.45">
      <c r="B562" s="45" t="s">
        <v>368</v>
      </c>
      <c r="C562" s="90"/>
      <c r="D562" s="56"/>
      <c r="E562" s="80"/>
      <c r="F562" s="58"/>
      <c r="G562" s="58"/>
      <c r="H562" s="58"/>
      <c r="I562" s="58"/>
      <c r="J562" s="58"/>
      <c r="K562" s="58"/>
      <c r="L562" s="59">
        <f t="shared" si="60"/>
        <v>0</v>
      </c>
      <c r="M562" s="68"/>
      <c r="N562" s="68"/>
      <c r="O562" s="68"/>
      <c r="P562" s="68"/>
      <c r="Q562" s="99" t="e">
        <f t="shared" si="61"/>
        <v>#DIV/0!</v>
      </c>
      <c r="R562" s="100">
        <f t="shared" si="62"/>
        <v>0.43387671059875982</v>
      </c>
      <c r="S562" s="83"/>
      <c r="T562" s="83"/>
      <c r="U562" s="101">
        <f t="shared" si="63"/>
        <v>2021.2824107652905</v>
      </c>
      <c r="V562" s="59" t="e">
        <f t="shared" si="59"/>
        <v>#DIV/0!</v>
      </c>
      <c r="W562" s="68"/>
      <c r="X562" s="68"/>
      <c r="Y562" s="68"/>
      <c r="Z562" s="68"/>
      <c r="AA562" s="45"/>
    </row>
    <row r="563" spans="2:27" x14ac:dyDescent="0.45">
      <c r="B563" s="45" t="s">
        <v>369</v>
      </c>
      <c r="C563" s="90"/>
      <c r="D563" s="56"/>
      <c r="E563" s="84"/>
      <c r="F563" s="58"/>
      <c r="G563" s="58"/>
      <c r="H563" s="58"/>
      <c r="I563" s="58"/>
      <c r="J563" s="58"/>
      <c r="K563" s="58"/>
      <c r="L563" s="59">
        <f t="shared" si="60"/>
        <v>0</v>
      </c>
      <c r="M563" s="68"/>
      <c r="N563" s="68"/>
      <c r="O563" s="68"/>
      <c r="P563" s="68"/>
      <c r="Q563" s="99" t="e">
        <f t="shared" si="61"/>
        <v>#DIV/0!</v>
      </c>
      <c r="R563" s="100">
        <f t="shared" si="62"/>
        <v>0.43387671059875982</v>
      </c>
      <c r="S563" s="83"/>
      <c r="T563" s="83"/>
      <c r="U563" s="101">
        <f t="shared" si="63"/>
        <v>2021.2824107652905</v>
      </c>
      <c r="V563" s="59" t="e">
        <f t="shared" si="59"/>
        <v>#DIV/0!</v>
      </c>
      <c r="W563" s="68"/>
      <c r="X563" s="68"/>
      <c r="Y563" s="68"/>
      <c r="Z563" s="68"/>
      <c r="AA563" s="45"/>
    </row>
    <row r="564" spans="2:27" x14ac:dyDescent="0.45">
      <c r="B564" s="45" t="s">
        <v>370</v>
      </c>
      <c r="C564" s="90"/>
      <c r="D564" s="56"/>
      <c r="E564" s="57"/>
      <c r="F564" s="58"/>
      <c r="G564" s="58"/>
      <c r="H564" s="58"/>
      <c r="I564" s="58"/>
      <c r="J564" s="58"/>
      <c r="K564" s="58"/>
      <c r="L564" s="59">
        <f t="shared" si="60"/>
        <v>0</v>
      </c>
      <c r="M564" s="68"/>
      <c r="N564" s="68"/>
      <c r="O564" s="68"/>
      <c r="P564" s="68"/>
      <c r="Q564" s="99" t="e">
        <f t="shared" si="61"/>
        <v>#DIV/0!</v>
      </c>
      <c r="R564" s="100">
        <f t="shared" si="62"/>
        <v>0.43387671059875982</v>
      </c>
      <c r="S564" s="83"/>
      <c r="T564" s="83"/>
      <c r="U564" s="101">
        <f t="shared" si="63"/>
        <v>2021.2824107652905</v>
      </c>
      <c r="V564" s="59" t="e">
        <f t="shared" si="59"/>
        <v>#DIV/0!</v>
      </c>
      <c r="W564" s="68"/>
      <c r="X564" s="68"/>
      <c r="Y564" s="68"/>
      <c r="Z564" s="68"/>
      <c r="AA564" s="45"/>
    </row>
    <row r="565" spans="2:27" x14ac:dyDescent="0.45">
      <c r="B565" s="45" t="s">
        <v>371</v>
      </c>
      <c r="C565" s="90"/>
      <c r="D565" s="56"/>
      <c r="E565" s="80"/>
      <c r="F565" s="58"/>
      <c r="G565" s="58"/>
      <c r="H565" s="58"/>
      <c r="I565" s="58"/>
      <c r="J565" s="58"/>
      <c r="K565" s="58"/>
      <c r="L565" s="59">
        <f t="shared" si="60"/>
        <v>0</v>
      </c>
      <c r="M565" s="68"/>
      <c r="N565" s="68"/>
      <c r="O565" s="68"/>
      <c r="P565" s="68"/>
      <c r="Q565" s="99" t="e">
        <f t="shared" si="61"/>
        <v>#DIV/0!</v>
      </c>
      <c r="R565" s="100">
        <f t="shared" si="62"/>
        <v>0.43387671059875982</v>
      </c>
      <c r="S565" s="83"/>
      <c r="T565" s="83"/>
      <c r="U565" s="101">
        <f t="shared" si="63"/>
        <v>2021.2824107652905</v>
      </c>
      <c r="V565" s="59" t="e">
        <f t="shared" si="59"/>
        <v>#DIV/0!</v>
      </c>
      <c r="W565" s="68"/>
      <c r="X565" s="68"/>
      <c r="Y565" s="68"/>
      <c r="Z565" s="68"/>
      <c r="AA565" s="45"/>
    </row>
    <row r="566" spans="2:27" x14ac:dyDescent="0.45">
      <c r="B566" s="45" t="s">
        <v>372</v>
      </c>
      <c r="C566" s="90"/>
      <c r="D566" s="56"/>
      <c r="E566" s="84"/>
      <c r="F566" s="58"/>
      <c r="G566" s="58"/>
      <c r="H566" s="58"/>
      <c r="I566" s="58"/>
      <c r="J566" s="58"/>
      <c r="K566" s="58"/>
      <c r="L566" s="59">
        <f t="shared" si="60"/>
        <v>0</v>
      </c>
      <c r="M566" s="68"/>
      <c r="N566" s="68"/>
      <c r="O566" s="68"/>
      <c r="P566" s="68"/>
      <c r="Q566" s="99" t="e">
        <f t="shared" si="61"/>
        <v>#DIV/0!</v>
      </c>
      <c r="R566" s="100">
        <f t="shared" si="62"/>
        <v>0.43387671059875982</v>
      </c>
      <c r="S566" s="83"/>
      <c r="T566" s="83"/>
      <c r="U566" s="101">
        <f t="shared" si="63"/>
        <v>2021.2824107652905</v>
      </c>
      <c r="V566" s="59" t="e">
        <f t="shared" si="59"/>
        <v>#DIV/0!</v>
      </c>
      <c r="W566" s="68"/>
      <c r="X566" s="68"/>
      <c r="Y566" s="68"/>
      <c r="Z566" s="68"/>
      <c r="AA566" s="45"/>
    </row>
    <row r="567" spans="2:27" x14ac:dyDescent="0.45">
      <c r="B567" s="45" t="s">
        <v>373</v>
      </c>
      <c r="C567" s="90"/>
      <c r="D567" s="56"/>
      <c r="E567" s="57"/>
      <c r="F567" s="58"/>
      <c r="G567" s="58"/>
      <c r="H567" s="58"/>
      <c r="I567" s="58"/>
      <c r="J567" s="58"/>
      <c r="K567" s="58"/>
      <c r="L567" s="59">
        <f t="shared" si="60"/>
        <v>0</v>
      </c>
      <c r="M567" s="68"/>
      <c r="N567" s="68"/>
      <c r="O567" s="68"/>
      <c r="P567" s="68"/>
      <c r="Q567" s="99" t="e">
        <f t="shared" si="61"/>
        <v>#DIV/0!</v>
      </c>
      <c r="R567" s="100">
        <f t="shared" si="62"/>
        <v>0.43387671059875982</v>
      </c>
      <c r="S567" s="83"/>
      <c r="T567" s="83"/>
      <c r="U567" s="101">
        <f t="shared" si="63"/>
        <v>2021.2824107652905</v>
      </c>
      <c r="V567" s="59" t="e">
        <f t="shared" si="59"/>
        <v>#DIV/0!</v>
      </c>
      <c r="W567" s="68"/>
      <c r="X567" s="68"/>
      <c r="Y567" s="68"/>
      <c r="Z567" s="68"/>
      <c r="AA567" s="45"/>
    </row>
    <row r="568" spans="2:27" x14ac:dyDescent="0.45">
      <c r="B568" s="45" t="s">
        <v>374</v>
      </c>
      <c r="C568" s="90"/>
      <c r="D568" s="56"/>
      <c r="E568" s="80"/>
      <c r="F568" s="58"/>
      <c r="G568" s="58"/>
      <c r="H568" s="58"/>
      <c r="I568" s="58"/>
      <c r="J568" s="58"/>
      <c r="K568" s="58"/>
      <c r="L568" s="59">
        <f t="shared" si="60"/>
        <v>0</v>
      </c>
      <c r="M568" s="68"/>
      <c r="N568" s="68"/>
      <c r="O568" s="68"/>
      <c r="P568" s="68"/>
      <c r="Q568" s="99" t="e">
        <f t="shared" si="61"/>
        <v>#DIV/0!</v>
      </c>
      <c r="R568" s="100">
        <f t="shared" si="62"/>
        <v>0.43387671059875982</v>
      </c>
      <c r="S568" s="83"/>
      <c r="T568" s="83"/>
      <c r="U568" s="101">
        <f t="shared" si="63"/>
        <v>2021.2824107652905</v>
      </c>
      <c r="V568" s="59" t="e">
        <f t="shared" si="59"/>
        <v>#DIV/0!</v>
      </c>
      <c r="W568" s="68"/>
      <c r="X568" s="68"/>
      <c r="Y568" s="68"/>
      <c r="Z568" s="68"/>
      <c r="AA568" s="45"/>
    </row>
    <row r="569" spans="2:27" x14ac:dyDescent="0.45">
      <c r="B569" s="45" t="s">
        <v>375</v>
      </c>
      <c r="C569" s="90"/>
      <c r="D569" s="56"/>
      <c r="E569" s="84"/>
      <c r="F569" s="58"/>
      <c r="G569" s="58"/>
      <c r="H569" s="58"/>
      <c r="I569" s="58"/>
      <c r="J569" s="58"/>
      <c r="K569" s="58"/>
      <c r="L569" s="59">
        <f t="shared" si="60"/>
        <v>0</v>
      </c>
      <c r="M569" s="68"/>
      <c r="N569" s="68"/>
      <c r="O569" s="68"/>
      <c r="P569" s="68"/>
      <c r="Q569" s="99" t="e">
        <f t="shared" si="61"/>
        <v>#DIV/0!</v>
      </c>
      <c r="R569" s="100">
        <f t="shared" si="62"/>
        <v>0.43387671059875982</v>
      </c>
      <c r="S569" s="83"/>
      <c r="T569" s="83"/>
      <c r="U569" s="101">
        <f t="shared" si="63"/>
        <v>2021.2824107652905</v>
      </c>
      <c r="V569" s="59" t="e">
        <f t="shared" si="59"/>
        <v>#DIV/0!</v>
      </c>
      <c r="W569" s="68"/>
      <c r="X569" s="68"/>
      <c r="Y569" s="68"/>
      <c r="Z569" s="68"/>
      <c r="AA569" s="45"/>
    </row>
    <row r="570" spans="2:27" x14ac:dyDescent="0.45">
      <c r="B570" s="45" t="s">
        <v>376</v>
      </c>
      <c r="C570" s="90"/>
      <c r="D570" s="56"/>
      <c r="E570" s="57"/>
      <c r="F570" s="58"/>
      <c r="G570" s="58"/>
      <c r="H570" s="58"/>
      <c r="I570" s="58"/>
      <c r="J570" s="58"/>
      <c r="K570" s="58"/>
      <c r="L570" s="59">
        <f t="shared" si="60"/>
        <v>0</v>
      </c>
      <c r="M570" s="68"/>
      <c r="N570" s="68"/>
      <c r="O570" s="68"/>
      <c r="P570" s="68"/>
      <c r="Q570" s="99" t="e">
        <f t="shared" si="61"/>
        <v>#DIV/0!</v>
      </c>
      <c r="R570" s="100">
        <f t="shared" si="62"/>
        <v>0.43387671059875982</v>
      </c>
      <c r="S570" s="83"/>
      <c r="T570" s="83"/>
      <c r="U570" s="101">
        <f t="shared" si="63"/>
        <v>2021.2824107652905</v>
      </c>
      <c r="V570" s="59" t="e">
        <f t="shared" si="59"/>
        <v>#DIV/0!</v>
      </c>
      <c r="W570" s="68"/>
      <c r="X570" s="68"/>
      <c r="Y570" s="68"/>
      <c r="Z570" s="68"/>
      <c r="AA570" s="45"/>
    </row>
    <row r="571" spans="2:27" x14ac:dyDescent="0.45">
      <c r="B571" s="45" t="s">
        <v>377</v>
      </c>
      <c r="C571" s="90"/>
      <c r="D571" s="56"/>
      <c r="E571" s="80"/>
      <c r="F571" s="58"/>
      <c r="G571" s="58"/>
      <c r="H571" s="58"/>
      <c r="I571" s="58"/>
      <c r="J571" s="58"/>
      <c r="K571" s="58"/>
      <c r="L571" s="59">
        <f t="shared" si="60"/>
        <v>0</v>
      </c>
      <c r="M571" s="68"/>
      <c r="N571" s="68"/>
      <c r="O571" s="68"/>
      <c r="P571" s="68"/>
      <c r="Q571" s="99" t="e">
        <f t="shared" si="61"/>
        <v>#DIV/0!</v>
      </c>
      <c r="R571" s="100">
        <f t="shared" si="62"/>
        <v>0.43387671059875982</v>
      </c>
      <c r="S571" s="83"/>
      <c r="T571" s="83"/>
      <c r="U571" s="101">
        <f t="shared" si="63"/>
        <v>2021.2824107652905</v>
      </c>
      <c r="V571" s="59" t="e">
        <f t="shared" si="59"/>
        <v>#DIV/0!</v>
      </c>
      <c r="W571" s="68"/>
      <c r="X571" s="68"/>
      <c r="Y571" s="68"/>
      <c r="Z571" s="68"/>
      <c r="AA571" s="45"/>
    </row>
    <row r="572" spans="2:27" x14ac:dyDescent="0.45">
      <c r="B572" s="45" t="s">
        <v>378</v>
      </c>
      <c r="C572" s="90"/>
      <c r="D572" s="56"/>
      <c r="E572" s="84"/>
      <c r="F572" s="58"/>
      <c r="G572" s="58"/>
      <c r="H572" s="58"/>
      <c r="I572" s="58"/>
      <c r="J572" s="58"/>
      <c r="K572" s="58"/>
      <c r="L572" s="59">
        <f t="shared" si="60"/>
        <v>0</v>
      </c>
      <c r="M572" s="68"/>
      <c r="N572" s="68"/>
      <c r="O572" s="68"/>
      <c r="P572" s="68"/>
      <c r="Q572" s="99" t="e">
        <f t="shared" si="61"/>
        <v>#DIV/0!</v>
      </c>
      <c r="R572" s="100">
        <f t="shared" si="62"/>
        <v>0.43387671059875982</v>
      </c>
      <c r="S572" s="83"/>
      <c r="T572" s="83"/>
      <c r="U572" s="101">
        <f t="shared" si="63"/>
        <v>2021.2824107652905</v>
      </c>
      <c r="V572" s="59" t="e">
        <f t="shared" si="59"/>
        <v>#DIV/0!</v>
      </c>
      <c r="W572" s="68"/>
      <c r="X572" s="68"/>
      <c r="Y572" s="68"/>
      <c r="Z572" s="68"/>
      <c r="AA572" s="45"/>
    </row>
    <row r="573" spans="2:27" x14ac:dyDescent="0.45">
      <c r="B573" s="45" t="s">
        <v>379</v>
      </c>
      <c r="C573" s="90"/>
      <c r="D573" s="56"/>
      <c r="E573" s="57"/>
      <c r="F573" s="58"/>
      <c r="G573" s="58"/>
      <c r="H573" s="58"/>
      <c r="I573" s="58"/>
      <c r="J573" s="58"/>
      <c r="K573" s="58"/>
      <c r="L573" s="59">
        <f t="shared" si="60"/>
        <v>0</v>
      </c>
      <c r="M573" s="68"/>
      <c r="N573" s="68"/>
      <c r="O573" s="68"/>
      <c r="P573" s="68"/>
      <c r="Q573" s="99" t="e">
        <f t="shared" si="61"/>
        <v>#DIV/0!</v>
      </c>
      <c r="R573" s="100">
        <f t="shared" si="62"/>
        <v>0.43387671059875982</v>
      </c>
      <c r="S573" s="83"/>
      <c r="T573" s="83"/>
      <c r="U573" s="101">
        <f t="shared" si="63"/>
        <v>2021.2824107652905</v>
      </c>
      <c r="V573" s="59" t="e">
        <f t="shared" si="59"/>
        <v>#DIV/0!</v>
      </c>
      <c r="W573" s="68"/>
      <c r="X573" s="68"/>
      <c r="Y573" s="68"/>
      <c r="Z573" s="68"/>
      <c r="AA573" s="45"/>
    </row>
    <row r="574" spans="2:27" x14ac:dyDescent="0.45">
      <c r="B574" s="45" t="s">
        <v>380</v>
      </c>
      <c r="C574" s="90"/>
      <c r="D574" s="56"/>
      <c r="E574" s="80"/>
      <c r="F574" s="58"/>
      <c r="G574" s="58"/>
      <c r="H574" s="58"/>
      <c r="I574" s="58"/>
      <c r="J574" s="58"/>
      <c r="K574" s="58"/>
      <c r="L574" s="59">
        <f t="shared" si="60"/>
        <v>0</v>
      </c>
      <c r="M574" s="68"/>
      <c r="N574" s="68"/>
      <c r="O574" s="68"/>
      <c r="P574" s="68"/>
      <c r="Q574" s="99" t="e">
        <f t="shared" si="61"/>
        <v>#DIV/0!</v>
      </c>
      <c r="R574" s="100">
        <f t="shared" si="62"/>
        <v>0.43387671059875982</v>
      </c>
      <c r="S574" s="83"/>
      <c r="T574" s="83"/>
      <c r="U574" s="101">
        <f t="shared" si="63"/>
        <v>2021.2824107652905</v>
      </c>
      <c r="V574" s="59" t="e">
        <f t="shared" si="59"/>
        <v>#DIV/0!</v>
      </c>
      <c r="W574" s="68"/>
      <c r="X574" s="68"/>
      <c r="Y574" s="68"/>
      <c r="Z574" s="68"/>
      <c r="AA574" s="45"/>
    </row>
    <row r="575" spans="2:27" x14ac:dyDescent="0.45">
      <c r="B575" s="45" t="s">
        <v>381</v>
      </c>
      <c r="C575" s="90"/>
      <c r="D575" s="56"/>
      <c r="E575" s="84"/>
      <c r="F575" s="58"/>
      <c r="G575" s="58"/>
      <c r="H575" s="58"/>
      <c r="I575" s="58"/>
      <c r="J575" s="58"/>
      <c r="K575" s="58"/>
      <c r="L575" s="59">
        <f t="shared" si="60"/>
        <v>0</v>
      </c>
      <c r="M575" s="68"/>
      <c r="N575" s="68"/>
      <c r="O575" s="68"/>
      <c r="P575" s="68"/>
      <c r="Q575" s="99" t="e">
        <f t="shared" si="61"/>
        <v>#DIV/0!</v>
      </c>
      <c r="R575" s="100">
        <f t="shared" si="62"/>
        <v>0.43387671059875982</v>
      </c>
      <c r="S575" s="83"/>
      <c r="T575" s="83"/>
      <c r="U575" s="101">
        <f t="shared" si="63"/>
        <v>2021.2824107652905</v>
      </c>
      <c r="V575" s="59" t="e">
        <f t="shared" si="59"/>
        <v>#DIV/0!</v>
      </c>
      <c r="W575" s="68"/>
      <c r="X575" s="68"/>
      <c r="Y575" s="68"/>
      <c r="Z575" s="68"/>
      <c r="AA575" s="45"/>
    </row>
    <row r="576" spans="2:27" x14ac:dyDescent="0.45">
      <c r="B576" s="45" t="s">
        <v>382</v>
      </c>
      <c r="C576" s="90"/>
      <c r="D576" s="56"/>
      <c r="E576" s="57"/>
      <c r="F576" s="58"/>
      <c r="G576" s="58"/>
      <c r="H576" s="58"/>
      <c r="I576" s="58"/>
      <c r="J576" s="58"/>
      <c r="K576" s="58"/>
      <c r="L576" s="59">
        <f t="shared" si="60"/>
        <v>0</v>
      </c>
      <c r="M576" s="68"/>
      <c r="N576" s="68"/>
      <c r="O576" s="68"/>
      <c r="P576" s="68"/>
      <c r="Q576" s="99" t="e">
        <f t="shared" si="61"/>
        <v>#DIV/0!</v>
      </c>
      <c r="R576" s="100">
        <f t="shared" si="62"/>
        <v>0.43387671059875982</v>
      </c>
      <c r="S576" s="83"/>
      <c r="T576" s="83"/>
      <c r="U576" s="101">
        <f t="shared" si="63"/>
        <v>2021.2824107652905</v>
      </c>
      <c r="V576" s="59" t="e">
        <f t="shared" si="59"/>
        <v>#DIV/0!</v>
      </c>
      <c r="W576" s="68"/>
      <c r="X576" s="68"/>
      <c r="Y576" s="68"/>
      <c r="Z576" s="68"/>
      <c r="AA576" s="45"/>
    </row>
    <row r="577" spans="2:27" x14ac:dyDescent="0.45">
      <c r="B577" s="45" t="s">
        <v>383</v>
      </c>
      <c r="C577" s="90"/>
      <c r="D577" s="56"/>
      <c r="E577" s="80"/>
      <c r="F577" s="58"/>
      <c r="G577" s="58"/>
      <c r="H577" s="58"/>
      <c r="I577" s="58"/>
      <c r="J577" s="58"/>
      <c r="K577" s="58"/>
      <c r="L577" s="59">
        <f t="shared" si="60"/>
        <v>0</v>
      </c>
      <c r="M577" s="68"/>
      <c r="N577" s="68"/>
      <c r="O577" s="68"/>
      <c r="P577" s="68"/>
      <c r="Q577" s="99" t="e">
        <f t="shared" si="61"/>
        <v>#DIV/0!</v>
      </c>
      <c r="R577" s="100">
        <f t="shared" si="62"/>
        <v>0.43387671059875982</v>
      </c>
      <c r="S577" s="83"/>
      <c r="T577" s="83"/>
      <c r="U577" s="101">
        <f t="shared" si="63"/>
        <v>2021.2824107652905</v>
      </c>
      <c r="V577" s="59" t="e">
        <f t="shared" si="59"/>
        <v>#DIV/0!</v>
      </c>
      <c r="W577" s="68"/>
      <c r="X577" s="68"/>
      <c r="Y577" s="68"/>
      <c r="Z577" s="68"/>
      <c r="AA577" s="45"/>
    </row>
    <row r="578" spans="2:27" x14ac:dyDescent="0.45">
      <c r="B578" s="45" t="s">
        <v>384</v>
      </c>
      <c r="C578" s="90"/>
      <c r="D578" s="56"/>
      <c r="E578" s="84"/>
      <c r="F578" s="58"/>
      <c r="G578" s="58"/>
      <c r="H578" s="58"/>
      <c r="I578" s="58"/>
      <c r="J578" s="58"/>
      <c r="K578" s="58"/>
      <c r="L578" s="59">
        <f t="shared" si="60"/>
        <v>0</v>
      </c>
      <c r="M578" s="68"/>
      <c r="N578" s="68"/>
      <c r="O578" s="68"/>
      <c r="P578" s="68"/>
      <c r="Q578" s="99" t="e">
        <f t="shared" si="61"/>
        <v>#DIV/0!</v>
      </c>
      <c r="R578" s="100">
        <f t="shared" si="62"/>
        <v>0.43387671059875982</v>
      </c>
      <c r="S578" s="83"/>
      <c r="T578" s="83"/>
      <c r="U578" s="101">
        <f t="shared" si="63"/>
        <v>2021.2824107652905</v>
      </c>
      <c r="V578" s="59" t="e">
        <f t="shared" si="59"/>
        <v>#DIV/0!</v>
      </c>
      <c r="W578" s="68"/>
      <c r="X578" s="68"/>
      <c r="Y578" s="68"/>
      <c r="Z578" s="68"/>
      <c r="AA578" s="45"/>
    </row>
    <row r="579" spans="2:27" x14ac:dyDescent="0.45">
      <c r="B579" s="45" t="s">
        <v>385</v>
      </c>
      <c r="C579" s="90"/>
      <c r="D579" s="56"/>
      <c r="E579" s="57"/>
      <c r="F579" s="58"/>
      <c r="G579" s="58"/>
      <c r="H579" s="58"/>
      <c r="I579" s="58"/>
      <c r="J579" s="58"/>
      <c r="K579" s="58"/>
      <c r="L579" s="59">
        <f t="shared" si="60"/>
        <v>0</v>
      </c>
      <c r="M579" s="68"/>
      <c r="N579" s="68"/>
      <c r="O579" s="68"/>
      <c r="P579" s="68"/>
      <c r="Q579" s="99" t="e">
        <f t="shared" si="61"/>
        <v>#DIV/0!</v>
      </c>
      <c r="R579" s="100">
        <f t="shared" si="62"/>
        <v>0.43387671059875982</v>
      </c>
      <c r="S579" s="83"/>
      <c r="T579" s="83"/>
      <c r="U579" s="101">
        <f t="shared" si="63"/>
        <v>2021.2824107652905</v>
      </c>
      <c r="V579" s="59" t="e">
        <f t="shared" si="59"/>
        <v>#DIV/0!</v>
      </c>
      <c r="W579" s="68"/>
      <c r="X579" s="68"/>
      <c r="Y579" s="68"/>
      <c r="Z579" s="68"/>
      <c r="AA579" s="45"/>
    </row>
    <row r="580" spans="2:27" x14ac:dyDescent="0.45">
      <c r="B580" s="45" t="s">
        <v>386</v>
      </c>
      <c r="C580" s="90"/>
      <c r="D580" s="56"/>
      <c r="E580" s="80"/>
      <c r="F580" s="58"/>
      <c r="G580" s="58"/>
      <c r="H580" s="58"/>
      <c r="I580" s="58"/>
      <c r="J580" s="58"/>
      <c r="K580" s="58"/>
      <c r="L580" s="59">
        <f t="shared" si="60"/>
        <v>0</v>
      </c>
      <c r="M580" s="68"/>
      <c r="N580" s="68"/>
      <c r="O580" s="68"/>
      <c r="P580" s="68"/>
      <c r="Q580" s="99" t="e">
        <f t="shared" si="61"/>
        <v>#DIV/0!</v>
      </c>
      <c r="R580" s="100">
        <f t="shared" si="62"/>
        <v>0.43387671059875982</v>
      </c>
      <c r="S580" s="83"/>
      <c r="T580" s="83"/>
      <c r="U580" s="101">
        <f t="shared" si="63"/>
        <v>2021.2824107652905</v>
      </c>
      <c r="V580" s="59" t="e">
        <f t="shared" si="59"/>
        <v>#DIV/0!</v>
      </c>
      <c r="W580" s="68"/>
      <c r="X580" s="68"/>
      <c r="Y580" s="68"/>
      <c r="Z580" s="68"/>
      <c r="AA580" s="45"/>
    </row>
    <row r="581" spans="2:27" x14ac:dyDescent="0.45">
      <c r="B581" s="45" t="s">
        <v>387</v>
      </c>
      <c r="C581" s="90"/>
      <c r="D581" s="56"/>
      <c r="E581" s="84"/>
      <c r="F581" s="58"/>
      <c r="G581" s="58"/>
      <c r="H581" s="58"/>
      <c r="I581" s="58"/>
      <c r="J581" s="58"/>
      <c r="K581" s="58"/>
      <c r="L581" s="59">
        <f t="shared" si="60"/>
        <v>0</v>
      </c>
      <c r="M581" s="68"/>
      <c r="N581" s="68"/>
      <c r="O581" s="68"/>
      <c r="P581" s="68"/>
      <c r="Q581" s="99" t="e">
        <f t="shared" si="61"/>
        <v>#DIV/0!</v>
      </c>
      <c r="R581" s="100">
        <f t="shared" si="62"/>
        <v>0.43387671059875982</v>
      </c>
      <c r="S581" s="83"/>
      <c r="T581" s="83"/>
      <c r="U581" s="101">
        <f t="shared" si="63"/>
        <v>2021.2824107652905</v>
      </c>
      <c r="V581" s="59" t="e">
        <f t="shared" si="59"/>
        <v>#DIV/0!</v>
      </c>
      <c r="W581" s="68"/>
      <c r="X581" s="68"/>
      <c r="Y581" s="68"/>
      <c r="Z581" s="68"/>
      <c r="AA581" s="45"/>
    </row>
    <row r="582" spans="2:27" x14ac:dyDescent="0.45">
      <c r="B582" s="45" t="s">
        <v>388</v>
      </c>
      <c r="C582" s="90"/>
      <c r="D582" s="56"/>
      <c r="E582" s="57"/>
      <c r="F582" s="58"/>
      <c r="G582" s="58"/>
      <c r="H582" s="58"/>
      <c r="I582" s="58"/>
      <c r="J582" s="58"/>
      <c r="K582" s="58"/>
      <c r="L582" s="59">
        <f t="shared" si="60"/>
        <v>0</v>
      </c>
      <c r="M582" s="68"/>
      <c r="N582" s="68"/>
      <c r="O582" s="68"/>
      <c r="P582" s="68"/>
      <c r="Q582" s="99" t="e">
        <f t="shared" si="61"/>
        <v>#DIV/0!</v>
      </c>
      <c r="R582" s="100">
        <f t="shared" si="62"/>
        <v>0.43387671059875982</v>
      </c>
      <c r="S582" s="83"/>
      <c r="T582" s="83"/>
      <c r="U582" s="101">
        <f t="shared" si="63"/>
        <v>2021.2824107652905</v>
      </c>
      <c r="V582" s="59" t="e">
        <f t="shared" si="59"/>
        <v>#DIV/0!</v>
      </c>
      <c r="W582" s="68"/>
      <c r="X582" s="68"/>
      <c r="Y582" s="68"/>
      <c r="Z582" s="68"/>
      <c r="AA582" s="45"/>
    </row>
    <row r="583" spans="2:27" x14ac:dyDescent="0.45">
      <c r="B583" s="45" t="s">
        <v>389</v>
      </c>
      <c r="C583" s="90"/>
      <c r="D583" s="56"/>
      <c r="E583" s="80"/>
      <c r="F583" s="58"/>
      <c r="G583" s="58"/>
      <c r="H583" s="58"/>
      <c r="I583" s="58"/>
      <c r="J583" s="58"/>
      <c r="K583" s="58"/>
      <c r="L583" s="59">
        <f t="shared" si="60"/>
        <v>0</v>
      </c>
      <c r="M583" s="68"/>
      <c r="N583" s="68"/>
      <c r="O583" s="68"/>
      <c r="P583" s="68"/>
      <c r="Q583" s="99" t="e">
        <f t="shared" si="61"/>
        <v>#DIV/0!</v>
      </c>
      <c r="R583" s="100">
        <f t="shared" si="62"/>
        <v>0.43387671059875982</v>
      </c>
      <c r="S583" s="83"/>
      <c r="T583" s="83"/>
      <c r="U583" s="101">
        <f t="shared" si="63"/>
        <v>2021.2824107652905</v>
      </c>
      <c r="V583" s="59" t="e">
        <f t="shared" si="59"/>
        <v>#DIV/0!</v>
      </c>
      <c r="W583" s="68"/>
      <c r="X583" s="68"/>
      <c r="Y583" s="68"/>
      <c r="Z583" s="68"/>
      <c r="AA583" s="45"/>
    </row>
    <row r="584" spans="2:27" x14ac:dyDescent="0.45">
      <c r="B584" s="45" t="s">
        <v>390</v>
      </c>
      <c r="C584" s="90"/>
      <c r="D584" s="56"/>
      <c r="E584" s="84"/>
      <c r="F584" s="58"/>
      <c r="G584" s="58"/>
      <c r="H584" s="58"/>
      <c r="I584" s="58"/>
      <c r="J584" s="58"/>
      <c r="K584" s="58"/>
      <c r="L584" s="59">
        <f t="shared" si="60"/>
        <v>0</v>
      </c>
      <c r="M584" s="68"/>
      <c r="N584" s="68"/>
      <c r="O584" s="68"/>
      <c r="P584" s="68"/>
      <c r="Q584" s="99" t="e">
        <f t="shared" si="61"/>
        <v>#DIV/0!</v>
      </c>
      <c r="R584" s="100">
        <f t="shared" si="62"/>
        <v>0.43387671059875982</v>
      </c>
      <c r="S584" s="83"/>
      <c r="T584" s="83"/>
      <c r="U584" s="101">
        <f t="shared" si="63"/>
        <v>2021.2824107652905</v>
      </c>
      <c r="V584" s="59" t="e">
        <f t="shared" si="59"/>
        <v>#DIV/0!</v>
      </c>
      <c r="W584" s="68"/>
      <c r="X584" s="68"/>
      <c r="Y584" s="68"/>
      <c r="Z584" s="68"/>
      <c r="AA584" s="45"/>
    </row>
    <row r="585" spans="2:27" x14ac:dyDescent="0.45">
      <c r="B585" s="45" t="s">
        <v>391</v>
      </c>
      <c r="C585" s="90"/>
      <c r="D585" s="56"/>
      <c r="E585" s="57"/>
      <c r="F585" s="58"/>
      <c r="G585" s="58"/>
      <c r="H585" s="58"/>
      <c r="I585" s="58"/>
      <c r="J585" s="58"/>
      <c r="K585" s="58"/>
      <c r="L585" s="59">
        <f t="shared" si="60"/>
        <v>0</v>
      </c>
      <c r="M585" s="68"/>
      <c r="N585" s="68"/>
      <c r="O585" s="68"/>
      <c r="P585" s="68"/>
      <c r="Q585" s="99" t="e">
        <f t="shared" si="61"/>
        <v>#DIV/0!</v>
      </c>
      <c r="R585" s="100">
        <f t="shared" si="62"/>
        <v>0.43387671059875982</v>
      </c>
      <c r="S585" s="83"/>
      <c r="T585" s="83"/>
      <c r="U585" s="101">
        <f t="shared" si="63"/>
        <v>2021.2824107652905</v>
      </c>
      <c r="V585" s="59" t="e">
        <f t="shared" si="59"/>
        <v>#DIV/0!</v>
      </c>
      <c r="W585" s="68"/>
      <c r="X585" s="68"/>
      <c r="Y585" s="68"/>
      <c r="Z585" s="68"/>
      <c r="AA585" s="45"/>
    </row>
    <row r="586" spans="2:27" x14ac:dyDescent="0.45">
      <c r="B586" s="45" t="s">
        <v>392</v>
      </c>
      <c r="C586" s="90"/>
      <c r="D586" s="56"/>
      <c r="E586" s="80"/>
      <c r="F586" s="58"/>
      <c r="G586" s="58"/>
      <c r="H586" s="58"/>
      <c r="I586" s="58"/>
      <c r="J586" s="58"/>
      <c r="K586" s="58"/>
      <c r="L586" s="59">
        <f t="shared" si="60"/>
        <v>0</v>
      </c>
      <c r="M586" s="68"/>
      <c r="N586" s="68"/>
      <c r="O586" s="68"/>
      <c r="P586" s="68"/>
      <c r="Q586" s="99" t="e">
        <f t="shared" si="61"/>
        <v>#DIV/0!</v>
      </c>
      <c r="R586" s="100">
        <f t="shared" si="62"/>
        <v>0.43387671059875982</v>
      </c>
      <c r="S586" s="83"/>
      <c r="T586" s="83"/>
      <c r="U586" s="101">
        <f t="shared" si="63"/>
        <v>2021.2824107652905</v>
      </c>
      <c r="V586" s="59" t="e">
        <f t="shared" si="59"/>
        <v>#DIV/0!</v>
      </c>
      <c r="W586" s="68"/>
      <c r="X586" s="68"/>
      <c r="Y586" s="68"/>
      <c r="Z586" s="68"/>
      <c r="AA586" s="45"/>
    </row>
    <row r="587" spans="2:27" x14ac:dyDescent="0.45">
      <c r="B587" s="45" t="s">
        <v>393</v>
      </c>
      <c r="C587" s="90"/>
      <c r="D587" s="56"/>
      <c r="E587" s="84"/>
      <c r="F587" s="58"/>
      <c r="G587" s="58"/>
      <c r="H587" s="58"/>
      <c r="I587" s="58"/>
      <c r="J587" s="58"/>
      <c r="K587" s="58"/>
      <c r="L587" s="59">
        <f t="shared" si="60"/>
        <v>0</v>
      </c>
      <c r="M587" s="68"/>
      <c r="N587" s="68"/>
      <c r="O587" s="68"/>
      <c r="P587" s="68"/>
      <c r="Q587" s="99" t="e">
        <f t="shared" si="61"/>
        <v>#DIV/0!</v>
      </c>
      <c r="R587" s="100">
        <f t="shared" si="62"/>
        <v>0.43387671059875982</v>
      </c>
      <c r="S587" s="83"/>
      <c r="T587" s="83"/>
      <c r="U587" s="101">
        <f t="shared" si="63"/>
        <v>2021.2824107652905</v>
      </c>
      <c r="V587" s="59" t="e">
        <f t="shared" si="59"/>
        <v>#DIV/0!</v>
      </c>
      <c r="W587" s="68"/>
      <c r="X587" s="68"/>
      <c r="Y587" s="68"/>
      <c r="Z587" s="68"/>
      <c r="AA587" s="45"/>
    </row>
    <row r="588" spans="2:27" x14ac:dyDescent="0.45">
      <c r="B588" s="45" t="s">
        <v>394</v>
      </c>
      <c r="C588" s="90"/>
      <c r="D588" s="56"/>
      <c r="E588" s="57"/>
      <c r="F588" s="58"/>
      <c r="G588" s="58"/>
      <c r="H588" s="58"/>
      <c r="I588" s="58"/>
      <c r="J588" s="58"/>
      <c r="K588" s="58"/>
      <c r="L588" s="59">
        <f t="shared" si="60"/>
        <v>0</v>
      </c>
      <c r="M588" s="68"/>
      <c r="N588" s="68"/>
      <c r="O588" s="68"/>
      <c r="P588" s="68"/>
      <c r="Q588" s="99" t="e">
        <f t="shared" si="61"/>
        <v>#DIV/0!</v>
      </c>
      <c r="R588" s="100">
        <f t="shared" si="62"/>
        <v>0.43387671059875982</v>
      </c>
      <c r="S588" s="83"/>
      <c r="T588" s="83"/>
      <c r="U588" s="101">
        <f t="shared" si="63"/>
        <v>2021.2824107652905</v>
      </c>
      <c r="V588" s="59" t="e">
        <f t="shared" si="59"/>
        <v>#DIV/0!</v>
      </c>
      <c r="W588" s="68"/>
      <c r="X588" s="68"/>
      <c r="Y588" s="68"/>
      <c r="Z588" s="68"/>
      <c r="AA588" s="45"/>
    </row>
    <row r="589" spans="2:27" x14ac:dyDescent="0.45">
      <c r="B589" s="45" t="s">
        <v>395</v>
      </c>
      <c r="C589" s="90"/>
      <c r="D589" s="56"/>
      <c r="E589" s="80"/>
      <c r="F589" s="58"/>
      <c r="G589" s="58"/>
      <c r="H589" s="58"/>
      <c r="I589" s="58"/>
      <c r="J589" s="58"/>
      <c r="K589" s="58"/>
      <c r="L589" s="59">
        <f t="shared" si="60"/>
        <v>0</v>
      </c>
      <c r="M589" s="68"/>
      <c r="N589" s="68"/>
      <c r="O589" s="68"/>
      <c r="P589" s="68"/>
      <c r="Q589" s="99" t="e">
        <f t="shared" si="61"/>
        <v>#DIV/0!</v>
      </c>
      <c r="R589" s="100">
        <f t="shared" si="62"/>
        <v>0.43387671059875982</v>
      </c>
      <c r="S589" s="83"/>
      <c r="T589" s="83"/>
      <c r="U589" s="101">
        <f t="shared" si="63"/>
        <v>2021.2824107652905</v>
      </c>
      <c r="V589" s="59" t="e">
        <f t="shared" si="59"/>
        <v>#DIV/0!</v>
      </c>
      <c r="W589" s="68"/>
      <c r="X589" s="68"/>
      <c r="Y589" s="68"/>
      <c r="Z589" s="68"/>
      <c r="AA589" s="45"/>
    </row>
    <row r="590" spans="2:27" x14ac:dyDescent="0.45">
      <c r="B590" s="45" t="s">
        <v>396</v>
      </c>
      <c r="C590" s="90"/>
      <c r="D590" s="56"/>
      <c r="E590" s="84"/>
      <c r="F590" s="58"/>
      <c r="G590" s="58"/>
      <c r="H590" s="58"/>
      <c r="I590" s="58"/>
      <c r="J590" s="58"/>
      <c r="K590" s="58"/>
      <c r="L590" s="59">
        <f t="shared" si="60"/>
        <v>0</v>
      </c>
      <c r="M590" s="68"/>
      <c r="N590" s="68"/>
      <c r="O590" s="68"/>
      <c r="P590" s="68"/>
      <c r="Q590" s="99" t="e">
        <f t="shared" si="61"/>
        <v>#DIV/0!</v>
      </c>
      <c r="R590" s="100">
        <f t="shared" si="62"/>
        <v>0.43387671059875982</v>
      </c>
      <c r="S590" s="83"/>
      <c r="T590" s="83"/>
      <c r="U590" s="101">
        <f t="shared" si="63"/>
        <v>2021.2824107652905</v>
      </c>
      <c r="V590" s="59" t="e">
        <f t="shared" si="59"/>
        <v>#DIV/0!</v>
      </c>
      <c r="W590" s="68"/>
      <c r="X590" s="68"/>
      <c r="Y590" s="68"/>
      <c r="Z590" s="68"/>
      <c r="AA590" s="45"/>
    </row>
    <row r="591" spans="2:27" x14ac:dyDescent="0.45">
      <c r="B591" s="45" t="s">
        <v>397</v>
      </c>
      <c r="C591" s="90"/>
      <c r="D591" s="56"/>
      <c r="E591" s="57"/>
      <c r="F591" s="58"/>
      <c r="G591" s="58"/>
      <c r="H591" s="58"/>
      <c r="I591" s="58"/>
      <c r="J591" s="58"/>
      <c r="K591" s="58"/>
      <c r="L591" s="59">
        <f t="shared" si="60"/>
        <v>0</v>
      </c>
      <c r="M591" s="68"/>
      <c r="N591" s="68"/>
      <c r="O591" s="68"/>
      <c r="P591" s="68"/>
      <c r="Q591" s="99" t="e">
        <f t="shared" si="61"/>
        <v>#DIV/0!</v>
      </c>
      <c r="R591" s="100">
        <f t="shared" si="62"/>
        <v>0.43387671059875982</v>
      </c>
      <c r="S591" s="83"/>
      <c r="T591" s="83"/>
      <c r="U591" s="101">
        <f t="shared" si="63"/>
        <v>2021.2824107652905</v>
      </c>
      <c r="V591" s="59" t="e">
        <f t="shared" si="59"/>
        <v>#DIV/0!</v>
      </c>
      <c r="W591" s="68"/>
      <c r="X591" s="68"/>
      <c r="Y591" s="68"/>
      <c r="Z591" s="68"/>
      <c r="AA591" s="45"/>
    </row>
    <row r="592" spans="2:27" x14ac:dyDescent="0.45">
      <c r="B592" s="45" t="s">
        <v>398</v>
      </c>
      <c r="C592" s="90"/>
      <c r="D592" s="56"/>
      <c r="E592" s="80"/>
      <c r="F592" s="58"/>
      <c r="G592" s="58"/>
      <c r="H592" s="58"/>
      <c r="I592" s="58"/>
      <c r="J592" s="58"/>
      <c r="K592" s="58"/>
      <c r="L592" s="59">
        <f t="shared" si="60"/>
        <v>0</v>
      </c>
      <c r="M592" s="68"/>
      <c r="N592" s="68"/>
      <c r="O592" s="68"/>
      <c r="P592" s="68"/>
      <c r="Q592" s="99" t="e">
        <f t="shared" si="61"/>
        <v>#DIV/0!</v>
      </c>
      <c r="R592" s="100">
        <f t="shared" si="62"/>
        <v>0.43387671059875982</v>
      </c>
      <c r="S592" s="83"/>
      <c r="T592" s="83"/>
      <c r="U592" s="101">
        <f t="shared" si="63"/>
        <v>2021.2824107652905</v>
      </c>
      <c r="V592" s="59" t="e">
        <f t="shared" si="59"/>
        <v>#DIV/0!</v>
      </c>
      <c r="W592" s="68"/>
      <c r="X592" s="68"/>
      <c r="Y592" s="68"/>
      <c r="Z592" s="68"/>
      <c r="AA592" s="45"/>
    </row>
    <row r="593" spans="2:27" x14ac:dyDescent="0.45">
      <c r="B593" s="45" t="s">
        <v>399</v>
      </c>
      <c r="C593" s="90"/>
      <c r="D593" s="56"/>
      <c r="E593" s="84"/>
      <c r="F593" s="58"/>
      <c r="G593" s="58"/>
      <c r="H593" s="58"/>
      <c r="I593" s="58"/>
      <c r="J593" s="58"/>
      <c r="K593" s="58"/>
      <c r="L593" s="59">
        <f t="shared" si="60"/>
        <v>0</v>
      </c>
      <c r="M593" s="68"/>
      <c r="N593" s="68"/>
      <c r="O593" s="68"/>
      <c r="P593" s="68"/>
      <c r="Q593" s="99" t="e">
        <f t="shared" si="61"/>
        <v>#DIV/0!</v>
      </c>
      <c r="R593" s="100">
        <f t="shared" si="62"/>
        <v>0.43387671059875982</v>
      </c>
      <c r="S593" s="83"/>
      <c r="T593" s="83"/>
      <c r="U593" s="101">
        <f t="shared" si="63"/>
        <v>2021.2824107652905</v>
      </c>
      <c r="V593" s="59" t="e">
        <f t="shared" ref="V593:V600" si="64">1/2*((P593*S593+R593*U593+T593*Q593)-(Q593*R593+S593*T593+U593*P593))/0.1582*100</f>
        <v>#DIV/0!</v>
      </c>
      <c r="W593" s="68"/>
      <c r="X593" s="68"/>
      <c r="Y593" s="68"/>
      <c r="Z593" s="68"/>
      <c r="AA593" s="45"/>
    </row>
    <row r="594" spans="2:27" x14ac:dyDescent="0.45">
      <c r="B594" s="45" t="s">
        <v>400</v>
      </c>
      <c r="C594" s="90"/>
      <c r="D594" s="56"/>
      <c r="E594" s="57"/>
      <c r="F594" s="58"/>
      <c r="G594" s="58"/>
      <c r="H594" s="58"/>
      <c r="I594" s="58"/>
      <c r="J594" s="58"/>
      <c r="K594" s="58"/>
      <c r="L594" s="59">
        <f t="shared" ref="L594:L599" si="65">1/2*((F594*I594+H594*K594+J594*G594)-(G594*H594+I594*J594+K594*F594))/0.1582*100</f>
        <v>0</v>
      </c>
      <c r="M594" s="68"/>
      <c r="N594" s="68"/>
      <c r="O594" s="68"/>
      <c r="P594" s="68"/>
      <c r="Q594" s="99" t="e">
        <f t="shared" ref="Q594:Q599" si="66">O594/P594</f>
        <v>#DIV/0!</v>
      </c>
      <c r="R594" s="100">
        <f t="shared" ref="R594:R599" si="67">SQRT(POWER(M594-$M$12,2)+POWER(N594-$N$12,2))</f>
        <v>0.43387671059875982</v>
      </c>
      <c r="S594" s="83"/>
      <c r="T594" s="83"/>
      <c r="U594" s="101">
        <f t="shared" ref="U594:U599" si="68">(-449*((M594-0.332)/(N594-0.1858))^3)+(3525*((M594-0.332)/(N594-0.1858))^2)+(-6823.3*(M594-0.332)/(N594-0.1858))+5520.33</f>
        <v>2021.2824107652905</v>
      </c>
      <c r="V594" s="59" t="e">
        <f t="shared" si="64"/>
        <v>#DIV/0!</v>
      </c>
      <c r="W594" s="68"/>
      <c r="X594" s="68"/>
      <c r="Y594" s="68"/>
      <c r="Z594" s="68"/>
      <c r="AA594" s="45"/>
    </row>
    <row r="595" spans="2:27" x14ac:dyDescent="0.45">
      <c r="B595" s="45" t="s">
        <v>401</v>
      </c>
      <c r="C595" s="90"/>
      <c r="D595" s="56"/>
      <c r="E595" s="80"/>
      <c r="F595" s="58"/>
      <c r="G595" s="58"/>
      <c r="H595" s="58"/>
      <c r="I595" s="58"/>
      <c r="J595" s="58"/>
      <c r="K595" s="58"/>
      <c r="L595" s="59">
        <f t="shared" si="65"/>
        <v>0</v>
      </c>
      <c r="M595" s="68"/>
      <c r="N595" s="68"/>
      <c r="O595" s="68"/>
      <c r="P595" s="68"/>
      <c r="Q595" s="99" t="e">
        <f t="shared" si="66"/>
        <v>#DIV/0!</v>
      </c>
      <c r="R595" s="100">
        <f t="shared" si="67"/>
        <v>0.43387671059875982</v>
      </c>
      <c r="S595" s="83"/>
      <c r="T595" s="83"/>
      <c r="U595" s="101">
        <f t="shared" si="68"/>
        <v>2021.2824107652905</v>
      </c>
      <c r="V595" s="59" t="e">
        <f t="shared" si="64"/>
        <v>#DIV/0!</v>
      </c>
      <c r="W595" s="68"/>
      <c r="X595" s="68"/>
      <c r="Y595" s="68"/>
      <c r="Z595" s="68"/>
      <c r="AA595" s="45"/>
    </row>
    <row r="596" spans="2:27" x14ac:dyDescent="0.45">
      <c r="B596" s="45" t="s">
        <v>402</v>
      </c>
      <c r="C596" s="90"/>
      <c r="D596" s="56"/>
      <c r="E596" s="84"/>
      <c r="F596" s="58"/>
      <c r="G596" s="58"/>
      <c r="H596" s="58"/>
      <c r="I596" s="58"/>
      <c r="J596" s="58"/>
      <c r="K596" s="58"/>
      <c r="L596" s="59">
        <f t="shared" si="65"/>
        <v>0</v>
      </c>
      <c r="M596" s="68"/>
      <c r="N596" s="68"/>
      <c r="O596" s="68"/>
      <c r="P596" s="68"/>
      <c r="Q596" s="99" t="e">
        <f t="shared" si="66"/>
        <v>#DIV/0!</v>
      </c>
      <c r="R596" s="100">
        <f t="shared" si="67"/>
        <v>0.43387671059875982</v>
      </c>
      <c r="S596" s="83"/>
      <c r="T596" s="83"/>
      <c r="U596" s="101">
        <f t="shared" si="68"/>
        <v>2021.2824107652905</v>
      </c>
      <c r="V596" s="59" t="e">
        <f t="shared" si="64"/>
        <v>#DIV/0!</v>
      </c>
      <c r="W596" s="68"/>
      <c r="X596" s="68"/>
      <c r="Y596" s="68"/>
      <c r="Z596" s="68"/>
      <c r="AA596" s="45"/>
    </row>
    <row r="597" spans="2:27" x14ac:dyDescent="0.45">
      <c r="B597" s="45" t="s">
        <v>403</v>
      </c>
      <c r="C597" s="90"/>
      <c r="D597" s="56"/>
      <c r="E597" s="57"/>
      <c r="F597" s="58"/>
      <c r="G597" s="58"/>
      <c r="H597" s="58"/>
      <c r="I597" s="58"/>
      <c r="J597" s="58"/>
      <c r="K597" s="58"/>
      <c r="L597" s="59">
        <f t="shared" si="65"/>
        <v>0</v>
      </c>
      <c r="M597" s="68"/>
      <c r="N597" s="68"/>
      <c r="O597" s="68"/>
      <c r="P597" s="68"/>
      <c r="Q597" s="99" t="e">
        <f t="shared" si="66"/>
        <v>#DIV/0!</v>
      </c>
      <c r="R597" s="100">
        <f t="shared" si="67"/>
        <v>0.43387671059875982</v>
      </c>
      <c r="S597" s="83"/>
      <c r="T597" s="83"/>
      <c r="U597" s="101">
        <f t="shared" si="68"/>
        <v>2021.2824107652905</v>
      </c>
      <c r="V597" s="59" t="e">
        <f t="shared" si="64"/>
        <v>#DIV/0!</v>
      </c>
      <c r="W597" s="68"/>
      <c r="X597" s="68"/>
      <c r="Y597" s="68"/>
      <c r="Z597" s="68"/>
      <c r="AA597" s="45"/>
    </row>
    <row r="598" spans="2:27" x14ac:dyDescent="0.45">
      <c r="B598" s="45" t="s">
        <v>404</v>
      </c>
      <c r="C598" s="90"/>
      <c r="D598" s="56"/>
      <c r="E598" s="80"/>
      <c r="F598" s="58"/>
      <c r="G598" s="58"/>
      <c r="H598" s="58"/>
      <c r="I598" s="58"/>
      <c r="J598" s="58"/>
      <c r="K598" s="58"/>
      <c r="L598" s="59">
        <f t="shared" si="65"/>
        <v>0</v>
      </c>
      <c r="M598" s="68"/>
      <c r="N598" s="68"/>
      <c r="O598" s="68"/>
      <c r="P598" s="68"/>
      <c r="Q598" s="99" t="e">
        <f t="shared" si="66"/>
        <v>#DIV/0!</v>
      </c>
      <c r="R598" s="100">
        <f t="shared" si="67"/>
        <v>0.43387671059875982</v>
      </c>
      <c r="S598" s="83"/>
      <c r="T598" s="83"/>
      <c r="U598" s="101">
        <f t="shared" si="68"/>
        <v>2021.2824107652905</v>
      </c>
      <c r="V598" s="59" t="e">
        <f t="shared" si="64"/>
        <v>#DIV/0!</v>
      </c>
      <c r="W598" s="68"/>
      <c r="X598" s="68"/>
      <c r="Y598" s="68"/>
      <c r="Z598" s="68"/>
      <c r="AA598" s="45"/>
    </row>
    <row r="599" spans="2:27" x14ac:dyDescent="0.45">
      <c r="B599" s="45" t="s">
        <v>405</v>
      </c>
      <c r="C599" s="90"/>
      <c r="D599" s="56"/>
      <c r="E599" s="84"/>
      <c r="F599" s="58"/>
      <c r="G599" s="58"/>
      <c r="H599" s="58"/>
      <c r="I599" s="58"/>
      <c r="J599" s="58"/>
      <c r="K599" s="58"/>
      <c r="L599" s="59">
        <f t="shared" si="65"/>
        <v>0</v>
      </c>
      <c r="M599" s="68"/>
      <c r="N599" s="68"/>
      <c r="O599" s="68"/>
      <c r="P599" s="68"/>
      <c r="Q599" s="99" t="e">
        <f t="shared" si="66"/>
        <v>#DIV/0!</v>
      </c>
      <c r="R599" s="100">
        <f t="shared" si="67"/>
        <v>0.43387671059875982</v>
      </c>
      <c r="S599" s="83"/>
      <c r="T599" s="83"/>
      <c r="U599" s="101">
        <f t="shared" si="68"/>
        <v>2021.2824107652905</v>
      </c>
      <c r="V599" s="59" t="e">
        <f t="shared" si="64"/>
        <v>#DIV/0!</v>
      </c>
      <c r="W599" s="68"/>
      <c r="X599" s="68"/>
      <c r="Y599" s="68"/>
      <c r="Z599" s="68"/>
      <c r="AA599" s="45"/>
    </row>
    <row r="600" spans="2:27" x14ac:dyDescent="0.45">
      <c r="B600" s="45" t="s">
        <v>406</v>
      </c>
      <c r="C600" s="90"/>
      <c r="D600" s="56"/>
      <c r="E600" s="57"/>
      <c r="F600" s="58"/>
      <c r="G600" s="58"/>
      <c r="H600" s="58"/>
      <c r="I600" s="58"/>
      <c r="J600" s="58"/>
      <c r="K600" s="58"/>
      <c r="L600" s="59">
        <f t="shared" ref="L600:L602" si="69">1/2*((F600*I600+H600*K600+J600*G600)-(G600*H600+I600*J600+K600*F600))/0.1582*100</f>
        <v>0</v>
      </c>
      <c r="M600" s="68"/>
      <c r="N600" s="68"/>
      <c r="O600" s="68"/>
      <c r="P600" s="68"/>
      <c r="Q600" s="99" t="e">
        <f t="shared" ref="Q600:Q602" si="70">O600/P600</f>
        <v>#DIV/0!</v>
      </c>
      <c r="R600" s="100">
        <f t="shared" ref="R600:R602" si="71">SQRT(POWER(M600-$M$12,2)+POWER(N600-$N$12,2))</f>
        <v>0.43387671059875982</v>
      </c>
      <c r="S600" s="83"/>
      <c r="T600" s="83"/>
      <c r="U600" s="101">
        <f t="shared" ref="U600:U602" si="72">(-449*((M600-0.332)/(N600-0.1858))^3)+(3525*((M600-0.332)/(N600-0.1858))^2)+(-6823.3*(M600-0.332)/(N600-0.1858))+5520.33</f>
        <v>2021.2824107652905</v>
      </c>
      <c r="V600" s="59" t="e">
        <f t="shared" si="64"/>
        <v>#DIV/0!</v>
      </c>
      <c r="W600" s="68"/>
      <c r="X600" s="68"/>
      <c r="Y600" s="68"/>
      <c r="Z600" s="68"/>
      <c r="AA600" s="45"/>
    </row>
    <row r="601" spans="2:27" x14ac:dyDescent="0.45">
      <c r="B601" s="45" t="s">
        <v>407</v>
      </c>
      <c r="C601" s="90"/>
      <c r="D601" s="56"/>
      <c r="E601" s="84"/>
      <c r="F601" s="58"/>
      <c r="G601" s="58"/>
      <c r="H601" s="58"/>
      <c r="I601" s="58"/>
      <c r="J601" s="58"/>
      <c r="K601" s="58"/>
      <c r="L601" s="59">
        <f t="shared" si="69"/>
        <v>0</v>
      </c>
      <c r="M601" s="68"/>
      <c r="N601" s="68"/>
      <c r="O601" s="68"/>
      <c r="P601" s="68"/>
      <c r="Q601" s="99" t="e">
        <f t="shared" si="70"/>
        <v>#DIV/0!</v>
      </c>
      <c r="R601" s="100">
        <f t="shared" si="71"/>
        <v>0.43387671059875982</v>
      </c>
      <c r="S601" s="83"/>
      <c r="T601" s="83"/>
      <c r="U601" s="101">
        <f t="shared" si="72"/>
        <v>2021.2824107652905</v>
      </c>
      <c r="V601" s="45"/>
      <c r="W601" s="45"/>
      <c r="X601" s="45"/>
      <c r="Y601" s="45"/>
      <c r="Z601" s="45"/>
      <c r="AA601" s="45"/>
    </row>
    <row r="602" spans="2:27" x14ac:dyDescent="0.45">
      <c r="B602" s="45" t="s">
        <v>408</v>
      </c>
      <c r="C602" s="90"/>
      <c r="D602" s="56"/>
      <c r="E602" s="57"/>
      <c r="F602" s="58"/>
      <c r="G602" s="58"/>
      <c r="H602" s="58"/>
      <c r="I602" s="58"/>
      <c r="J602" s="58"/>
      <c r="K602" s="58"/>
      <c r="L602" s="59">
        <f t="shared" si="69"/>
        <v>0</v>
      </c>
      <c r="M602" s="68"/>
      <c r="N602" s="68"/>
      <c r="O602" s="68"/>
      <c r="P602" s="68"/>
      <c r="Q602" s="99" t="e">
        <f t="shared" si="70"/>
        <v>#DIV/0!</v>
      </c>
      <c r="R602" s="100">
        <f t="shared" si="71"/>
        <v>0.43387671059875982</v>
      </c>
      <c r="S602" s="83"/>
      <c r="T602" s="83"/>
      <c r="U602" s="101">
        <f t="shared" si="72"/>
        <v>2021.2824107652905</v>
      </c>
      <c r="V602" s="45"/>
      <c r="W602" s="45"/>
      <c r="X602" s="45"/>
      <c r="Y602" s="45"/>
      <c r="Z602" s="45"/>
      <c r="AA602" s="45"/>
    </row>
    <row r="603" spans="2:27" x14ac:dyDescent="0.45">
      <c r="B603" s="45" t="s">
        <v>409</v>
      </c>
      <c r="C603" s="90"/>
      <c r="D603" s="56"/>
      <c r="E603" s="80"/>
      <c r="F603" s="58"/>
      <c r="G603" s="58"/>
      <c r="H603" s="58"/>
      <c r="I603" s="58"/>
      <c r="J603" s="58"/>
      <c r="K603" s="58"/>
      <c r="L603" s="59">
        <f t="shared" ref="L603:L666" si="73">1/2*((F603*I603+H603*K603+J603*G603)-(G603*H603+I603*J603+K603*F603))/0.1582*100</f>
        <v>0</v>
      </c>
      <c r="M603" s="68"/>
      <c r="N603" s="68"/>
      <c r="O603" s="68"/>
      <c r="P603" s="68"/>
      <c r="Q603" s="99" t="e">
        <f t="shared" ref="Q603:Q666" si="74">O603/P603</f>
        <v>#DIV/0!</v>
      </c>
      <c r="R603" s="100">
        <f t="shared" ref="R603:R666" si="75">SQRT(POWER(M603-$M$12,2)+POWER(N603-$N$12,2))</f>
        <v>0.43387671059875982</v>
      </c>
      <c r="S603" s="83"/>
      <c r="T603" s="83"/>
      <c r="U603" s="101">
        <f t="shared" ref="U603:U666" si="76">(-449*((M603-0.332)/(N603-0.1858))^3)+(3525*((M603-0.332)/(N603-0.1858))^2)+(-6823.3*(M603-0.332)/(N603-0.1858))+5520.33</f>
        <v>2021.2824107652905</v>
      </c>
      <c r="V603" s="45"/>
      <c r="W603" s="45"/>
      <c r="X603" s="45"/>
      <c r="Y603" s="45"/>
      <c r="Z603" s="45"/>
      <c r="AA603" s="45"/>
    </row>
    <row r="604" spans="2:27" x14ac:dyDescent="0.45">
      <c r="B604" s="45" t="s">
        <v>410</v>
      </c>
      <c r="C604" s="90"/>
      <c r="D604" s="56"/>
      <c r="E604" s="84"/>
      <c r="F604" s="58"/>
      <c r="G604" s="58"/>
      <c r="H604" s="58"/>
      <c r="I604" s="58"/>
      <c r="J604" s="58"/>
      <c r="K604" s="58"/>
      <c r="L604" s="59">
        <f t="shared" si="73"/>
        <v>0</v>
      </c>
      <c r="M604" s="68"/>
      <c r="N604" s="68"/>
      <c r="O604" s="68"/>
      <c r="P604" s="68"/>
      <c r="Q604" s="99" t="e">
        <f t="shared" si="74"/>
        <v>#DIV/0!</v>
      </c>
      <c r="R604" s="100">
        <f t="shared" si="75"/>
        <v>0.43387671059875982</v>
      </c>
      <c r="S604" s="83"/>
      <c r="T604" s="83"/>
      <c r="U604" s="101">
        <f t="shared" si="76"/>
        <v>2021.2824107652905</v>
      </c>
      <c r="V604" s="45"/>
      <c r="W604" s="45"/>
      <c r="X604" s="45"/>
      <c r="Y604" s="45"/>
      <c r="Z604" s="45"/>
      <c r="AA604" s="45"/>
    </row>
    <row r="605" spans="2:27" x14ac:dyDescent="0.45">
      <c r="B605" s="45" t="s">
        <v>411</v>
      </c>
      <c r="C605" s="90"/>
      <c r="D605" s="56"/>
      <c r="E605" s="57"/>
      <c r="F605" s="58"/>
      <c r="G605" s="58"/>
      <c r="H605" s="58"/>
      <c r="I605" s="58"/>
      <c r="J605" s="58"/>
      <c r="K605" s="58"/>
      <c r="L605" s="59">
        <f t="shared" si="73"/>
        <v>0</v>
      </c>
      <c r="M605" s="68"/>
      <c r="N605" s="68"/>
      <c r="O605" s="68"/>
      <c r="P605" s="68"/>
      <c r="Q605" s="99" t="e">
        <f t="shared" si="74"/>
        <v>#DIV/0!</v>
      </c>
      <c r="R605" s="100">
        <f t="shared" si="75"/>
        <v>0.43387671059875982</v>
      </c>
      <c r="S605" s="83"/>
      <c r="T605" s="83"/>
      <c r="U605" s="101">
        <f t="shared" si="76"/>
        <v>2021.2824107652905</v>
      </c>
      <c r="V605" s="45"/>
      <c r="W605" s="45"/>
      <c r="X605" s="45"/>
      <c r="Y605" s="45"/>
      <c r="Z605" s="45"/>
      <c r="AA605" s="45"/>
    </row>
    <row r="606" spans="2:27" x14ac:dyDescent="0.45">
      <c r="B606" s="45" t="s">
        <v>412</v>
      </c>
      <c r="C606" s="90"/>
      <c r="D606" s="56"/>
      <c r="E606" s="80"/>
      <c r="F606" s="58"/>
      <c r="G606" s="58"/>
      <c r="H606" s="58"/>
      <c r="I606" s="58"/>
      <c r="J606" s="58"/>
      <c r="K606" s="58"/>
      <c r="L606" s="59">
        <f t="shared" si="73"/>
        <v>0</v>
      </c>
      <c r="M606" s="68"/>
      <c r="N606" s="68"/>
      <c r="O606" s="68"/>
      <c r="P606" s="68"/>
      <c r="Q606" s="99" t="e">
        <f t="shared" si="74"/>
        <v>#DIV/0!</v>
      </c>
      <c r="R606" s="100">
        <f t="shared" si="75"/>
        <v>0.43387671059875982</v>
      </c>
      <c r="S606" s="83"/>
      <c r="T606" s="83"/>
      <c r="U606" s="101">
        <f t="shared" si="76"/>
        <v>2021.2824107652905</v>
      </c>
      <c r="V606" s="45"/>
      <c r="W606" s="45"/>
      <c r="X606" s="45"/>
      <c r="Y606" s="45"/>
      <c r="Z606" s="45"/>
      <c r="AA606" s="45"/>
    </row>
    <row r="607" spans="2:27" x14ac:dyDescent="0.45">
      <c r="B607" s="45" t="s">
        <v>413</v>
      </c>
      <c r="C607" s="90"/>
      <c r="D607" s="56"/>
      <c r="E607" s="84"/>
      <c r="F607" s="58"/>
      <c r="G607" s="58"/>
      <c r="H607" s="58"/>
      <c r="I607" s="58"/>
      <c r="J607" s="58"/>
      <c r="K607" s="58"/>
      <c r="L607" s="59">
        <f t="shared" si="73"/>
        <v>0</v>
      </c>
      <c r="M607" s="68"/>
      <c r="N607" s="68"/>
      <c r="O607" s="68"/>
      <c r="P607" s="68"/>
      <c r="Q607" s="99" t="e">
        <f t="shared" si="74"/>
        <v>#DIV/0!</v>
      </c>
      <c r="R607" s="100">
        <f t="shared" si="75"/>
        <v>0.43387671059875982</v>
      </c>
      <c r="S607" s="83"/>
      <c r="T607" s="83"/>
      <c r="U607" s="101">
        <f t="shared" si="76"/>
        <v>2021.2824107652905</v>
      </c>
      <c r="V607" s="45"/>
      <c r="W607" s="45"/>
      <c r="X607" s="45"/>
      <c r="Y607" s="45"/>
      <c r="Z607" s="45"/>
      <c r="AA607" s="45"/>
    </row>
    <row r="608" spans="2:27" x14ac:dyDescent="0.45">
      <c r="B608" s="45" t="s">
        <v>414</v>
      </c>
      <c r="C608" s="90"/>
      <c r="D608" s="56"/>
      <c r="E608" s="57"/>
      <c r="F608" s="58"/>
      <c r="G608" s="58"/>
      <c r="H608" s="58"/>
      <c r="I608" s="58"/>
      <c r="J608" s="58"/>
      <c r="K608" s="58"/>
      <c r="L608" s="59">
        <f t="shared" si="73"/>
        <v>0</v>
      </c>
      <c r="M608" s="68"/>
      <c r="N608" s="68"/>
      <c r="O608" s="68"/>
      <c r="P608" s="68"/>
      <c r="Q608" s="99" t="e">
        <f t="shared" si="74"/>
        <v>#DIV/0!</v>
      </c>
      <c r="R608" s="100">
        <f t="shared" si="75"/>
        <v>0.43387671059875982</v>
      </c>
      <c r="S608" s="83"/>
      <c r="T608" s="83"/>
      <c r="U608" s="101">
        <f t="shared" si="76"/>
        <v>2021.2824107652905</v>
      </c>
      <c r="V608" s="45"/>
      <c r="W608" s="45"/>
      <c r="X608" s="45"/>
      <c r="Y608" s="45"/>
      <c r="Z608" s="45"/>
      <c r="AA608" s="45"/>
    </row>
    <row r="609" spans="2:27" x14ac:dyDescent="0.45">
      <c r="B609" s="45" t="s">
        <v>415</v>
      </c>
      <c r="C609" s="90"/>
      <c r="D609" s="56"/>
      <c r="E609" s="80"/>
      <c r="F609" s="58"/>
      <c r="G609" s="58"/>
      <c r="H609" s="58"/>
      <c r="I609" s="58"/>
      <c r="J609" s="58"/>
      <c r="K609" s="58"/>
      <c r="L609" s="59">
        <f t="shared" si="73"/>
        <v>0</v>
      </c>
      <c r="M609" s="68"/>
      <c r="N609" s="68"/>
      <c r="O609" s="68"/>
      <c r="P609" s="68"/>
      <c r="Q609" s="99" t="e">
        <f t="shared" si="74"/>
        <v>#DIV/0!</v>
      </c>
      <c r="R609" s="100">
        <f t="shared" si="75"/>
        <v>0.43387671059875982</v>
      </c>
      <c r="S609" s="83"/>
      <c r="T609" s="83"/>
      <c r="U609" s="101">
        <f t="shared" si="76"/>
        <v>2021.2824107652905</v>
      </c>
      <c r="V609" s="45"/>
      <c r="W609" s="45"/>
      <c r="X609" s="45"/>
      <c r="Y609" s="45"/>
      <c r="Z609" s="45"/>
      <c r="AA609" s="45"/>
    </row>
    <row r="610" spans="2:27" x14ac:dyDescent="0.45">
      <c r="B610" s="45" t="s">
        <v>416</v>
      </c>
      <c r="C610" s="90"/>
      <c r="D610" s="56"/>
      <c r="E610" s="84"/>
      <c r="F610" s="58"/>
      <c r="G610" s="58"/>
      <c r="H610" s="58"/>
      <c r="I610" s="58"/>
      <c r="J610" s="58"/>
      <c r="K610" s="58"/>
      <c r="L610" s="59">
        <f t="shared" si="73"/>
        <v>0</v>
      </c>
      <c r="M610" s="68"/>
      <c r="N610" s="68"/>
      <c r="O610" s="68"/>
      <c r="P610" s="68"/>
      <c r="Q610" s="99" t="e">
        <f t="shared" si="74"/>
        <v>#DIV/0!</v>
      </c>
      <c r="R610" s="100">
        <f t="shared" si="75"/>
        <v>0.43387671059875982</v>
      </c>
      <c r="S610" s="83"/>
      <c r="T610" s="83"/>
      <c r="U610" s="101">
        <f t="shared" si="76"/>
        <v>2021.2824107652905</v>
      </c>
      <c r="V610" s="45"/>
      <c r="W610" s="45"/>
      <c r="X610" s="45"/>
      <c r="Y610" s="45"/>
      <c r="Z610" s="45"/>
      <c r="AA610" s="45"/>
    </row>
    <row r="611" spans="2:27" x14ac:dyDescent="0.45">
      <c r="B611" s="45" t="s">
        <v>417</v>
      </c>
      <c r="C611" s="90"/>
      <c r="D611" s="56"/>
      <c r="E611" s="57"/>
      <c r="F611" s="58"/>
      <c r="G611" s="58"/>
      <c r="H611" s="58"/>
      <c r="I611" s="58"/>
      <c r="J611" s="58"/>
      <c r="K611" s="58"/>
      <c r="L611" s="59">
        <f t="shared" si="73"/>
        <v>0</v>
      </c>
      <c r="M611" s="68"/>
      <c r="N611" s="68"/>
      <c r="O611" s="68"/>
      <c r="P611" s="68"/>
      <c r="Q611" s="99" t="e">
        <f t="shared" si="74"/>
        <v>#DIV/0!</v>
      </c>
      <c r="R611" s="100">
        <f t="shared" si="75"/>
        <v>0.43387671059875982</v>
      </c>
      <c r="S611" s="83"/>
      <c r="T611" s="83"/>
      <c r="U611" s="101">
        <f t="shared" si="76"/>
        <v>2021.2824107652905</v>
      </c>
      <c r="V611" s="45"/>
      <c r="W611" s="45"/>
      <c r="X611" s="45"/>
      <c r="Y611" s="45"/>
      <c r="Z611" s="45"/>
      <c r="AA611" s="45"/>
    </row>
    <row r="612" spans="2:27" x14ac:dyDescent="0.45">
      <c r="B612" s="45" t="s">
        <v>418</v>
      </c>
      <c r="C612" s="90"/>
      <c r="D612" s="56"/>
      <c r="E612" s="80"/>
      <c r="F612" s="58"/>
      <c r="G612" s="58"/>
      <c r="H612" s="58"/>
      <c r="I612" s="58"/>
      <c r="J612" s="58"/>
      <c r="K612" s="58"/>
      <c r="L612" s="59">
        <f t="shared" si="73"/>
        <v>0</v>
      </c>
      <c r="M612" s="68"/>
      <c r="N612" s="68"/>
      <c r="O612" s="68"/>
      <c r="P612" s="68"/>
      <c r="Q612" s="99" t="e">
        <f t="shared" si="74"/>
        <v>#DIV/0!</v>
      </c>
      <c r="R612" s="100">
        <f t="shared" si="75"/>
        <v>0.43387671059875982</v>
      </c>
      <c r="S612" s="83"/>
      <c r="T612" s="83"/>
      <c r="U612" s="101">
        <f t="shared" si="76"/>
        <v>2021.2824107652905</v>
      </c>
      <c r="V612" s="45"/>
      <c r="W612" s="45"/>
      <c r="X612" s="45"/>
      <c r="Y612" s="45"/>
      <c r="Z612" s="45"/>
      <c r="AA612" s="45"/>
    </row>
    <row r="613" spans="2:27" x14ac:dyDescent="0.45">
      <c r="B613" s="45" t="s">
        <v>419</v>
      </c>
      <c r="C613" s="90"/>
      <c r="D613" s="56"/>
      <c r="E613" s="84"/>
      <c r="F613" s="58"/>
      <c r="G613" s="58"/>
      <c r="H613" s="58"/>
      <c r="I613" s="58"/>
      <c r="J613" s="58"/>
      <c r="K613" s="58"/>
      <c r="L613" s="59">
        <f t="shared" si="73"/>
        <v>0</v>
      </c>
      <c r="M613" s="68"/>
      <c r="N613" s="68"/>
      <c r="O613" s="68"/>
      <c r="P613" s="68"/>
      <c r="Q613" s="99" t="e">
        <f t="shared" si="74"/>
        <v>#DIV/0!</v>
      </c>
      <c r="R613" s="100">
        <f t="shared" si="75"/>
        <v>0.43387671059875982</v>
      </c>
      <c r="S613" s="83"/>
      <c r="T613" s="83"/>
      <c r="U613" s="101">
        <f t="shared" si="76"/>
        <v>2021.2824107652905</v>
      </c>
      <c r="V613" s="45"/>
      <c r="W613" s="45"/>
      <c r="X613" s="45"/>
      <c r="Y613" s="45"/>
      <c r="Z613" s="45"/>
      <c r="AA613" s="45"/>
    </row>
    <row r="614" spans="2:27" x14ac:dyDescent="0.45">
      <c r="B614" s="45" t="s">
        <v>420</v>
      </c>
      <c r="C614" s="90"/>
      <c r="D614" s="56"/>
      <c r="E614" s="57"/>
      <c r="F614" s="58"/>
      <c r="G614" s="58"/>
      <c r="H614" s="58"/>
      <c r="I614" s="58"/>
      <c r="J614" s="58"/>
      <c r="K614" s="58"/>
      <c r="L614" s="59">
        <f t="shared" si="73"/>
        <v>0</v>
      </c>
      <c r="M614" s="68"/>
      <c r="N614" s="68"/>
      <c r="O614" s="68"/>
      <c r="P614" s="68"/>
      <c r="Q614" s="99" t="e">
        <f t="shared" si="74"/>
        <v>#DIV/0!</v>
      </c>
      <c r="R614" s="100">
        <f t="shared" si="75"/>
        <v>0.43387671059875982</v>
      </c>
      <c r="S614" s="83"/>
      <c r="T614" s="83"/>
      <c r="U614" s="101">
        <f t="shared" si="76"/>
        <v>2021.2824107652905</v>
      </c>
      <c r="V614" s="45"/>
      <c r="W614" s="45"/>
      <c r="X614" s="45"/>
      <c r="Y614" s="45"/>
      <c r="Z614" s="45"/>
      <c r="AA614" s="45"/>
    </row>
    <row r="615" spans="2:27" x14ac:dyDescent="0.45">
      <c r="B615" s="45" t="s">
        <v>421</v>
      </c>
      <c r="C615" s="90"/>
      <c r="D615" s="56"/>
      <c r="E615" s="80"/>
      <c r="F615" s="58"/>
      <c r="G615" s="58"/>
      <c r="H615" s="58"/>
      <c r="I615" s="58"/>
      <c r="J615" s="58"/>
      <c r="K615" s="58"/>
      <c r="L615" s="59">
        <f t="shared" si="73"/>
        <v>0</v>
      </c>
      <c r="M615" s="68"/>
      <c r="N615" s="68"/>
      <c r="O615" s="68"/>
      <c r="P615" s="68"/>
      <c r="Q615" s="99" t="e">
        <f t="shared" si="74"/>
        <v>#DIV/0!</v>
      </c>
      <c r="R615" s="100">
        <f t="shared" si="75"/>
        <v>0.43387671059875982</v>
      </c>
      <c r="S615" s="83"/>
      <c r="T615" s="83"/>
      <c r="U615" s="101">
        <f t="shared" si="76"/>
        <v>2021.2824107652905</v>
      </c>
      <c r="V615" s="45"/>
      <c r="W615" s="45"/>
      <c r="X615" s="45"/>
      <c r="Y615" s="45"/>
      <c r="Z615" s="45"/>
      <c r="AA615" s="45"/>
    </row>
    <row r="616" spans="2:27" x14ac:dyDescent="0.45">
      <c r="B616" s="45" t="s">
        <v>422</v>
      </c>
      <c r="C616" s="90"/>
      <c r="D616" s="56"/>
      <c r="E616" s="84"/>
      <c r="F616" s="58"/>
      <c r="G616" s="58"/>
      <c r="H616" s="58"/>
      <c r="I616" s="58"/>
      <c r="J616" s="58"/>
      <c r="K616" s="58"/>
      <c r="L616" s="59">
        <f t="shared" si="73"/>
        <v>0</v>
      </c>
      <c r="M616" s="68"/>
      <c r="N616" s="68"/>
      <c r="O616" s="68"/>
      <c r="P616" s="68"/>
      <c r="Q616" s="99" t="e">
        <f t="shared" si="74"/>
        <v>#DIV/0!</v>
      </c>
      <c r="R616" s="100">
        <f t="shared" si="75"/>
        <v>0.43387671059875982</v>
      </c>
      <c r="S616" s="83"/>
      <c r="T616" s="83"/>
      <c r="U616" s="101">
        <f t="shared" si="76"/>
        <v>2021.2824107652905</v>
      </c>
      <c r="V616" s="45"/>
      <c r="W616" s="45"/>
      <c r="X616" s="45"/>
      <c r="Y616" s="45"/>
      <c r="Z616" s="45"/>
      <c r="AA616" s="45"/>
    </row>
    <row r="617" spans="2:27" x14ac:dyDescent="0.45">
      <c r="B617" s="45" t="s">
        <v>423</v>
      </c>
      <c r="C617" s="90"/>
      <c r="D617" s="56"/>
      <c r="E617" s="57"/>
      <c r="F617" s="58"/>
      <c r="G617" s="58"/>
      <c r="H617" s="58"/>
      <c r="I617" s="58"/>
      <c r="J617" s="58"/>
      <c r="K617" s="58"/>
      <c r="L617" s="59">
        <f t="shared" si="73"/>
        <v>0</v>
      </c>
      <c r="M617" s="68"/>
      <c r="N617" s="68"/>
      <c r="O617" s="68"/>
      <c r="P617" s="68"/>
      <c r="Q617" s="99" t="e">
        <f t="shared" si="74"/>
        <v>#DIV/0!</v>
      </c>
      <c r="R617" s="100">
        <f t="shared" si="75"/>
        <v>0.43387671059875982</v>
      </c>
      <c r="S617" s="83"/>
      <c r="T617" s="83"/>
      <c r="U617" s="101">
        <f t="shared" si="76"/>
        <v>2021.2824107652905</v>
      </c>
      <c r="V617" s="45"/>
      <c r="W617" s="45"/>
      <c r="X617" s="45"/>
      <c r="Y617" s="45"/>
      <c r="Z617" s="45"/>
      <c r="AA617" s="45"/>
    </row>
    <row r="618" spans="2:27" x14ac:dyDescent="0.45">
      <c r="B618" s="45" t="s">
        <v>424</v>
      </c>
      <c r="C618" s="90"/>
      <c r="D618" s="56"/>
      <c r="E618" s="80"/>
      <c r="F618" s="58"/>
      <c r="G618" s="58"/>
      <c r="H618" s="58"/>
      <c r="I618" s="58"/>
      <c r="J618" s="58"/>
      <c r="K618" s="58"/>
      <c r="L618" s="59">
        <f t="shared" si="73"/>
        <v>0</v>
      </c>
      <c r="M618" s="68"/>
      <c r="N618" s="68"/>
      <c r="O618" s="68"/>
      <c r="P618" s="68"/>
      <c r="Q618" s="99" t="e">
        <f t="shared" si="74"/>
        <v>#DIV/0!</v>
      </c>
      <c r="R618" s="100">
        <f t="shared" si="75"/>
        <v>0.43387671059875982</v>
      </c>
      <c r="S618" s="83"/>
      <c r="T618" s="83"/>
      <c r="U618" s="101">
        <f t="shared" si="76"/>
        <v>2021.2824107652905</v>
      </c>
      <c r="V618" s="45"/>
      <c r="W618" s="45"/>
      <c r="X618" s="45"/>
      <c r="Y618" s="45"/>
      <c r="Z618" s="45"/>
      <c r="AA618" s="45"/>
    </row>
    <row r="619" spans="2:27" x14ac:dyDescent="0.45">
      <c r="B619" s="45" t="s">
        <v>425</v>
      </c>
      <c r="C619" s="90"/>
      <c r="D619" s="56"/>
      <c r="E619" s="84"/>
      <c r="F619" s="58"/>
      <c r="G619" s="58"/>
      <c r="H619" s="58"/>
      <c r="I619" s="58"/>
      <c r="J619" s="58"/>
      <c r="K619" s="58"/>
      <c r="L619" s="59">
        <f t="shared" si="73"/>
        <v>0</v>
      </c>
      <c r="M619" s="68"/>
      <c r="N619" s="68"/>
      <c r="O619" s="68"/>
      <c r="P619" s="68"/>
      <c r="Q619" s="99" t="e">
        <f t="shared" si="74"/>
        <v>#DIV/0!</v>
      </c>
      <c r="R619" s="100">
        <f t="shared" si="75"/>
        <v>0.43387671059875982</v>
      </c>
      <c r="S619" s="83"/>
      <c r="T619" s="83"/>
      <c r="U619" s="101">
        <f t="shared" si="76"/>
        <v>2021.2824107652905</v>
      </c>
      <c r="V619" s="45"/>
      <c r="W619" s="45"/>
      <c r="X619" s="45"/>
      <c r="Y619" s="45"/>
      <c r="Z619" s="45"/>
      <c r="AA619" s="45"/>
    </row>
    <row r="620" spans="2:27" x14ac:dyDescent="0.45">
      <c r="B620" s="45" t="s">
        <v>426</v>
      </c>
      <c r="C620" s="90"/>
      <c r="D620" s="56"/>
      <c r="E620" s="57"/>
      <c r="F620" s="58"/>
      <c r="G620" s="58"/>
      <c r="H620" s="58"/>
      <c r="I620" s="58"/>
      <c r="J620" s="58"/>
      <c r="K620" s="58"/>
      <c r="L620" s="59">
        <f t="shared" si="73"/>
        <v>0</v>
      </c>
      <c r="M620" s="68"/>
      <c r="N620" s="68"/>
      <c r="O620" s="68"/>
      <c r="P620" s="68"/>
      <c r="Q620" s="99" t="e">
        <f t="shared" si="74"/>
        <v>#DIV/0!</v>
      </c>
      <c r="R620" s="100">
        <f t="shared" si="75"/>
        <v>0.43387671059875982</v>
      </c>
      <c r="S620" s="83"/>
      <c r="T620" s="83"/>
      <c r="U620" s="101">
        <f t="shared" si="76"/>
        <v>2021.2824107652905</v>
      </c>
      <c r="V620" s="45"/>
      <c r="W620" s="45"/>
      <c r="X620" s="45"/>
      <c r="Y620" s="45"/>
      <c r="Z620" s="45"/>
      <c r="AA620" s="45"/>
    </row>
    <row r="621" spans="2:27" x14ac:dyDescent="0.45">
      <c r="B621" s="45" t="s">
        <v>427</v>
      </c>
      <c r="C621" s="90"/>
      <c r="D621" s="56"/>
      <c r="E621" s="80"/>
      <c r="F621" s="58"/>
      <c r="G621" s="58"/>
      <c r="H621" s="58"/>
      <c r="I621" s="58"/>
      <c r="J621" s="58"/>
      <c r="K621" s="58"/>
      <c r="L621" s="59">
        <f t="shared" si="73"/>
        <v>0</v>
      </c>
      <c r="M621" s="68"/>
      <c r="N621" s="68"/>
      <c r="O621" s="68"/>
      <c r="P621" s="68"/>
      <c r="Q621" s="99" t="e">
        <f t="shared" si="74"/>
        <v>#DIV/0!</v>
      </c>
      <c r="R621" s="100">
        <f t="shared" si="75"/>
        <v>0.43387671059875982</v>
      </c>
      <c r="S621" s="83"/>
      <c r="T621" s="83"/>
      <c r="U621" s="101">
        <f t="shared" si="76"/>
        <v>2021.2824107652905</v>
      </c>
      <c r="V621" s="45"/>
      <c r="W621" s="45"/>
      <c r="X621" s="45"/>
      <c r="Y621" s="45"/>
      <c r="Z621" s="45"/>
      <c r="AA621" s="45"/>
    </row>
    <row r="622" spans="2:27" x14ac:dyDescent="0.45">
      <c r="B622" s="45" t="s">
        <v>428</v>
      </c>
      <c r="C622" s="90"/>
      <c r="D622" s="56"/>
      <c r="E622" s="84"/>
      <c r="F622" s="58"/>
      <c r="G622" s="58"/>
      <c r="H622" s="58"/>
      <c r="I622" s="58"/>
      <c r="J622" s="58"/>
      <c r="K622" s="58"/>
      <c r="L622" s="59">
        <f t="shared" si="73"/>
        <v>0</v>
      </c>
      <c r="M622" s="68"/>
      <c r="N622" s="68"/>
      <c r="O622" s="68"/>
      <c r="P622" s="68"/>
      <c r="Q622" s="99" t="e">
        <f t="shared" si="74"/>
        <v>#DIV/0!</v>
      </c>
      <c r="R622" s="100">
        <f t="shared" si="75"/>
        <v>0.43387671059875982</v>
      </c>
      <c r="S622" s="83"/>
      <c r="T622" s="83"/>
      <c r="U622" s="101">
        <f t="shared" si="76"/>
        <v>2021.2824107652905</v>
      </c>
      <c r="V622" s="45"/>
      <c r="W622" s="45"/>
      <c r="X622" s="45"/>
      <c r="Y622" s="45"/>
      <c r="Z622" s="45"/>
      <c r="AA622" s="45"/>
    </row>
    <row r="623" spans="2:27" x14ac:dyDescent="0.45">
      <c r="B623" s="45" t="s">
        <v>429</v>
      </c>
      <c r="C623" s="90"/>
      <c r="D623" s="56"/>
      <c r="E623" s="57"/>
      <c r="F623" s="58"/>
      <c r="G623" s="58"/>
      <c r="H623" s="58"/>
      <c r="I623" s="58"/>
      <c r="J623" s="58"/>
      <c r="K623" s="58"/>
      <c r="L623" s="59">
        <f t="shared" si="73"/>
        <v>0</v>
      </c>
      <c r="M623" s="68"/>
      <c r="N623" s="68"/>
      <c r="O623" s="68"/>
      <c r="P623" s="68"/>
      <c r="Q623" s="99" t="e">
        <f t="shared" si="74"/>
        <v>#DIV/0!</v>
      </c>
      <c r="R623" s="100">
        <f t="shared" si="75"/>
        <v>0.43387671059875982</v>
      </c>
      <c r="S623" s="83"/>
      <c r="T623" s="83"/>
      <c r="U623" s="101">
        <f t="shared" si="76"/>
        <v>2021.2824107652905</v>
      </c>
      <c r="V623" s="45"/>
      <c r="W623" s="45"/>
      <c r="X623" s="45"/>
      <c r="Y623" s="45"/>
      <c r="Z623" s="45"/>
      <c r="AA623" s="45"/>
    </row>
    <row r="624" spans="2:27" x14ac:dyDescent="0.45">
      <c r="B624" s="45" t="s">
        <v>430</v>
      </c>
      <c r="C624" s="90"/>
      <c r="D624" s="56"/>
      <c r="E624" s="80"/>
      <c r="F624" s="58"/>
      <c r="G624" s="58"/>
      <c r="H624" s="58"/>
      <c r="I624" s="58"/>
      <c r="J624" s="58"/>
      <c r="K624" s="58"/>
      <c r="L624" s="59">
        <f t="shared" si="73"/>
        <v>0</v>
      </c>
      <c r="M624" s="68"/>
      <c r="N624" s="68"/>
      <c r="O624" s="68"/>
      <c r="P624" s="68"/>
      <c r="Q624" s="99" t="e">
        <f t="shared" si="74"/>
        <v>#DIV/0!</v>
      </c>
      <c r="R624" s="100">
        <f t="shared" si="75"/>
        <v>0.43387671059875982</v>
      </c>
      <c r="S624" s="83"/>
      <c r="T624" s="83"/>
      <c r="U624" s="101">
        <f t="shared" si="76"/>
        <v>2021.2824107652905</v>
      </c>
      <c r="V624" s="45"/>
      <c r="W624" s="45"/>
      <c r="X624" s="45"/>
      <c r="Y624" s="45"/>
      <c r="Z624" s="45"/>
      <c r="AA624" s="45"/>
    </row>
    <row r="625" spans="2:27" x14ac:dyDescent="0.45">
      <c r="B625" s="45" t="s">
        <v>431</v>
      </c>
      <c r="C625" s="90"/>
      <c r="D625" s="56"/>
      <c r="E625" s="84"/>
      <c r="F625" s="58"/>
      <c r="G625" s="58"/>
      <c r="H625" s="58"/>
      <c r="I625" s="58"/>
      <c r="J625" s="58"/>
      <c r="K625" s="58"/>
      <c r="L625" s="59">
        <f t="shared" si="73"/>
        <v>0</v>
      </c>
      <c r="M625" s="68"/>
      <c r="N625" s="68"/>
      <c r="O625" s="68"/>
      <c r="P625" s="68"/>
      <c r="Q625" s="99" t="e">
        <f t="shared" si="74"/>
        <v>#DIV/0!</v>
      </c>
      <c r="R625" s="100">
        <f t="shared" si="75"/>
        <v>0.43387671059875982</v>
      </c>
      <c r="S625" s="83"/>
      <c r="T625" s="83"/>
      <c r="U625" s="101">
        <f t="shared" si="76"/>
        <v>2021.2824107652905</v>
      </c>
      <c r="V625" s="45"/>
      <c r="W625" s="45"/>
      <c r="X625" s="45"/>
      <c r="Y625" s="45"/>
      <c r="Z625" s="45"/>
      <c r="AA625" s="45"/>
    </row>
    <row r="626" spans="2:27" x14ac:dyDescent="0.45">
      <c r="B626" s="45" t="s">
        <v>432</v>
      </c>
      <c r="C626" s="90"/>
      <c r="D626" s="56"/>
      <c r="E626" s="57"/>
      <c r="F626" s="58"/>
      <c r="G626" s="58"/>
      <c r="H626" s="58"/>
      <c r="I626" s="58"/>
      <c r="J626" s="58"/>
      <c r="K626" s="58"/>
      <c r="L626" s="59">
        <f t="shared" si="73"/>
        <v>0</v>
      </c>
      <c r="M626" s="68"/>
      <c r="N626" s="68"/>
      <c r="O626" s="68"/>
      <c r="P626" s="68"/>
      <c r="Q626" s="99" t="e">
        <f t="shared" si="74"/>
        <v>#DIV/0!</v>
      </c>
      <c r="R626" s="100">
        <f t="shared" si="75"/>
        <v>0.43387671059875982</v>
      </c>
      <c r="S626" s="83"/>
      <c r="T626" s="83"/>
      <c r="U626" s="101">
        <f t="shared" si="76"/>
        <v>2021.2824107652905</v>
      </c>
      <c r="V626" s="45"/>
      <c r="W626" s="45"/>
      <c r="X626" s="45"/>
      <c r="Y626" s="45"/>
      <c r="Z626" s="45"/>
      <c r="AA626" s="45"/>
    </row>
    <row r="627" spans="2:27" x14ac:dyDescent="0.45">
      <c r="B627" s="45" t="s">
        <v>433</v>
      </c>
      <c r="C627" s="90"/>
      <c r="D627" s="56"/>
      <c r="E627" s="80"/>
      <c r="F627" s="58"/>
      <c r="G627" s="58"/>
      <c r="H627" s="58"/>
      <c r="I627" s="58"/>
      <c r="J627" s="58"/>
      <c r="K627" s="58"/>
      <c r="L627" s="59">
        <f t="shared" si="73"/>
        <v>0</v>
      </c>
      <c r="M627" s="68"/>
      <c r="N627" s="68"/>
      <c r="O627" s="68"/>
      <c r="P627" s="68"/>
      <c r="Q627" s="99" t="e">
        <f t="shared" si="74"/>
        <v>#DIV/0!</v>
      </c>
      <c r="R627" s="100">
        <f t="shared" si="75"/>
        <v>0.43387671059875982</v>
      </c>
      <c r="S627" s="83"/>
      <c r="T627" s="83"/>
      <c r="U627" s="101">
        <f t="shared" si="76"/>
        <v>2021.2824107652905</v>
      </c>
      <c r="V627" s="45"/>
      <c r="W627" s="45"/>
      <c r="X627" s="45"/>
      <c r="Y627" s="45"/>
      <c r="Z627" s="45"/>
      <c r="AA627" s="45"/>
    </row>
    <row r="628" spans="2:27" x14ac:dyDescent="0.45">
      <c r="B628" s="45" t="s">
        <v>434</v>
      </c>
      <c r="C628" s="90"/>
      <c r="D628" s="56"/>
      <c r="E628" s="84"/>
      <c r="F628" s="58"/>
      <c r="G628" s="58"/>
      <c r="H628" s="58"/>
      <c r="I628" s="58"/>
      <c r="J628" s="58"/>
      <c r="K628" s="58"/>
      <c r="L628" s="59">
        <f t="shared" si="73"/>
        <v>0</v>
      </c>
      <c r="M628" s="68"/>
      <c r="N628" s="68"/>
      <c r="O628" s="68"/>
      <c r="P628" s="68"/>
      <c r="Q628" s="99" t="e">
        <f t="shared" si="74"/>
        <v>#DIV/0!</v>
      </c>
      <c r="R628" s="100">
        <f t="shared" si="75"/>
        <v>0.43387671059875982</v>
      </c>
      <c r="S628" s="83"/>
      <c r="T628" s="83"/>
      <c r="U628" s="101">
        <f t="shared" si="76"/>
        <v>2021.2824107652905</v>
      </c>
      <c r="V628" s="45"/>
      <c r="W628" s="45"/>
      <c r="X628" s="45"/>
      <c r="Y628" s="45"/>
      <c r="Z628" s="45"/>
      <c r="AA628" s="45"/>
    </row>
    <row r="629" spans="2:27" x14ac:dyDescent="0.45">
      <c r="B629" s="45" t="s">
        <v>435</v>
      </c>
      <c r="C629" s="90"/>
      <c r="D629" s="56"/>
      <c r="E629" s="57"/>
      <c r="F629" s="58"/>
      <c r="G629" s="58"/>
      <c r="H629" s="58"/>
      <c r="I629" s="58"/>
      <c r="J629" s="58"/>
      <c r="K629" s="58"/>
      <c r="L629" s="59">
        <f t="shared" si="73"/>
        <v>0</v>
      </c>
      <c r="M629" s="68"/>
      <c r="N629" s="68"/>
      <c r="O629" s="68"/>
      <c r="P629" s="68"/>
      <c r="Q629" s="99" t="e">
        <f t="shared" si="74"/>
        <v>#DIV/0!</v>
      </c>
      <c r="R629" s="100">
        <f t="shared" si="75"/>
        <v>0.43387671059875982</v>
      </c>
      <c r="S629" s="83"/>
      <c r="T629" s="83"/>
      <c r="U629" s="101">
        <f t="shared" si="76"/>
        <v>2021.2824107652905</v>
      </c>
      <c r="V629" s="45"/>
      <c r="W629" s="45"/>
      <c r="X629" s="45"/>
      <c r="Y629" s="45"/>
      <c r="Z629" s="45"/>
      <c r="AA629" s="45"/>
    </row>
    <row r="630" spans="2:27" x14ac:dyDescent="0.45">
      <c r="B630" s="45" t="s">
        <v>436</v>
      </c>
      <c r="C630" s="90"/>
      <c r="D630" s="56"/>
      <c r="E630" s="80"/>
      <c r="F630" s="58"/>
      <c r="G630" s="58"/>
      <c r="H630" s="58"/>
      <c r="I630" s="58"/>
      <c r="J630" s="58"/>
      <c r="K630" s="58"/>
      <c r="L630" s="59">
        <f t="shared" si="73"/>
        <v>0</v>
      </c>
      <c r="M630" s="68"/>
      <c r="N630" s="68"/>
      <c r="O630" s="68"/>
      <c r="P630" s="68"/>
      <c r="Q630" s="99" t="e">
        <f t="shared" si="74"/>
        <v>#DIV/0!</v>
      </c>
      <c r="R630" s="100">
        <f t="shared" si="75"/>
        <v>0.43387671059875982</v>
      </c>
      <c r="S630" s="83"/>
      <c r="T630" s="83"/>
      <c r="U630" s="101">
        <f t="shared" si="76"/>
        <v>2021.2824107652905</v>
      </c>
      <c r="V630" s="45"/>
      <c r="W630" s="45"/>
      <c r="X630" s="45"/>
      <c r="Y630" s="45"/>
      <c r="Z630" s="45"/>
      <c r="AA630" s="45"/>
    </row>
    <row r="631" spans="2:27" x14ac:dyDescent="0.45">
      <c r="B631" s="45" t="s">
        <v>437</v>
      </c>
      <c r="C631" s="90"/>
      <c r="D631" s="56"/>
      <c r="E631" s="84"/>
      <c r="F631" s="58"/>
      <c r="G631" s="58"/>
      <c r="H631" s="58"/>
      <c r="I631" s="58"/>
      <c r="J631" s="58"/>
      <c r="K631" s="58"/>
      <c r="L631" s="59">
        <f t="shared" si="73"/>
        <v>0</v>
      </c>
      <c r="M631" s="68"/>
      <c r="N631" s="68"/>
      <c r="O631" s="68"/>
      <c r="P631" s="68"/>
      <c r="Q631" s="99" t="e">
        <f t="shared" si="74"/>
        <v>#DIV/0!</v>
      </c>
      <c r="R631" s="100">
        <f t="shared" si="75"/>
        <v>0.43387671059875982</v>
      </c>
      <c r="S631" s="83"/>
      <c r="T631" s="83"/>
      <c r="U631" s="101">
        <f t="shared" si="76"/>
        <v>2021.2824107652905</v>
      </c>
      <c r="V631" s="45"/>
      <c r="W631" s="45"/>
      <c r="X631" s="45"/>
      <c r="Y631" s="45"/>
      <c r="Z631" s="45"/>
      <c r="AA631" s="45"/>
    </row>
    <row r="632" spans="2:27" x14ac:dyDescent="0.45">
      <c r="B632" s="45" t="s">
        <v>438</v>
      </c>
      <c r="C632" s="90"/>
      <c r="D632" s="56"/>
      <c r="E632" s="57"/>
      <c r="F632" s="58"/>
      <c r="G632" s="58"/>
      <c r="H632" s="58"/>
      <c r="I632" s="58"/>
      <c r="J632" s="58"/>
      <c r="K632" s="58"/>
      <c r="L632" s="59">
        <f t="shared" si="73"/>
        <v>0</v>
      </c>
      <c r="M632" s="68"/>
      <c r="N632" s="68"/>
      <c r="O632" s="68"/>
      <c r="P632" s="68"/>
      <c r="Q632" s="99" t="e">
        <f t="shared" si="74"/>
        <v>#DIV/0!</v>
      </c>
      <c r="R632" s="100">
        <f t="shared" si="75"/>
        <v>0.43387671059875982</v>
      </c>
      <c r="S632" s="83"/>
      <c r="T632" s="83"/>
      <c r="U632" s="101">
        <f t="shared" si="76"/>
        <v>2021.2824107652905</v>
      </c>
      <c r="V632" s="45"/>
      <c r="W632" s="45"/>
      <c r="X632" s="45"/>
      <c r="Y632" s="45"/>
      <c r="Z632" s="45"/>
      <c r="AA632" s="45"/>
    </row>
    <row r="633" spans="2:27" x14ac:dyDescent="0.45">
      <c r="B633" s="45" t="s">
        <v>439</v>
      </c>
      <c r="C633" s="90"/>
      <c r="D633" s="56"/>
      <c r="E633" s="80"/>
      <c r="F633" s="58"/>
      <c r="G633" s="58"/>
      <c r="H633" s="58"/>
      <c r="I633" s="58"/>
      <c r="J633" s="58"/>
      <c r="K633" s="58"/>
      <c r="L633" s="59">
        <f t="shared" si="73"/>
        <v>0</v>
      </c>
      <c r="M633" s="68"/>
      <c r="N633" s="68"/>
      <c r="O633" s="68"/>
      <c r="P633" s="68"/>
      <c r="Q633" s="99" t="e">
        <f t="shared" si="74"/>
        <v>#DIV/0!</v>
      </c>
      <c r="R633" s="100">
        <f t="shared" si="75"/>
        <v>0.43387671059875982</v>
      </c>
      <c r="S633" s="83"/>
      <c r="T633" s="83"/>
      <c r="U633" s="101">
        <f t="shared" si="76"/>
        <v>2021.2824107652905</v>
      </c>
      <c r="V633" s="45"/>
      <c r="W633" s="45"/>
      <c r="X633" s="45"/>
      <c r="Y633" s="45"/>
      <c r="Z633" s="45"/>
      <c r="AA633" s="45"/>
    </row>
    <row r="634" spans="2:27" x14ac:dyDescent="0.45">
      <c r="B634" s="45" t="s">
        <v>440</v>
      </c>
      <c r="C634" s="90"/>
      <c r="D634" s="56"/>
      <c r="E634" s="84"/>
      <c r="F634" s="58"/>
      <c r="G634" s="58"/>
      <c r="H634" s="58"/>
      <c r="I634" s="58"/>
      <c r="J634" s="58"/>
      <c r="K634" s="58"/>
      <c r="L634" s="59">
        <f t="shared" si="73"/>
        <v>0</v>
      </c>
      <c r="M634" s="68"/>
      <c r="N634" s="68"/>
      <c r="O634" s="68"/>
      <c r="P634" s="68"/>
      <c r="Q634" s="99" t="e">
        <f t="shared" si="74"/>
        <v>#DIV/0!</v>
      </c>
      <c r="R634" s="100">
        <f t="shared" si="75"/>
        <v>0.43387671059875982</v>
      </c>
      <c r="S634" s="83"/>
      <c r="T634" s="83"/>
      <c r="U634" s="101">
        <f t="shared" si="76"/>
        <v>2021.2824107652905</v>
      </c>
      <c r="V634" s="45"/>
      <c r="W634" s="45"/>
      <c r="X634" s="45"/>
      <c r="Y634" s="45"/>
      <c r="Z634" s="45"/>
      <c r="AA634" s="45"/>
    </row>
    <row r="635" spans="2:27" x14ac:dyDescent="0.45">
      <c r="B635" s="45" t="s">
        <v>441</v>
      </c>
      <c r="C635" s="90"/>
      <c r="D635" s="56"/>
      <c r="E635" s="57"/>
      <c r="F635" s="58"/>
      <c r="G635" s="58"/>
      <c r="H635" s="58"/>
      <c r="I635" s="58"/>
      <c r="J635" s="58"/>
      <c r="K635" s="58"/>
      <c r="L635" s="59">
        <f t="shared" si="73"/>
        <v>0</v>
      </c>
      <c r="M635" s="68"/>
      <c r="N635" s="68"/>
      <c r="O635" s="68"/>
      <c r="P635" s="68"/>
      <c r="Q635" s="99" t="e">
        <f t="shared" si="74"/>
        <v>#DIV/0!</v>
      </c>
      <c r="R635" s="100">
        <f t="shared" si="75"/>
        <v>0.43387671059875982</v>
      </c>
      <c r="S635" s="83"/>
      <c r="T635" s="83"/>
      <c r="U635" s="101">
        <f t="shared" si="76"/>
        <v>2021.2824107652905</v>
      </c>
      <c r="V635" s="45"/>
      <c r="W635" s="45"/>
      <c r="X635" s="45"/>
      <c r="Y635" s="45"/>
      <c r="Z635" s="45"/>
      <c r="AA635" s="45"/>
    </row>
    <row r="636" spans="2:27" x14ac:dyDescent="0.45">
      <c r="B636" s="45" t="s">
        <v>442</v>
      </c>
      <c r="C636" s="90"/>
      <c r="D636" s="56"/>
      <c r="E636" s="80"/>
      <c r="F636" s="58"/>
      <c r="G636" s="58"/>
      <c r="H636" s="58"/>
      <c r="I636" s="58"/>
      <c r="J636" s="58"/>
      <c r="K636" s="58"/>
      <c r="L636" s="59">
        <f t="shared" si="73"/>
        <v>0</v>
      </c>
      <c r="M636" s="68"/>
      <c r="N636" s="68"/>
      <c r="O636" s="68"/>
      <c r="P636" s="68"/>
      <c r="Q636" s="99" t="e">
        <f t="shared" si="74"/>
        <v>#DIV/0!</v>
      </c>
      <c r="R636" s="100">
        <f t="shared" si="75"/>
        <v>0.43387671059875982</v>
      </c>
      <c r="S636" s="83"/>
      <c r="T636" s="83"/>
      <c r="U636" s="101">
        <f t="shared" si="76"/>
        <v>2021.2824107652905</v>
      </c>
      <c r="V636" s="45"/>
      <c r="W636" s="45"/>
      <c r="X636" s="45"/>
      <c r="Y636" s="45"/>
      <c r="Z636" s="45"/>
      <c r="AA636" s="45"/>
    </row>
    <row r="637" spans="2:27" x14ac:dyDescent="0.45">
      <c r="B637" s="45" t="s">
        <v>443</v>
      </c>
      <c r="C637" s="90"/>
      <c r="D637" s="56"/>
      <c r="E637" s="84"/>
      <c r="F637" s="58"/>
      <c r="G637" s="58"/>
      <c r="H637" s="58"/>
      <c r="I637" s="58"/>
      <c r="J637" s="58"/>
      <c r="K637" s="58"/>
      <c r="L637" s="59">
        <f t="shared" si="73"/>
        <v>0</v>
      </c>
      <c r="M637" s="68"/>
      <c r="N637" s="68"/>
      <c r="O637" s="68"/>
      <c r="P637" s="68"/>
      <c r="Q637" s="99" t="e">
        <f t="shared" si="74"/>
        <v>#DIV/0!</v>
      </c>
      <c r="R637" s="100">
        <f t="shared" si="75"/>
        <v>0.43387671059875982</v>
      </c>
      <c r="S637" s="83"/>
      <c r="T637" s="83"/>
      <c r="U637" s="101">
        <f t="shared" si="76"/>
        <v>2021.2824107652905</v>
      </c>
      <c r="V637" s="45"/>
      <c r="W637" s="45"/>
      <c r="X637" s="45"/>
      <c r="Y637" s="45"/>
      <c r="Z637" s="45"/>
      <c r="AA637" s="45"/>
    </row>
    <row r="638" spans="2:27" x14ac:dyDescent="0.45">
      <c r="B638" s="45" t="s">
        <v>444</v>
      </c>
      <c r="C638" s="90"/>
      <c r="D638" s="56"/>
      <c r="E638" s="57"/>
      <c r="F638" s="58"/>
      <c r="G638" s="58"/>
      <c r="H638" s="58"/>
      <c r="I638" s="58"/>
      <c r="J638" s="58"/>
      <c r="K638" s="58"/>
      <c r="L638" s="59">
        <f t="shared" si="73"/>
        <v>0</v>
      </c>
      <c r="M638" s="68"/>
      <c r="N638" s="68"/>
      <c r="O638" s="68"/>
      <c r="P638" s="68"/>
      <c r="Q638" s="99" t="e">
        <f t="shared" si="74"/>
        <v>#DIV/0!</v>
      </c>
      <c r="R638" s="100">
        <f t="shared" si="75"/>
        <v>0.43387671059875982</v>
      </c>
      <c r="S638" s="83"/>
      <c r="T638" s="83"/>
      <c r="U638" s="101">
        <f t="shared" si="76"/>
        <v>2021.2824107652905</v>
      </c>
      <c r="V638" s="45"/>
      <c r="W638" s="45"/>
      <c r="X638" s="45"/>
      <c r="Y638" s="45"/>
      <c r="Z638" s="45"/>
      <c r="AA638" s="45"/>
    </row>
    <row r="639" spans="2:27" x14ac:dyDescent="0.45">
      <c r="B639" s="45" t="s">
        <v>445</v>
      </c>
      <c r="C639" s="90"/>
      <c r="D639" s="56"/>
      <c r="E639" s="80"/>
      <c r="F639" s="58"/>
      <c r="G639" s="58"/>
      <c r="H639" s="58"/>
      <c r="I639" s="58"/>
      <c r="J639" s="58"/>
      <c r="K639" s="58"/>
      <c r="L639" s="59">
        <f t="shared" si="73"/>
        <v>0</v>
      </c>
      <c r="M639" s="68"/>
      <c r="N639" s="68"/>
      <c r="O639" s="68"/>
      <c r="P639" s="68"/>
      <c r="Q639" s="99" t="e">
        <f t="shared" si="74"/>
        <v>#DIV/0!</v>
      </c>
      <c r="R639" s="100">
        <f t="shared" si="75"/>
        <v>0.43387671059875982</v>
      </c>
      <c r="S639" s="83"/>
      <c r="T639" s="83"/>
      <c r="U639" s="101">
        <f t="shared" si="76"/>
        <v>2021.2824107652905</v>
      </c>
      <c r="V639" s="45"/>
      <c r="W639" s="45"/>
      <c r="X639" s="45"/>
      <c r="Y639" s="45"/>
      <c r="Z639" s="45"/>
      <c r="AA639" s="45"/>
    </row>
    <row r="640" spans="2:27" x14ac:dyDescent="0.45">
      <c r="B640" s="45" t="s">
        <v>446</v>
      </c>
      <c r="C640" s="90"/>
      <c r="D640" s="56"/>
      <c r="E640" s="84"/>
      <c r="F640" s="58"/>
      <c r="G640" s="58"/>
      <c r="H640" s="58"/>
      <c r="I640" s="58"/>
      <c r="J640" s="58"/>
      <c r="K640" s="58"/>
      <c r="L640" s="59">
        <f t="shared" si="73"/>
        <v>0</v>
      </c>
      <c r="M640" s="68"/>
      <c r="N640" s="68"/>
      <c r="O640" s="68"/>
      <c r="P640" s="68"/>
      <c r="Q640" s="99" t="e">
        <f t="shared" si="74"/>
        <v>#DIV/0!</v>
      </c>
      <c r="R640" s="100">
        <f t="shared" si="75"/>
        <v>0.43387671059875982</v>
      </c>
      <c r="S640" s="83"/>
      <c r="T640" s="83"/>
      <c r="U640" s="101">
        <f t="shared" si="76"/>
        <v>2021.2824107652905</v>
      </c>
      <c r="V640" s="45"/>
      <c r="W640" s="45"/>
      <c r="X640" s="45"/>
      <c r="Y640" s="45"/>
      <c r="Z640" s="45"/>
      <c r="AA640" s="45"/>
    </row>
    <row r="641" spans="2:27" x14ac:dyDescent="0.45">
      <c r="B641" s="45" t="s">
        <v>447</v>
      </c>
      <c r="C641" s="90"/>
      <c r="D641" s="56"/>
      <c r="E641" s="57"/>
      <c r="F641" s="58"/>
      <c r="G641" s="58"/>
      <c r="H641" s="58"/>
      <c r="I641" s="58"/>
      <c r="J641" s="58"/>
      <c r="K641" s="58"/>
      <c r="L641" s="59">
        <f t="shared" si="73"/>
        <v>0</v>
      </c>
      <c r="M641" s="68"/>
      <c r="N641" s="68"/>
      <c r="O641" s="68"/>
      <c r="P641" s="68"/>
      <c r="Q641" s="99" t="e">
        <f t="shared" si="74"/>
        <v>#DIV/0!</v>
      </c>
      <c r="R641" s="100">
        <f t="shared" si="75"/>
        <v>0.43387671059875982</v>
      </c>
      <c r="S641" s="83"/>
      <c r="T641" s="83"/>
      <c r="U641" s="101">
        <f t="shared" si="76"/>
        <v>2021.2824107652905</v>
      </c>
      <c r="V641" s="45"/>
      <c r="W641" s="45"/>
      <c r="X641" s="45"/>
      <c r="Y641" s="45"/>
      <c r="Z641" s="45"/>
      <c r="AA641" s="45"/>
    </row>
    <row r="642" spans="2:27" x14ac:dyDescent="0.45">
      <c r="B642" s="45" t="s">
        <v>448</v>
      </c>
      <c r="C642" s="90"/>
      <c r="D642" s="56"/>
      <c r="E642" s="80"/>
      <c r="F642" s="58"/>
      <c r="G642" s="58"/>
      <c r="H642" s="58"/>
      <c r="I642" s="58"/>
      <c r="J642" s="58"/>
      <c r="K642" s="58"/>
      <c r="L642" s="59">
        <f t="shared" si="73"/>
        <v>0</v>
      </c>
      <c r="M642" s="68"/>
      <c r="N642" s="68"/>
      <c r="O642" s="68"/>
      <c r="P642" s="68"/>
      <c r="Q642" s="99" t="e">
        <f t="shared" si="74"/>
        <v>#DIV/0!</v>
      </c>
      <c r="R642" s="100">
        <f t="shared" si="75"/>
        <v>0.43387671059875982</v>
      </c>
      <c r="S642" s="83"/>
      <c r="T642" s="83"/>
      <c r="U642" s="101">
        <f t="shared" si="76"/>
        <v>2021.2824107652905</v>
      </c>
      <c r="V642" s="45"/>
      <c r="W642" s="45"/>
      <c r="X642" s="45"/>
      <c r="Y642" s="45"/>
      <c r="Z642" s="45"/>
      <c r="AA642" s="45"/>
    </row>
    <row r="643" spans="2:27" x14ac:dyDescent="0.45">
      <c r="B643" s="45" t="s">
        <v>449</v>
      </c>
      <c r="C643" s="90"/>
      <c r="D643" s="56"/>
      <c r="E643" s="84"/>
      <c r="F643" s="58"/>
      <c r="G643" s="58"/>
      <c r="H643" s="58"/>
      <c r="I643" s="58"/>
      <c r="J643" s="58"/>
      <c r="K643" s="58"/>
      <c r="L643" s="59">
        <f t="shared" si="73"/>
        <v>0</v>
      </c>
      <c r="M643" s="68"/>
      <c r="N643" s="68"/>
      <c r="O643" s="68"/>
      <c r="P643" s="68"/>
      <c r="Q643" s="99" t="e">
        <f t="shared" si="74"/>
        <v>#DIV/0!</v>
      </c>
      <c r="R643" s="100">
        <f t="shared" si="75"/>
        <v>0.43387671059875982</v>
      </c>
      <c r="S643" s="83"/>
      <c r="T643" s="83"/>
      <c r="U643" s="101">
        <f t="shared" si="76"/>
        <v>2021.2824107652905</v>
      </c>
      <c r="V643" s="45"/>
      <c r="W643" s="45"/>
      <c r="X643" s="45"/>
      <c r="Y643" s="45"/>
      <c r="Z643" s="45"/>
      <c r="AA643" s="45"/>
    </row>
    <row r="644" spans="2:27" x14ac:dyDescent="0.45">
      <c r="B644" s="45" t="s">
        <v>450</v>
      </c>
      <c r="C644" s="90"/>
      <c r="D644" s="56"/>
      <c r="E644" s="57"/>
      <c r="F644" s="58"/>
      <c r="G644" s="58"/>
      <c r="H644" s="58"/>
      <c r="I644" s="58"/>
      <c r="J644" s="58"/>
      <c r="K644" s="58"/>
      <c r="L644" s="59">
        <f t="shared" si="73"/>
        <v>0</v>
      </c>
      <c r="M644" s="68"/>
      <c r="N644" s="68"/>
      <c r="O644" s="68"/>
      <c r="P644" s="68"/>
      <c r="Q644" s="99" t="e">
        <f t="shared" si="74"/>
        <v>#DIV/0!</v>
      </c>
      <c r="R644" s="100">
        <f t="shared" si="75"/>
        <v>0.43387671059875982</v>
      </c>
      <c r="S644" s="83"/>
      <c r="T644" s="83"/>
      <c r="U644" s="101">
        <f t="shared" si="76"/>
        <v>2021.2824107652905</v>
      </c>
      <c r="V644" s="45"/>
      <c r="W644" s="45"/>
      <c r="X644" s="45"/>
      <c r="Y644" s="45"/>
      <c r="Z644" s="45"/>
      <c r="AA644" s="45"/>
    </row>
    <row r="645" spans="2:27" x14ac:dyDescent="0.45">
      <c r="B645" s="45" t="s">
        <v>451</v>
      </c>
      <c r="C645" s="90"/>
      <c r="D645" s="56"/>
      <c r="E645" s="80"/>
      <c r="F645" s="58"/>
      <c r="G645" s="58"/>
      <c r="H645" s="58"/>
      <c r="I645" s="58"/>
      <c r="J645" s="58"/>
      <c r="K645" s="58"/>
      <c r="L645" s="59">
        <f t="shared" si="73"/>
        <v>0</v>
      </c>
      <c r="M645" s="68"/>
      <c r="N645" s="68"/>
      <c r="O645" s="68"/>
      <c r="P645" s="68"/>
      <c r="Q645" s="99" t="e">
        <f t="shared" si="74"/>
        <v>#DIV/0!</v>
      </c>
      <c r="R645" s="100">
        <f t="shared" si="75"/>
        <v>0.43387671059875982</v>
      </c>
      <c r="S645" s="83"/>
      <c r="T645" s="83"/>
      <c r="U645" s="101">
        <f t="shared" si="76"/>
        <v>2021.2824107652905</v>
      </c>
      <c r="V645" s="45"/>
      <c r="W645" s="45"/>
      <c r="X645" s="45"/>
      <c r="Y645" s="45"/>
      <c r="Z645" s="45"/>
      <c r="AA645" s="45"/>
    </row>
    <row r="646" spans="2:27" x14ac:dyDescent="0.45">
      <c r="B646" s="45" t="s">
        <v>452</v>
      </c>
      <c r="C646" s="90"/>
      <c r="D646" s="56"/>
      <c r="E646" s="84"/>
      <c r="F646" s="58"/>
      <c r="G646" s="58"/>
      <c r="H646" s="58"/>
      <c r="I646" s="58"/>
      <c r="J646" s="58"/>
      <c r="K646" s="58"/>
      <c r="L646" s="59">
        <f t="shared" si="73"/>
        <v>0</v>
      </c>
      <c r="M646" s="68"/>
      <c r="N646" s="68"/>
      <c r="O646" s="68"/>
      <c r="P646" s="68"/>
      <c r="Q646" s="99" t="e">
        <f t="shared" si="74"/>
        <v>#DIV/0!</v>
      </c>
      <c r="R646" s="100">
        <f t="shared" si="75"/>
        <v>0.43387671059875982</v>
      </c>
      <c r="S646" s="83"/>
      <c r="T646" s="83"/>
      <c r="U646" s="101">
        <f t="shared" si="76"/>
        <v>2021.2824107652905</v>
      </c>
      <c r="V646" s="45"/>
      <c r="W646" s="45"/>
      <c r="X646" s="45"/>
      <c r="Y646" s="45"/>
      <c r="Z646" s="45"/>
      <c r="AA646" s="45"/>
    </row>
    <row r="647" spans="2:27" x14ac:dyDescent="0.45">
      <c r="B647" s="45" t="s">
        <v>453</v>
      </c>
      <c r="C647" s="90"/>
      <c r="D647" s="56"/>
      <c r="E647" s="57"/>
      <c r="F647" s="58"/>
      <c r="G647" s="58"/>
      <c r="H647" s="58"/>
      <c r="I647" s="58"/>
      <c r="J647" s="58"/>
      <c r="K647" s="58"/>
      <c r="L647" s="59">
        <f t="shared" si="73"/>
        <v>0</v>
      </c>
      <c r="M647" s="68"/>
      <c r="N647" s="68"/>
      <c r="O647" s="68"/>
      <c r="P647" s="68"/>
      <c r="Q647" s="99" t="e">
        <f t="shared" si="74"/>
        <v>#DIV/0!</v>
      </c>
      <c r="R647" s="100">
        <f t="shared" si="75"/>
        <v>0.43387671059875982</v>
      </c>
      <c r="S647" s="83"/>
      <c r="T647" s="83"/>
      <c r="U647" s="101">
        <f t="shared" si="76"/>
        <v>2021.2824107652905</v>
      </c>
      <c r="V647" s="45"/>
      <c r="W647" s="45"/>
      <c r="X647" s="45"/>
      <c r="Y647" s="45"/>
      <c r="Z647" s="45"/>
      <c r="AA647" s="45"/>
    </row>
    <row r="648" spans="2:27" x14ac:dyDescent="0.45">
      <c r="B648" s="45" t="s">
        <v>454</v>
      </c>
      <c r="C648" s="90"/>
      <c r="D648" s="56"/>
      <c r="E648" s="80"/>
      <c r="F648" s="58"/>
      <c r="G648" s="58"/>
      <c r="H648" s="58"/>
      <c r="I648" s="58"/>
      <c r="J648" s="58"/>
      <c r="K648" s="58"/>
      <c r="L648" s="59">
        <f t="shared" si="73"/>
        <v>0</v>
      </c>
      <c r="M648" s="68"/>
      <c r="N648" s="68"/>
      <c r="O648" s="68"/>
      <c r="P648" s="68"/>
      <c r="Q648" s="99" t="e">
        <f t="shared" si="74"/>
        <v>#DIV/0!</v>
      </c>
      <c r="R648" s="100">
        <f t="shared" si="75"/>
        <v>0.43387671059875982</v>
      </c>
      <c r="S648" s="83"/>
      <c r="T648" s="83"/>
      <c r="U648" s="101">
        <f t="shared" si="76"/>
        <v>2021.2824107652905</v>
      </c>
      <c r="V648" s="45"/>
      <c r="W648" s="45"/>
      <c r="X648" s="45"/>
      <c r="Y648" s="45"/>
      <c r="Z648" s="45"/>
      <c r="AA648" s="45"/>
    </row>
    <row r="649" spans="2:27" x14ac:dyDescent="0.45">
      <c r="B649" s="45" t="s">
        <v>455</v>
      </c>
      <c r="C649" s="90"/>
      <c r="D649" s="56"/>
      <c r="E649" s="84"/>
      <c r="F649" s="58"/>
      <c r="G649" s="58"/>
      <c r="H649" s="58"/>
      <c r="I649" s="58"/>
      <c r="J649" s="58"/>
      <c r="K649" s="58"/>
      <c r="L649" s="59">
        <f t="shared" si="73"/>
        <v>0</v>
      </c>
      <c r="M649" s="68"/>
      <c r="N649" s="68"/>
      <c r="O649" s="68"/>
      <c r="P649" s="68"/>
      <c r="Q649" s="99" t="e">
        <f t="shared" si="74"/>
        <v>#DIV/0!</v>
      </c>
      <c r="R649" s="100">
        <f t="shared" si="75"/>
        <v>0.43387671059875982</v>
      </c>
      <c r="S649" s="83"/>
      <c r="T649" s="83"/>
      <c r="U649" s="101">
        <f t="shared" si="76"/>
        <v>2021.2824107652905</v>
      </c>
      <c r="V649" s="45"/>
      <c r="W649" s="45"/>
      <c r="X649" s="45"/>
      <c r="Y649" s="45"/>
      <c r="Z649" s="45"/>
      <c r="AA649" s="45"/>
    </row>
    <row r="650" spans="2:27" x14ac:dyDescent="0.45">
      <c r="B650" s="45" t="s">
        <v>456</v>
      </c>
      <c r="C650" s="90"/>
      <c r="D650" s="56"/>
      <c r="E650" s="57"/>
      <c r="F650" s="58"/>
      <c r="G650" s="58"/>
      <c r="H650" s="58"/>
      <c r="I650" s="58"/>
      <c r="J650" s="58"/>
      <c r="K650" s="58"/>
      <c r="L650" s="59">
        <f t="shared" si="73"/>
        <v>0</v>
      </c>
      <c r="M650" s="68"/>
      <c r="N650" s="68"/>
      <c r="O650" s="68"/>
      <c r="P650" s="68"/>
      <c r="Q650" s="99" t="e">
        <f t="shared" si="74"/>
        <v>#DIV/0!</v>
      </c>
      <c r="R650" s="100">
        <f t="shared" si="75"/>
        <v>0.43387671059875982</v>
      </c>
      <c r="S650" s="83"/>
      <c r="T650" s="83"/>
      <c r="U650" s="101">
        <f t="shared" si="76"/>
        <v>2021.2824107652905</v>
      </c>
      <c r="V650" s="45"/>
      <c r="W650" s="45"/>
      <c r="X650" s="45"/>
      <c r="Y650" s="45"/>
      <c r="Z650" s="45"/>
      <c r="AA650" s="45"/>
    </row>
    <row r="651" spans="2:27" x14ac:dyDescent="0.45">
      <c r="B651" s="45" t="s">
        <v>457</v>
      </c>
      <c r="C651" s="90"/>
      <c r="D651" s="56"/>
      <c r="E651" s="80"/>
      <c r="F651" s="58"/>
      <c r="G651" s="58"/>
      <c r="H651" s="58"/>
      <c r="I651" s="58"/>
      <c r="J651" s="58"/>
      <c r="K651" s="58"/>
      <c r="L651" s="59">
        <f t="shared" si="73"/>
        <v>0</v>
      </c>
      <c r="M651" s="68"/>
      <c r="N651" s="68"/>
      <c r="O651" s="68"/>
      <c r="P651" s="68"/>
      <c r="Q651" s="99" t="e">
        <f t="shared" si="74"/>
        <v>#DIV/0!</v>
      </c>
      <c r="R651" s="100">
        <f t="shared" si="75"/>
        <v>0.43387671059875982</v>
      </c>
      <c r="S651" s="83"/>
      <c r="T651" s="83"/>
      <c r="U651" s="101">
        <f t="shared" si="76"/>
        <v>2021.2824107652905</v>
      </c>
      <c r="V651" s="45"/>
      <c r="W651" s="45"/>
      <c r="X651" s="45"/>
      <c r="Y651" s="45"/>
      <c r="Z651" s="45"/>
      <c r="AA651" s="45"/>
    </row>
    <row r="652" spans="2:27" x14ac:dyDescent="0.45">
      <c r="B652" s="45" t="s">
        <v>458</v>
      </c>
      <c r="C652" s="90"/>
      <c r="D652" s="56"/>
      <c r="E652" s="84"/>
      <c r="F652" s="58"/>
      <c r="G652" s="58"/>
      <c r="H652" s="58"/>
      <c r="I652" s="58"/>
      <c r="J652" s="58"/>
      <c r="K652" s="58"/>
      <c r="L652" s="59">
        <f t="shared" si="73"/>
        <v>0</v>
      </c>
      <c r="M652" s="68"/>
      <c r="N652" s="68"/>
      <c r="O652" s="68"/>
      <c r="P652" s="68"/>
      <c r="Q652" s="99" t="e">
        <f t="shared" si="74"/>
        <v>#DIV/0!</v>
      </c>
      <c r="R652" s="100">
        <f t="shared" si="75"/>
        <v>0.43387671059875982</v>
      </c>
      <c r="S652" s="83"/>
      <c r="T652" s="83"/>
      <c r="U652" s="101">
        <f t="shared" si="76"/>
        <v>2021.2824107652905</v>
      </c>
      <c r="V652" s="45"/>
      <c r="W652" s="45"/>
      <c r="X652" s="45"/>
      <c r="Y652" s="45"/>
      <c r="Z652" s="45"/>
      <c r="AA652" s="45"/>
    </row>
    <row r="653" spans="2:27" x14ac:dyDescent="0.45">
      <c r="B653" s="45" t="s">
        <v>459</v>
      </c>
      <c r="C653" s="90"/>
      <c r="D653" s="56"/>
      <c r="E653" s="57"/>
      <c r="F653" s="58"/>
      <c r="G653" s="58"/>
      <c r="H653" s="58"/>
      <c r="I653" s="58"/>
      <c r="J653" s="58"/>
      <c r="K653" s="58"/>
      <c r="L653" s="59">
        <f t="shared" si="73"/>
        <v>0</v>
      </c>
      <c r="M653" s="68"/>
      <c r="N653" s="68"/>
      <c r="O653" s="68"/>
      <c r="P653" s="68"/>
      <c r="Q653" s="99" t="e">
        <f t="shared" si="74"/>
        <v>#DIV/0!</v>
      </c>
      <c r="R653" s="100">
        <f t="shared" si="75"/>
        <v>0.43387671059875982</v>
      </c>
      <c r="S653" s="83"/>
      <c r="T653" s="83"/>
      <c r="U653" s="101">
        <f t="shared" si="76"/>
        <v>2021.2824107652905</v>
      </c>
      <c r="V653" s="45"/>
      <c r="W653" s="45"/>
      <c r="X653" s="45"/>
      <c r="Y653" s="45"/>
      <c r="Z653" s="45"/>
      <c r="AA653" s="45"/>
    </row>
    <row r="654" spans="2:27" x14ac:dyDescent="0.45">
      <c r="B654" s="45" t="s">
        <v>460</v>
      </c>
      <c r="C654" s="90"/>
      <c r="D654" s="56"/>
      <c r="E654" s="80"/>
      <c r="F654" s="58"/>
      <c r="G654" s="58"/>
      <c r="H654" s="58"/>
      <c r="I654" s="58"/>
      <c r="J654" s="58"/>
      <c r="K654" s="58"/>
      <c r="L654" s="59">
        <f t="shared" si="73"/>
        <v>0</v>
      </c>
      <c r="M654" s="68"/>
      <c r="N654" s="68"/>
      <c r="O654" s="68"/>
      <c r="P654" s="68"/>
      <c r="Q654" s="99" t="e">
        <f t="shared" si="74"/>
        <v>#DIV/0!</v>
      </c>
      <c r="R654" s="100">
        <f t="shared" si="75"/>
        <v>0.43387671059875982</v>
      </c>
      <c r="S654" s="83"/>
      <c r="T654" s="83"/>
      <c r="U654" s="101">
        <f t="shared" si="76"/>
        <v>2021.2824107652905</v>
      </c>
      <c r="V654" s="45"/>
      <c r="W654" s="45"/>
      <c r="X654" s="45"/>
      <c r="Y654" s="45"/>
      <c r="Z654" s="45"/>
      <c r="AA654" s="45"/>
    </row>
    <row r="655" spans="2:27" x14ac:dyDescent="0.45">
      <c r="B655" s="45" t="s">
        <v>461</v>
      </c>
      <c r="C655" s="90"/>
      <c r="D655" s="56"/>
      <c r="E655" s="84"/>
      <c r="F655" s="58"/>
      <c r="G655" s="58"/>
      <c r="H655" s="58"/>
      <c r="I655" s="58"/>
      <c r="J655" s="58"/>
      <c r="K655" s="58"/>
      <c r="L655" s="59">
        <f t="shared" si="73"/>
        <v>0</v>
      </c>
      <c r="M655" s="68"/>
      <c r="N655" s="68"/>
      <c r="O655" s="68"/>
      <c r="P655" s="68"/>
      <c r="Q655" s="99" t="e">
        <f t="shared" si="74"/>
        <v>#DIV/0!</v>
      </c>
      <c r="R655" s="100">
        <f t="shared" si="75"/>
        <v>0.43387671059875982</v>
      </c>
      <c r="S655" s="83"/>
      <c r="T655" s="83"/>
      <c r="U655" s="101">
        <f t="shared" si="76"/>
        <v>2021.2824107652905</v>
      </c>
      <c r="V655" s="45"/>
      <c r="W655" s="45"/>
      <c r="X655" s="45"/>
      <c r="Y655" s="45"/>
      <c r="Z655" s="45"/>
      <c r="AA655" s="45"/>
    </row>
    <row r="656" spans="2:27" x14ac:dyDescent="0.45">
      <c r="B656" s="45" t="s">
        <v>462</v>
      </c>
      <c r="C656" s="90"/>
      <c r="D656" s="56"/>
      <c r="E656" s="57"/>
      <c r="F656" s="58"/>
      <c r="G656" s="58"/>
      <c r="H656" s="58"/>
      <c r="I656" s="58"/>
      <c r="J656" s="58"/>
      <c r="K656" s="58"/>
      <c r="L656" s="59">
        <f t="shared" si="73"/>
        <v>0</v>
      </c>
      <c r="M656" s="68"/>
      <c r="N656" s="68"/>
      <c r="O656" s="68"/>
      <c r="P656" s="68"/>
      <c r="Q656" s="99" t="e">
        <f t="shared" si="74"/>
        <v>#DIV/0!</v>
      </c>
      <c r="R656" s="100">
        <f t="shared" si="75"/>
        <v>0.43387671059875982</v>
      </c>
      <c r="S656" s="83"/>
      <c r="T656" s="83"/>
      <c r="U656" s="101">
        <f t="shared" si="76"/>
        <v>2021.2824107652905</v>
      </c>
      <c r="V656" s="45"/>
      <c r="W656" s="45"/>
      <c r="X656" s="45"/>
      <c r="Y656" s="45"/>
      <c r="Z656" s="45"/>
      <c r="AA656" s="45"/>
    </row>
    <row r="657" spans="2:27" x14ac:dyDescent="0.45">
      <c r="B657" s="45" t="s">
        <v>463</v>
      </c>
      <c r="C657" s="90"/>
      <c r="D657" s="56"/>
      <c r="E657" s="80"/>
      <c r="F657" s="58"/>
      <c r="G657" s="58"/>
      <c r="H657" s="58"/>
      <c r="I657" s="58"/>
      <c r="J657" s="58"/>
      <c r="K657" s="58"/>
      <c r="L657" s="59">
        <f t="shared" si="73"/>
        <v>0</v>
      </c>
      <c r="M657" s="68"/>
      <c r="N657" s="68"/>
      <c r="O657" s="68"/>
      <c r="P657" s="68"/>
      <c r="Q657" s="99" t="e">
        <f t="shared" si="74"/>
        <v>#DIV/0!</v>
      </c>
      <c r="R657" s="100">
        <f t="shared" si="75"/>
        <v>0.43387671059875982</v>
      </c>
      <c r="S657" s="83"/>
      <c r="T657" s="83"/>
      <c r="U657" s="101">
        <f t="shared" si="76"/>
        <v>2021.2824107652905</v>
      </c>
      <c r="V657" s="45"/>
      <c r="W657" s="45"/>
      <c r="X657" s="45"/>
      <c r="Y657" s="45"/>
      <c r="Z657" s="45"/>
      <c r="AA657" s="45"/>
    </row>
    <row r="658" spans="2:27" x14ac:dyDescent="0.45">
      <c r="B658" s="45" t="s">
        <v>464</v>
      </c>
      <c r="C658" s="90"/>
      <c r="D658" s="56"/>
      <c r="E658" s="84"/>
      <c r="F658" s="58"/>
      <c r="G658" s="58"/>
      <c r="H658" s="58"/>
      <c r="I658" s="58"/>
      <c r="J658" s="58"/>
      <c r="K658" s="58"/>
      <c r="L658" s="59">
        <f t="shared" si="73"/>
        <v>0</v>
      </c>
      <c r="M658" s="68"/>
      <c r="N658" s="68"/>
      <c r="O658" s="68"/>
      <c r="P658" s="68"/>
      <c r="Q658" s="99" t="e">
        <f t="shared" si="74"/>
        <v>#DIV/0!</v>
      </c>
      <c r="R658" s="100">
        <f t="shared" si="75"/>
        <v>0.43387671059875982</v>
      </c>
      <c r="S658" s="83"/>
      <c r="T658" s="83"/>
      <c r="U658" s="101">
        <f t="shared" si="76"/>
        <v>2021.2824107652905</v>
      </c>
      <c r="V658" s="45"/>
      <c r="W658" s="45"/>
      <c r="X658" s="45"/>
      <c r="Y658" s="45"/>
      <c r="Z658" s="45"/>
      <c r="AA658" s="45"/>
    </row>
    <row r="659" spans="2:27" x14ac:dyDescent="0.45">
      <c r="B659" s="45" t="s">
        <v>465</v>
      </c>
      <c r="C659" s="90"/>
      <c r="D659" s="56"/>
      <c r="E659" s="57"/>
      <c r="F659" s="58"/>
      <c r="G659" s="58"/>
      <c r="H659" s="58"/>
      <c r="I659" s="58"/>
      <c r="J659" s="58"/>
      <c r="K659" s="58"/>
      <c r="L659" s="59">
        <f t="shared" si="73"/>
        <v>0</v>
      </c>
      <c r="M659" s="68"/>
      <c r="N659" s="68"/>
      <c r="O659" s="68"/>
      <c r="P659" s="68"/>
      <c r="Q659" s="99" t="e">
        <f t="shared" si="74"/>
        <v>#DIV/0!</v>
      </c>
      <c r="R659" s="100">
        <f t="shared" si="75"/>
        <v>0.43387671059875982</v>
      </c>
      <c r="S659" s="83"/>
      <c r="T659" s="83"/>
      <c r="U659" s="101">
        <f t="shared" si="76"/>
        <v>2021.2824107652905</v>
      </c>
      <c r="V659" s="45"/>
      <c r="W659" s="45"/>
      <c r="X659" s="45"/>
      <c r="Y659" s="45"/>
      <c r="Z659" s="45"/>
      <c r="AA659" s="45"/>
    </row>
    <row r="660" spans="2:27" x14ac:dyDescent="0.45">
      <c r="B660" s="45" t="s">
        <v>466</v>
      </c>
      <c r="C660" s="90"/>
      <c r="D660" s="56"/>
      <c r="E660" s="80"/>
      <c r="F660" s="58"/>
      <c r="G660" s="58"/>
      <c r="H660" s="58"/>
      <c r="I660" s="58"/>
      <c r="J660" s="58"/>
      <c r="K660" s="58"/>
      <c r="L660" s="59">
        <f t="shared" si="73"/>
        <v>0</v>
      </c>
      <c r="M660" s="68"/>
      <c r="N660" s="68"/>
      <c r="O660" s="68"/>
      <c r="P660" s="68"/>
      <c r="Q660" s="99" t="e">
        <f t="shared" si="74"/>
        <v>#DIV/0!</v>
      </c>
      <c r="R660" s="100">
        <f t="shared" si="75"/>
        <v>0.43387671059875982</v>
      </c>
      <c r="S660" s="83"/>
      <c r="T660" s="83"/>
      <c r="U660" s="101">
        <f t="shared" si="76"/>
        <v>2021.2824107652905</v>
      </c>
      <c r="V660" s="45"/>
      <c r="W660" s="45"/>
      <c r="X660" s="45"/>
      <c r="Y660" s="45"/>
      <c r="Z660" s="45"/>
      <c r="AA660" s="45"/>
    </row>
    <row r="661" spans="2:27" x14ac:dyDescent="0.45">
      <c r="B661" s="45" t="s">
        <v>467</v>
      </c>
      <c r="C661" s="90"/>
      <c r="D661" s="56"/>
      <c r="E661" s="84"/>
      <c r="F661" s="58"/>
      <c r="G661" s="58"/>
      <c r="H661" s="58"/>
      <c r="I661" s="58"/>
      <c r="J661" s="58"/>
      <c r="K661" s="58"/>
      <c r="L661" s="59">
        <f t="shared" si="73"/>
        <v>0</v>
      </c>
      <c r="M661" s="68"/>
      <c r="N661" s="68"/>
      <c r="O661" s="68"/>
      <c r="P661" s="68"/>
      <c r="Q661" s="99" t="e">
        <f t="shared" si="74"/>
        <v>#DIV/0!</v>
      </c>
      <c r="R661" s="100">
        <f t="shared" si="75"/>
        <v>0.43387671059875982</v>
      </c>
      <c r="S661" s="83"/>
      <c r="T661" s="83"/>
      <c r="U661" s="101">
        <f t="shared" si="76"/>
        <v>2021.2824107652905</v>
      </c>
      <c r="V661" s="45"/>
      <c r="W661" s="45"/>
      <c r="X661" s="45"/>
      <c r="Y661" s="45"/>
      <c r="Z661" s="45"/>
      <c r="AA661" s="45"/>
    </row>
    <row r="662" spans="2:27" x14ac:dyDescent="0.45">
      <c r="B662" s="45" t="s">
        <v>468</v>
      </c>
      <c r="C662" s="90"/>
      <c r="D662" s="56"/>
      <c r="E662" s="57"/>
      <c r="F662" s="58"/>
      <c r="G662" s="58"/>
      <c r="H662" s="58"/>
      <c r="I662" s="58"/>
      <c r="J662" s="58"/>
      <c r="K662" s="58"/>
      <c r="L662" s="59">
        <f t="shared" si="73"/>
        <v>0</v>
      </c>
      <c r="M662" s="68"/>
      <c r="N662" s="68"/>
      <c r="O662" s="68"/>
      <c r="P662" s="68"/>
      <c r="Q662" s="99" t="e">
        <f t="shared" si="74"/>
        <v>#DIV/0!</v>
      </c>
      <c r="R662" s="100">
        <f t="shared" si="75"/>
        <v>0.43387671059875982</v>
      </c>
      <c r="S662" s="83"/>
      <c r="T662" s="83"/>
      <c r="U662" s="101">
        <f t="shared" si="76"/>
        <v>2021.2824107652905</v>
      </c>
      <c r="V662" s="45"/>
      <c r="W662" s="45"/>
      <c r="X662" s="45"/>
      <c r="Y662" s="45"/>
      <c r="Z662" s="45"/>
      <c r="AA662" s="45"/>
    </row>
    <row r="663" spans="2:27" x14ac:dyDescent="0.45">
      <c r="B663" s="45" t="s">
        <v>469</v>
      </c>
      <c r="C663" s="90"/>
      <c r="D663" s="56"/>
      <c r="E663" s="80"/>
      <c r="F663" s="58"/>
      <c r="G663" s="58"/>
      <c r="H663" s="58"/>
      <c r="I663" s="58"/>
      <c r="J663" s="58"/>
      <c r="K663" s="58"/>
      <c r="L663" s="59">
        <f t="shared" si="73"/>
        <v>0</v>
      </c>
      <c r="M663" s="68"/>
      <c r="N663" s="68"/>
      <c r="O663" s="68"/>
      <c r="P663" s="68"/>
      <c r="Q663" s="99" t="e">
        <f t="shared" si="74"/>
        <v>#DIV/0!</v>
      </c>
      <c r="R663" s="100">
        <f t="shared" si="75"/>
        <v>0.43387671059875982</v>
      </c>
      <c r="S663" s="83"/>
      <c r="T663" s="83"/>
      <c r="U663" s="101">
        <f t="shared" si="76"/>
        <v>2021.2824107652905</v>
      </c>
      <c r="V663" s="45"/>
      <c r="W663" s="45"/>
      <c r="X663" s="45"/>
      <c r="Y663" s="45"/>
      <c r="Z663" s="45"/>
      <c r="AA663" s="45"/>
    </row>
    <row r="664" spans="2:27" x14ac:dyDescent="0.45">
      <c r="B664" s="45" t="s">
        <v>470</v>
      </c>
      <c r="C664" s="90"/>
      <c r="D664" s="56"/>
      <c r="E664" s="84"/>
      <c r="F664" s="58"/>
      <c r="G664" s="58"/>
      <c r="H664" s="58"/>
      <c r="I664" s="58"/>
      <c r="J664" s="58"/>
      <c r="K664" s="58"/>
      <c r="L664" s="59">
        <f t="shared" si="73"/>
        <v>0</v>
      </c>
      <c r="M664" s="68"/>
      <c r="N664" s="68"/>
      <c r="O664" s="68"/>
      <c r="P664" s="68"/>
      <c r="Q664" s="99" t="e">
        <f t="shared" si="74"/>
        <v>#DIV/0!</v>
      </c>
      <c r="R664" s="100">
        <f t="shared" si="75"/>
        <v>0.43387671059875982</v>
      </c>
      <c r="S664" s="83"/>
      <c r="T664" s="83"/>
      <c r="U664" s="101">
        <f t="shared" si="76"/>
        <v>2021.2824107652905</v>
      </c>
      <c r="V664" s="45"/>
      <c r="W664" s="45"/>
      <c r="X664" s="45"/>
      <c r="Y664" s="45"/>
      <c r="Z664" s="45"/>
      <c r="AA664" s="45"/>
    </row>
    <row r="665" spans="2:27" x14ac:dyDescent="0.45">
      <c r="B665" s="45" t="s">
        <v>471</v>
      </c>
      <c r="C665" s="90"/>
      <c r="D665" s="56"/>
      <c r="E665" s="57"/>
      <c r="F665" s="58"/>
      <c r="G665" s="58"/>
      <c r="H665" s="58"/>
      <c r="I665" s="58"/>
      <c r="J665" s="58"/>
      <c r="K665" s="58"/>
      <c r="L665" s="59">
        <f t="shared" si="73"/>
        <v>0</v>
      </c>
      <c r="M665" s="68"/>
      <c r="N665" s="68"/>
      <c r="O665" s="68"/>
      <c r="P665" s="68"/>
      <c r="Q665" s="99" t="e">
        <f t="shared" si="74"/>
        <v>#DIV/0!</v>
      </c>
      <c r="R665" s="100">
        <f t="shared" si="75"/>
        <v>0.43387671059875982</v>
      </c>
      <c r="S665" s="83"/>
      <c r="T665" s="83"/>
      <c r="U665" s="101">
        <f t="shared" si="76"/>
        <v>2021.2824107652905</v>
      </c>
      <c r="V665" s="45"/>
      <c r="W665" s="45"/>
      <c r="X665" s="45"/>
      <c r="Y665" s="45"/>
      <c r="Z665" s="45"/>
      <c r="AA665" s="45"/>
    </row>
    <row r="666" spans="2:27" x14ac:dyDescent="0.45">
      <c r="B666" s="45" t="s">
        <v>472</v>
      </c>
      <c r="C666" s="90"/>
      <c r="D666" s="56"/>
      <c r="E666" s="80"/>
      <c r="F666" s="58"/>
      <c r="G666" s="58"/>
      <c r="H666" s="58"/>
      <c r="I666" s="58"/>
      <c r="J666" s="58"/>
      <c r="K666" s="58"/>
      <c r="L666" s="59">
        <f t="shared" si="73"/>
        <v>0</v>
      </c>
      <c r="M666" s="68"/>
      <c r="N666" s="68"/>
      <c r="O666" s="68"/>
      <c r="P666" s="68"/>
      <c r="Q666" s="99" t="e">
        <f t="shared" si="74"/>
        <v>#DIV/0!</v>
      </c>
      <c r="R666" s="100">
        <f t="shared" si="75"/>
        <v>0.43387671059875982</v>
      </c>
      <c r="S666" s="83"/>
      <c r="T666" s="83"/>
      <c r="U666" s="101">
        <f t="shared" si="76"/>
        <v>2021.2824107652905</v>
      </c>
      <c r="V666" s="45"/>
      <c r="W666" s="45"/>
      <c r="X666" s="45"/>
      <c r="Y666" s="45"/>
      <c r="Z666" s="45"/>
      <c r="AA666" s="45"/>
    </row>
    <row r="667" spans="2:27" x14ac:dyDescent="0.45">
      <c r="B667" s="45" t="s">
        <v>473</v>
      </c>
      <c r="C667" s="90"/>
      <c r="D667" s="56"/>
      <c r="E667" s="84"/>
      <c r="F667" s="58"/>
      <c r="G667" s="58"/>
      <c r="H667" s="58"/>
      <c r="I667" s="58"/>
      <c r="J667" s="58"/>
      <c r="K667" s="58"/>
      <c r="L667" s="59">
        <f t="shared" ref="L667:L697" si="77">1/2*((F667*I667+H667*K667+J667*G667)-(G667*H667+I667*J667+K667*F667))/0.1582*100</f>
        <v>0</v>
      </c>
      <c r="M667" s="68"/>
      <c r="N667" s="68"/>
      <c r="O667" s="68"/>
      <c r="P667" s="68"/>
      <c r="Q667" s="99" t="e">
        <f t="shared" ref="Q667:Q697" si="78">O667/P667</f>
        <v>#DIV/0!</v>
      </c>
      <c r="R667" s="100">
        <f t="shared" ref="R667:R697" si="79">SQRT(POWER(M667-$M$12,2)+POWER(N667-$N$12,2))</f>
        <v>0.43387671059875982</v>
      </c>
      <c r="S667" s="83"/>
      <c r="T667" s="83"/>
      <c r="U667" s="101">
        <f t="shared" ref="U667:U697" si="80">(-449*((M667-0.332)/(N667-0.1858))^3)+(3525*((M667-0.332)/(N667-0.1858))^2)+(-6823.3*(M667-0.332)/(N667-0.1858))+5520.33</f>
        <v>2021.2824107652905</v>
      </c>
      <c r="V667" s="45"/>
      <c r="W667" s="45"/>
      <c r="X667" s="45"/>
      <c r="Y667" s="45"/>
      <c r="Z667" s="45"/>
      <c r="AA667" s="45"/>
    </row>
    <row r="668" spans="2:27" x14ac:dyDescent="0.45">
      <c r="B668" s="45" t="s">
        <v>474</v>
      </c>
      <c r="C668" s="90"/>
      <c r="D668" s="56"/>
      <c r="E668" s="57"/>
      <c r="F668" s="58"/>
      <c r="G668" s="58"/>
      <c r="H668" s="58"/>
      <c r="I668" s="58"/>
      <c r="J668" s="58"/>
      <c r="K668" s="58"/>
      <c r="L668" s="59">
        <f t="shared" si="77"/>
        <v>0</v>
      </c>
      <c r="M668" s="68"/>
      <c r="N668" s="68"/>
      <c r="O668" s="68"/>
      <c r="P668" s="68"/>
      <c r="Q668" s="99" t="e">
        <f t="shared" si="78"/>
        <v>#DIV/0!</v>
      </c>
      <c r="R668" s="100">
        <f t="shared" si="79"/>
        <v>0.43387671059875982</v>
      </c>
      <c r="S668" s="83"/>
      <c r="T668" s="83"/>
      <c r="U668" s="101">
        <f t="shared" si="80"/>
        <v>2021.2824107652905</v>
      </c>
      <c r="V668" s="45"/>
      <c r="W668" s="45"/>
      <c r="X668" s="45"/>
      <c r="Y668" s="45"/>
      <c r="Z668" s="45"/>
      <c r="AA668" s="45"/>
    </row>
    <row r="669" spans="2:27" x14ac:dyDescent="0.45">
      <c r="B669" s="45" t="s">
        <v>475</v>
      </c>
      <c r="C669" s="90"/>
      <c r="D669" s="56"/>
      <c r="E669" s="80"/>
      <c r="F669" s="58"/>
      <c r="G669" s="58"/>
      <c r="H669" s="58"/>
      <c r="I669" s="58"/>
      <c r="J669" s="58"/>
      <c r="K669" s="58"/>
      <c r="L669" s="59">
        <f t="shared" si="77"/>
        <v>0</v>
      </c>
      <c r="M669" s="68"/>
      <c r="N669" s="68"/>
      <c r="O669" s="68"/>
      <c r="P669" s="68"/>
      <c r="Q669" s="99" t="e">
        <f t="shared" si="78"/>
        <v>#DIV/0!</v>
      </c>
      <c r="R669" s="100">
        <f t="shared" si="79"/>
        <v>0.43387671059875982</v>
      </c>
      <c r="S669" s="83"/>
      <c r="T669" s="83"/>
      <c r="U669" s="101">
        <f t="shared" si="80"/>
        <v>2021.2824107652905</v>
      </c>
      <c r="V669" s="45"/>
      <c r="W669" s="45"/>
      <c r="X669" s="45"/>
      <c r="Y669" s="45"/>
      <c r="Z669" s="45"/>
      <c r="AA669" s="45"/>
    </row>
    <row r="670" spans="2:27" x14ac:dyDescent="0.45">
      <c r="B670" s="45" t="s">
        <v>476</v>
      </c>
      <c r="C670" s="90"/>
      <c r="D670" s="56"/>
      <c r="E670" s="84"/>
      <c r="F670" s="58"/>
      <c r="G670" s="58"/>
      <c r="H670" s="58"/>
      <c r="I670" s="58"/>
      <c r="J670" s="58"/>
      <c r="K670" s="58"/>
      <c r="L670" s="59">
        <f t="shared" si="77"/>
        <v>0</v>
      </c>
      <c r="M670" s="68"/>
      <c r="N670" s="68"/>
      <c r="O670" s="68"/>
      <c r="P670" s="68"/>
      <c r="Q670" s="99" t="e">
        <f t="shared" si="78"/>
        <v>#DIV/0!</v>
      </c>
      <c r="R670" s="100">
        <f t="shared" si="79"/>
        <v>0.43387671059875982</v>
      </c>
      <c r="S670" s="83"/>
      <c r="T670" s="83"/>
      <c r="U670" s="101">
        <f t="shared" si="80"/>
        <v>2021.2824107652905</v>
      </c>
      <c r="V670" s="45"/>
      <c r="W670" s="45"/>
      <c r="X670" s="45"/>
      <c r="Y670" s="45"/>
      <c r="Z670" s="45"/>
      <c r="AA670" s="45"/>
    </row>
    <row r="671" spans="2:27" x14ac:dyDescent="0.45">
      <c r="B671" s="45" t="s">
        <v>477</v>
      </c>
      <c r="C671" s="90"/>
      <c r="D671" s="56"/>
      <c r="E671" s="57"/>
      <c r="F671" s="58"/>
      <c r="G671" s="58"/>
      <c r="H671" s="58"/>
      <c r="I671" s="58"/>
      <c r="J671" s="58"/>
      <c r="K671" s="58"/>
      <c r="L671" s="59">
        <f t="shared" si="77"/>
        <v>0</v>
      </c>
      <c r="M671" s="68"/>
      <c r="N671" s="68"/>
      <c r="O671" s="68"/>
      <c r="P671" s="68"/>
      <c r="Q671" s="99" t="e">
        <f t="shared" si="78"/>
        <v>#DIV/0!</v>
      </c>
      <c r="R671" s="100">
        <f t="shared" si="79"/>
        <v>0.43387671059875982</v>
      </c>
      <c r="S671" s="83"/>
      <c r="T671" s="83"/>
      <c r="U671" s="101">
        <f t="shared" si="80"/>
        <v>2021.2824107652905</v>
      </c>
      <c r="V671" s="45"/>
      <c r="W671" s="45"/>
      <c r="X671" s="45"/>
      <c r="Y671" s="45"/>
      <c r="Z671" s="45"/>
      <c r="AA671" s="45"/>
    </row>
    <row r="672" spans="2:27" x14ac:dyDescent="0.45">
      <c r="B672" s="45" t="s">
        <v>478</v>
      </c>
      <c r="C672" s="90"/>
      <c r="D672" s="56"/>
      <c r="E672" s="80"/>
      <c r="F672" s="58"/>
      <c r="G672" s="58"/>
      <c r="H672" s="58"/>
      <c r="I672" s="58"/>
      <c r="J672" s="58"/>
      <c r="K672" s="58"/>
      <c r="L672" s="59">
        <f t="shared" si="77"/>
        <v>0</v>
      </c>
      <c r="M672" s="68"/>
      <c r="N672" s="68"/>
      <c r="O672" s="68"/>
      <c r="P672" s="68"/>
      <c r="Q672" s="99" t="e">
        <f t="shared" si="78"/>
        <v>#DIV/0!</v>
      </c>
      <c r="R672" s="100">
        <f t="shared" si="79"/>
        <v>0.43387671059875982</v>
      </c>
      <c r="S672" s="83"/>
      <c r="T672" s="83"/>
      <c r="U672" s="101">
        <f t="shared" si="80"/>
        <v>2021.2824107652905</v>
      </c>
      <c r="V672" s="45"/>
      <c r="W672" s="45"/>
      <c r="X672" s="45"/>
      <c r="Y672" s="45"/>
      <c r="Z672" s="45"/>
      <c r="AA672" s="45"/>
    </row>
    <row r="673" spans="2:27" x14ac:dyDescent="0.45">
      <c r="B673" s="45" t="s">
        <v>479</v>
      </c>
      <c r="C673" s="90"/>
      <c r="D673" s="56"/>
      <c r="E673" s="84"/>
      <c r="F673" s="58"/>
      <c r="G673" s="58"/>
      <c r="H673" s="58"/>
      <c r="I673" s="58"/>
      <c r="J673" s="58"/>
      <c r="K673" s="58"/>
      <c r="L673" s="59">
        <f t="shared" si="77"/>
        <v>0</v>
      </c>
      <c r="M673" s="68"/>
      <c r="N673" s="68"/>
      <c r="O673" s="68"/>
      <c r="P673" s="68"/>
      <c r="Q673" s="99" t="e">
        <f t="shared" si="78"/>
        <v>#DIV/0!</v>
      </c>
      <c r="R673" s="100">
        <f t="shared" si="79"/>
        <v>0.43387671059875982</v>
      </c>
      <c r="S673" s="83"/>
      <c r="T673" s="83"/>
      <c r="U673" s="101">
        <f t="shared" si="80"/>
        <v>2021.2824107652905</v>
      </c>
      <c r="V673" s="45"/>
      <c r="W673" s="45"/>
      <c r="X673" s="45"/>
      <c r="Y673" s="45"/>
      <c r="Z673" s="45"/>
      <c r="AA673" s="45"/>
    </row>
    <row r="674" spans="2:27" x14ac:dyDescent="0.45">
      <c r="B674" s="45" t="s">
        <v>480</v>
      </c>
      <c r="C674" s="90"/>
      <c r="D674" s="56"/>
      <c r="E674" s="57"/>
      <c r="F674" s="58"/>
      <c r="G674" s="58"/>
      <c r="H674" s="58"/>
      <c r="I674" s="58"/>
      <c r="J674" s="58"/>
      <c r="K674" s="58"/>
      <c r="L674" s="59">
        <f t="shared" si="77"/>
        <v>0</v>
      </c>
      <c r="M674" s="68"/>
      <c r="N674" s="68"/>
      <c r="O674" s="68"/>
      <c r="P674" s="68"/>
      <c r="Q674" s="99" t="e">
        <f t="shared" si="78"/>
        <v>#DIV/0!</v>
      </c>
      <c r="R674" s="100">
        <f t="shared" si="79"/>
        <v>0.43387671059875982</v>
      </c>
      <c r="S674" s="83"/>
      <c r="T674" s="83"/>
      <c r="U674" s="101">
        <f t="shared" si="80"/>
        <v>2021.2824107652905</v>
      </c>
      <c r="V674" s="45"/>
      <c r="W674" s="45"/>
      <c r="X674" s="45"/>
      <c r="Y674" s="45"/>
      <c r="Z674" s="45"/>
      <c r="AA674" s="45"/>
    </row>
    <row r="675" spans="2:27" x14ac:dyDescent="0.45">
      <c r="B675" s="45" t="s">
        <v>481</v>
      </c>
      <c r="C675" s="90"/>
      <c r="D675" s="56"/>
      <c r="E675" s="80"/>
      <c r="F675" s="58"/>
      <c r="G675" s="58"/>
      <c r="H675" s="58"/>
      <c r="I675" s="58"/>
      <c r="J675" s="58"/>
      <c r="K675" s="58"/>
      <c r="L675" s="59">
        <f t="shared" si="77"/>
        <v>0</v>
      </c>
      <c r="M675" s="68"/>
      <c r="N675" s="68"/>
      <c r="O675" s="68"/>
      <c r="P675" s="68"/>
      <c r="Q675" s="99" t="e">
        <f t="shared" si="78"/>
        <v>#DIV/0!</v>
      </c>
      <c r="R675" s="100">
        <f t="shared" si="79"/>
        <v>0.43387671059875982</v>
      </c>
      <c r="S675" s="83"/>
      <c r="T675" s="83"/>
      <c r="U675" s="101">
        <f t="shared" si="80"/>
        <v>2021.2824107652905</v>
      </c>
      <c r="V675" s="45"/>
      <c r="W675" s="45"/>
      <c r="X675" s="45"/>
      <c r="Y675" s="45"/>
      <c r="Z675" s="45"/>
      <c r="AA675" s="45"/>
    </row>
    <row r="676" spans="2:27" x14ac:dyDescent="0.45">
      <c r="B676" s="45" t="s">
        <v>482</v>
      </c>
      <c r="C676" s="90"/>
      <c r="D676" s="56"/>
      <c r="E676" s="84"/>
      <c r="F676" s="58"/>
      <c r="G676" s="58"/>
      <c r="H676" s="58"/>
      <c r="I676" s="58"/>
      <c r="J676" s="58"/>
      <c r="K676" s="58"/>
      <c r="L676" s="59">
        <f t="shared" si="77"/>
        <v>0</v>
      </c>
      <c r="M676" s="68"/>
      <c r="N676" s="68"/>
      <c r="O676" s="68"/>
      <c r="P676" s="68"/>
      <c r="Q676" s="99" t="e">
        <f t="shared" si="78"/>
        <v>#DIV/0!</v>
      </c>
      <c r="R676" s="100">
        <f t="shared" si="79"/>
        <v>0.43387671059875982</v>
      </c>
      <c r="S676" s="83"/>
      <c r="T676" s="83"/>
      <c r="U676" s="101">
        <f t="shared" si="80"/>
        <v>2021.2824107652905</v>
      </c>
      <c r="V676" s="45"/>
      <c r="W676" s="45"/>
      <c r="X676" s="45"/>
      <c r="Y676" s="45"/>
      <c r="Z676" s="45"/>
      <c r="AA676" s="45"/>
    </row>
    <row r="677" spans="2:27" x14ac:dyDescent="0.45">
      <c r="B677" s="45" t="s">
        <v>483</v>
      </c>
      <c r="C677" s="90"/>
      <c r="D677" s="56"/>
      <c r="E677" s="57"/>
      <c r="F677" s="58"/>
      <c r="G677" s="58"/>
      <c r="H677" s="58"/>
      <c r="I677" s="58"/>
      <c r="J677" s="58"/>
      <c r="K677" s="58"/>
      <c r="L677" s="59">
        <f t="shared" si="77"/>
        <v>0</v>
      </c>
      <c r="M677" s="68"/>
      <c r="N677" s="68"/>
      <c r="O677" s="68"/>
      <c r="P677" s="68"/>
      <c r="Q677" s="99" t="e">
        <f t="shared" si="78"/>
        <v>#DIV/0!</v>
      </c>
      <c r="R677" s="100">
        <f t="shared" si="79"/>
        <v>0.43387671059875982</v>
      </c>
      <c r="S677" s="83"/>
      <c r="T677" s="83"/>
      <c r="U677" s="101">
        <f t="shared" si="80"/>
        <v>2021.2824107652905</v>
      </c>
      <c r="V677" s="45"/>
      <c r="W677" s="45"/>
      <c r="X677" s="45"/>
      <c r="Y677" s="45"/>
      <c r="Z677" s="45"/>
      <c r="AA677" s="45"/>
    </row>
    <row r="678" spans="2:27" x14ac:dyDescent="0.45">
      <c r="B678" s="45" t="s">
        <v>484</v>
      </c>
      <c r="C678" s="90"/>
      <c r="D678" s="56"/>
      <c r="E678" s="80"/>
      <c r="F678" s="58"/>
      <c r="G678" s="58"/>
      <c r="H678" s="58"/>
      <c r="I678" s="58"/>
      <c r="J678" s="58"/>
      <c r="K678" s="58"/>
      <c r="L678" s="59">
        <f t="shared" si="77"/>
        <v>0</v>
      </c>
      <c r="M678" s="68"/>
      <c r="N678" s="68"/>
      <c r="O678" s="68"/>
      <c r="P678" s="68"/>
      <c r="Q678" s="99" t="e">
        <f t="shared" si="78"/>
        <v>#DIV/0!</v>
      </c>
      <c r="R678" s="100">
        <f t="shared" si="79"/>
        <v>0.43387671059875982</v>
      </c>
      <c r="S678" s="83"/>
      <c r="T678" s="83"/>
      <c r="U678" s="101">
        <f t="shared" si="80"/>
        <v>2021.2824107652905</v>
      </c>
      <c r="V678" s="45"/>
      <c r="W678" s="45"/>
      <c r="X678" s="45"/>
      <c r="Y678" s="45"/>
      <c r="Z678" s="45"/>
      <c r="AA678" s="45"/>
    </row>
    <row r="679" spans="2:27" x14ac:dyDescent="0.45">
      <c r="B679" s="45" t="s">
        <v>485</v>
      </c>
      <c r="C679" s="90"/>
      <c r="D679" s="56"/>
      <c r="E679" s="84"/>
      <c r="F679" s="58"/>
      <c r="G679" s="58"/>
      <c r="H679" s="58"/>
      <c r="I679" s="58"/>
      <c r="J679" s="58"/>
      <c r="K679" s="58"/>
      <c r="L679" s="59">
        <f t="shared" si="77"/>
        <v>0</v>
      </c>
      <c r="M679" s="68"/>
      <c r="N679" s="68"/>
      <c r="O679" s="68"/>
      <c r="P679" s="68"/>
      <c r="Q679" s="99" t="e">
        <f t="shared" si="78"/>
        <v>#DIV/0!</v>
      </c>
      <c r="R679" s="100">
        <f t="shared" si="79"/>
        <v>0.43387671059875982</v>
      </c>
      <c r="S679" s="83"/>
      <c r="T679" s="83"/>
      <c r="U679" s="101">
        <f t="shared" si="80"/>
        <v>2021.2824107652905</v>
      </c>
      <c r="V679" s="45"/>
      <c r="W679" s="45"/>
      <c r="X679" s="45"/>
      <c r="Y679" s="45"/>
      <c r="Z679" s="45"/>
      <c r="AA679" s="45"/>
    </row>
    <row r="680" spans="2:27" x14ac:dyDescent="0.45">
      <c r="B680" s="45" t="s">
        <v>486</v>
      </c>
      <c r="C680" s="90"/>
      <c r="D680" s="56"/>
      <c r="E680" s="57"/>
      <c r="F680" s="58"/>
      <c r="G680" s="58"/>
      <c r="H680" s="58"/>
      <c r="I680" s="58"/>
      <c r="J680" s="58"/>
      <c r="K680" s="58"/>
      <c r="L680" s="59">
        <f t="shared" si="77"/>
        <v>0</v>
      </c>
      <c r="M680" s="68"/>
      <c r="N680" s="68"/>
      <c r="O680" s="68"/>
      <c r="P680" s="68"/>
      <c r="Q680" s="99" t="e">
        <f t="shared" si="78"/>
        <v>#DIV/0!</v>
      </c>
      <c r="R680" s="100">
        <f t="shared" si="79"/>
        <v>0.43387671059875982</v>
      </c>
      <c r="S680" s="83"/>
      <c r="T680" s="83"/>
      <c r="U680" s="101">
        <f t="shared" si="80"/>
        <v>2021.2824107652905</v>
      </c>
      <c r="V680" s="45"/>
      <c r="W680" s="45"/>
      <c r="X680" s="45"/>
      <c r="Y680" s="45"/>
      <c r="Z680" s="45"/>
      <c r="AA680" s="45"/>
    </row>
    <row r="681" spans="2:27" x14ac:dyDescent="0.45">
      <c r="B681" s="45" t="s">
        <v>487</v>
      </c>
      <c r="C681" s="90"/>
      <c r="D681" s="56"/>
      <c r="E681" s="80"/>
      <c r="F681" s="58"/>
      <c r="G681" s="58"/>
      <c r="H681" s="58"/>
      <c r="I681" s="58"/>
      <c r="J681" s="58"/>
      <c r="K681" s="58"/>
      <c r="L681" s="59">
        <f t="shared" si="77"/>
        <v>0</v>
      </c>
      <c r="M681" s="68"/>
      <c r="N681" s="68"/>
      <c r="O681" s="68"/>
      <c r="P681" s="68"/>
      <c r="Q681" s="99" t="e">
        <f t="shared" si="78"/>
        <v>#DIV/0!</v>
      </c>
      <c r="R681" s="100">
        <f t="shared" si="79"/>
        <v>0.43387671059875982</v>
      </c>
      <c r="S681" s="83"/>
      <c r="T681" s="83"/>
      <c r="U681" s="101">
        <f t="shared" si="80"/>
        <v>2021.2824107652905</v>
      </c>
      <c r="V681" s="45"/>
      <c r="W681" s="45"/>
      <c r="X681" s="45"/>
      <c r="Y681" s="45"/>
      <c r="Z681" s="45"/>
      <c r="AA681" s="45"/>
    </row>
    <row r="682" spans="2:27" x14ac:dyDescent="0.45">
      <c r="B682" s="45" t="s">
        <v>488</v>
      </c>
      <c r="C682" s="90"/>
      <c r="D682" s="56"/>
      <c r="E682" s="84"/>
      <c r="F682" s="58"/>
      <c r="G682" s="58"/>
      <c r="H682" s="58"/>
      <c r="I682" s="58"/>
      <c r="J682" s="58"/>
      <c r="K682" s="58"/>
      <c r="L682" s="59">
        <f t="shared" si="77"/>
        <v>0</v>
      </c>
      <c r="M682" s="68"/>
      <c r="N682" s="68"/>
      <c r="O682" s="68"/>
      <c r="P682" s="68"/>
      <c r="Q682" s="99" t="e">
        <f t="shared" si="78"/>
        <v>#DIV/0!</v>
      </c>
      <c r="R682" s="100">
        <f t="shared" si="79"/>
        <v>0.43387671059875982</v>
      </c>
      <c r="S682" s="83"/>
      <c r="T682" s="83"/>
      <c r="U682" s="101">
        <f t="shared" si="80"/>
        <v>2021.2824107652905</v>
      </c>
      <c r="V682" s="45"/>
      <c r="W682" s="45"/>
      <c r="X682" s="45"/>
      <c r="Y682" s="45"/>
      <c r="Z682" s="45"/>
      <c r="AA682" s="45"/>
    </row>
    <row r="683" spans="2:27" x14ac:dyDescent="0.45">
      <c r="B683" s="45" t="s">
        <v>489</v>
      </c>
      <c r="C683" s="90"/>
      <c r="D683" s="56"/>
      <c r="E683" s="57"/>
      <c r="F683" s="58"/>
      <c r="G683" s="58"/>
      <c r="H683" s="58"/>
      <c r="I683" s="58"/>
      <c r="J683" s="58"/>
      <c r="K683" s="58"/>
      <c r="L683" s="59">
        <f t="shared" si="77"/>
        <v>0</v>
      </c>
      <c r="M683" s="68"/>
      <c r="N683" s="68"/>
      <c r="O683" s="68"/>
      <c r="P683" s="68"/>
      <c r="Q683" s="99" t="e">
        <f t="shared" si="78"/>
        <v>#DIV/0!</v>
      </c>
      <c r="R683" s="100">
        <f t="shared" si="79"/>
        <v>0.43387671059875982</v>
      </c>
      <c r="S683" s="83"/>
      <c r="T683" s="83"/>
      <c r="U683" s="101">
        <f t="shared" si="80"/>
        <v>2021.2824107652905</v>
      </c>
      <c r="V683" s="45"/>
      <c r="W683" s="45"/>
      <c r="X683" s="45"/>
      <c r="Y683" s="45"/>
      <c r="Z683" s="45"/>
      <c r="AA683" s="45"/>
    </row>
    <row r="684" spans="2:27" x14ac:dyDescent="0.45">
      <c r="B684" s="45" t="s">
        <v>490</v>
      </c>
      <c r="C684" s="90"/>
      <c r="D684" s="56"/>
      <c r="E684" s="80"/>
      <c r="F684" s="58"/>
      <c r="G684" s="58"/>
      <c r="H684" s="58"/>
      <c r="I684" s="58"/>
      <c r="J684" s="58"/>
      <c r="K684" s="58"/>
      <c r="L684" s="59">
        <f t="shared" si="77"/>
        <v>0</v>
      </c>
      <c r="M684" s="68"/>
      <c r="N684" s="68"/>
      <c r="O684" s="68"/>
      <c r="P684" s="68"/>
      <c r="Q684" s="99" t="e">
        <f t="shared" si="78"/>
        <v>#DIV/0!</v>
      </c>
      <c r="R684" s="100">
        <f t="shared" si="79"/>
        <v>0.43387671059875982</v>
      </c>
      <c r="S684" s="83"/>
      <c r="T684" s="83"/>
      <c r="U684" s="101">
        <f t="shared" si="80"/>
        <v>2021.2824107652905</v>
      </c>
      <c r="V684" s="45"/>
      <c r="W684" s="45"/>
      <c r="X684" s="45"/>
      <c r="Y684" s="45"/>
      <c r="Z684" s="45"/>
      <c r="AA684" s="45"/>
    </row>
    <row r="685" spans="2:27" x14ac:dyDescent="0.45">
      <c r="B685" s="45" t="s">
        <v>491</v>
      </c>
      <c r="C685" s="90"/>
      <c r="D685" s="56"/>
      <c r="E685" s="84"/>
      <c r="F685" s="58"/>
      <c r="G685" s="58"/>
      <c r="H685" s="58"/>
      <c r="I685" s="58"/>
      <c r="J685" s="58"/>
      <c r="K685" s="58"/>
      <c r="L685" s="59">
        <f t="shared" si="77"/>
        <v>0</v>
      </c>
      <c r="M685" s="68"/>
      <c r="N685" s="68"/>
      <c r="O685" s="68"/>
      <c r="P685" s="68"/>
      <c r="Q685" s="99" t="e">
        <f t="shared" si="78"/>
        <v>#DIV/0!</v>
      </c>
      <c r="R685" s="100">
        <f t="shared" si="79"/>
        <v>0.43387671059875982</v>
      </c>
      <c r="S685" s="83"/>
      <c r="T685" s="83"/>
      <c r="U685" s="101">
        <f t="shared" si="80"/>
        <v>2021.2824107652905</v>
      </c>
      <c r="V685" s="45"/>
      <c r="W685" s="45"/>
      <c r="X685" s="45"/>
      <c r="Y685" s="45"/>
      <c r="Z685" s="45"/>
      <c r="AA685" s="45"/>
    </row>
    <row r="686" spans="2:27" x14ac:dyDescent="0.45">
      <c r="B686" s="45" t="s">
        <v>492</v>
      </c>
      <c r="C686" s="90"/>
      <c r="D686" s="56"/>
      <c r="E686" s="57"/>
      <c r="F686" s="58"/>
      <c r="G686" s="58"/>
      <c r="H686" s="58"/>
      <c r="I686" s="58"/>
      <c r="J686" s="58"/>
      <c r="K686" s="58"/>
      <c r="L686" s="59">
        <f t="shared" si="77"/>
        <v>0</v>
      </c>
      <c r="M686" s="68"/>
      <c r="N686" s="68"/>
      <c r="O686" s="68"/>
      <c r="P686" s="68"/>
      <c r="Q686" s="99" t="e">
        <f t="shared" si="78"/>
        <v>#DIV/0!</v>
      </c>
      <c r="R686" s="100">
        <f t="shared" si="79"/>
        <v>0.43387671059875982</v>
      </c>
      <c r="S686" s="83"/>
      <c r="T686" s="83"/>
      <c r="U686" s="101">
        <f t="shared" si="80"/>
        <v>2021.2824107652905</v>
      </c>
      <c r="V686" s="45"/>
      <c r="W686" s="45"/>
      <c r="X686" s="45"/>
      <c r="Y686" s="45"/>
      <c r="Z686" s="45"/>
      <c r="AA686" s="45"/>
    </row>
    <row r="687" spans="2:27" x14ac:dyDescent="0.45">
      <c r="B687" s="45" t="s">
        <v>493</v>
      </c>
      <c r="C687" s="90"/>
      <c r="D687" s="56"/>
      <c r="E687" s="80"/>
      <c r="F687" s="58"/>
      <c r="G687" s="58"/>
      <c r="H687" s="58"/>
      <c r="I687" s="58"/>
      <c r="J687" s="58"/>
      <c r="K687" s="58"/>
      <c r="L687" s="59">
        <f t="shared" si="77"/>
        <v>0</v>
      </c>
      <c r="M687" s="68"/>
      <c r="N687" s="68"/>
      <c r="O687" s="68"/>
      <c r="P687" s="68"/>
      <c r="Q687" s="99" t="e">
        <f t="shared" si="78"/>
        <v>#DIV/0!</v>
      </c>
      <c r="R687" s="100">
        <f t="shared" si="79"/>
        <v>0.43387671059875982</v>
      </c>
      <c r="S687" s="83"/>
      <c r="T687" s="83"/>
      <c r="U687" s="101">
        <f t="shared" si="80"/>
        <v>2021.2824107652905</v>
      </c>
      <c r="V687" s="45"/>
      <c r="W687" s="45"/>
      <c r="X687" s="45"/>
      <c r="Y687" s="45"/>
      <c r="Z687" s="45"/>
      <c r="AA687" s="45"/>
    </row>
    <row r="688" spans="2:27" x14ac:dyDescent="0.45">
      <c r="B688" s="45" t="s">
        <v>494</v>
      </c>
      <c r="C688" s="90"/>
      <c r="D688" s="56"/>
      <c r="E688" s="84"/>
      <c r="F688" s="58"/>
      <c r="G688" s="58"/>
      <c r="H688" s="58"/>
      <c r="I688" s="58"/>
      <c r="J688" s="58"/>
      <c r="K688" s="58"/>
      <c r="L688" s="59">
        <f t="shared" si="77"/>
        <v>0</v>
      </c>
      <c r="M688" s="68"/>
      <c r="N688" s="68"/>
      <c r="O688" s="68"/>
      <c r="P688" s="68"/>
      <c r="Q688" s="99" t="e">
        <f t="shared" si="78"/>
        <v>#DIV/0!</v>
      </c>
      <c r="R688" s="100">
        <f t="shared" si="79"/>
        <v>0.43387671059875982</v>
      </c>
      <c r="S688" s="83"/>
      <c r="T688" s="83"/>
      <c r="U688" s="101">
        <f t="shared" si="80"/>
        <v>2021.2824107652905</v>
      </c>
      <c r="V688" s="45"/>
      <c r="W688" s="45"/>
      <c r="X688" s="45"/>
      <c r="Y688" s="45"/>
      <c r="Z688" s="45"/>
      <c r="AA688" s="45"/>
    </row>
    <row r="689" spans="2:27" x14ac:dyDescent="0.45">
      <c r="B689" s="45" t="s">
        <v>495</v>
      </c>
      <c r="C689" s="90"/>
      <c r="D689" s="56"/>
      <c r="E689" s="57"/>
      <c r="F689" s="58"/>
      <c r="G689" s="58"/>
      <c r="H689" s="58"/>
      <c r="I689" s="58"/>
      <c r="J689" s="58"/>
      <c r="K689" s="58"/>
      <c r="L689" s="59">
        <f t="shared" si="77"/>
        <v>0</v>
      </c>
      <c r="M689" s="68"/>
      <c r="N689" s="68"/>
      <c r="O689" s="68"/>
      <c r="P689" s="68"/>
      <c r="Q689" s="99" t="e">
        <f t="shared" si="78"/>
        <v>#DIV/0!</v>
      </c>
      <c r="R689" s="100">
        <f t="shared" si="79"/>
        <v>0.43387671059875982</v>
      </c>
      <c r="S689" s="83"/>
      <c r="T689" s="83"/>
      <c r="U689" s="101">
        <f t="shared" si="80"/>
        <v>2021.2824107652905</v>
      </c>
      <c r="V689" s="45"/>
      <c r="W689" s="45"/>
      <c r="X689" s="45"/>
      <c r="Y689" s="45"/>
      <c r="Z689" s="45"/>
      <c r="AA689" s="45"/>
    </row>
    <row r="690" spans="2:27" x14ac:dyDescent="0.45">
      <c r="B690" s="45" t="s">
        <v>496</v>
      </c>
      <c r="C690" s="90"/>
      <c r="D690" s="56"/>
      <c r="E690" s="80"/>
      <c r="F690" s="58"/>
      <c r="G690" s="58"/>
      <c r="H690" s="58"/>
      <c r="I690" s="58"/>
      <c r="J690" s="58"/>
      <c r="K690" s="58"/>
      <c r="L690" s="59">
        <f t="shared" si="77"/>
        <v>0</v>
      </c>
      <c r="M690" s="68"/>
      <c r="N690" s="68"/>
      <c r="O690" s="68"/>
      <c r="P690" s="68"/>
      <c r="Q690" s="99" t="e">
        <f t="shared" si="78"/>
        <v>#DIV/0!</v>
      </c>
      <c r="R690" s="100">
        <f t="shared" si="79"/>
        <v>0.43387671059875982</v>
      </c>
      <c r="S690" s="83"/>
      <c r="T690" s="83"/>
      <c r="U690" s="101">
        <f t="shared" si="80"/>
        <v>2021.2824107652905</v>
      </c>
      <c r="V690" s="45"/>
      <c r="W690" s="45"/>
      <c r="X690" s="45"/>
      <c r="Y690" s="45"/>
      <c r="Z690" s="45"/>
      <c r="AA690" s="45"/>
    </row>
    <row r="691" spans="2:27" x14ac:dyDescent="0.45">
      <c r="B691" s="45" t="s">
        <v>497</v>
      </c>
      <c r="C691" s="90"/>
      <c r="D691" s="56"/>
      <c r="E691" s="84"/>
      <c r="F691" s="58"/>
      <c r="G691" s="58"/>
      <c r="H691" s="58"/>
      <c r="I691" s="58"/>
      <c r="J691" s="58"/>
      <c r="K691" s="58"/>
      <c r="L691" s="59">
        <f t="shared" si="77"/>
        <v>0</v>
      </c>
      <c r="M691" s="68"/>
      <c r="N691" s="68"/>
      <c r="O691" s="68"/>
      <c r="P691" s="68"/>
      <c r="Q691" s="99" t="e">
        <f t="shared" si="78"/>
        <v>#DIV/0!</v>
      </c>
      <c r="R691" s="100">
        <f t="shared" si="79"/>
        <v>0.43387671059875982</v>
      </c>
      <c r="S691" s="83"/>
      <c r="T691" s="83"/>
      <c r="U691" s="101">
        <f t="shared" si="80"/>
        <v>2021.2824107652905</v>
      </c>
      <c r="V691" s="45"/>
      <c r="W691" s="45"/>
      <c r="X691" s="45"/>
      <c r="Y691" s="45"/>
      <c r="Z691" s="45"/>
      <c r="AA691" s="45"/>
    </row>
    <row r="692" spans="2:27" x14ac:dyDescent="0.45">
      <c r="B692" s="45" t="s">
        <v>498</v>
      </c>
      <c r="C692" s="90"/>
      <c r="D692" s="56"/>
      <c r="E692" s="57"/>
      <c r="F692" s="58"/>
      <c r="G692" s="58"/>
      <c r="H692" s="58"/>
      <c r="I692" s="58"/>
      <c r="J692" s="58"/>
      <c r="K692" s="58"/>
      <c r="L692" s="59">
        <f t="shared" si="77"/>
        <v>0</v>
      </c>
      <c r="M692" s="68"/>
      <c r="N692" s="68"/>
      <c r="O692" s="68"/>
      <c r="P692" s="68"/>
      <c r="Q692" s="99" t="e">
        <f t="shared" si="78"/>
        <v>#DIV/0!</v>
      </c>
      <c r="R692" s="100">
        <f t="shared" si="79"/>
        <v>0.43387671059875982</v>
      </c>
      <c r="S692" s="83"/>
      <c r="T692" s="83"/>
      <c r="U692" s="101">
        <f t="shared" si="80"/>
        <v>2021.2824107652905</v>
      </c>
      <c r="V692" s="45"/>
      <c r="W692" s="45"/>
      <c r="X692" s="45"/>
      <c r="Y692" s="45"/>
      <c r="Z692" s="45"/>
      <c r="AA692" s="45"/>
    </row>
    <row r="693" spans="2:27" x14ac:dyDescent="0.45">
      <c r="B693" s="45" t="s">
        <v>499</v>
      </c>
      <c r="C693" s="90"/>
      <c r="D693" s="56"/>
      <c r="E693" s="80"/>
      <c r="F693" s="58"/>
      <c r="G693" s="58"/>
      <c r="H693" s="58"/>
      <c r="I693" s="58"/>
      <c r="J693" s="58"/>
      <c r="K693" s="58"/>
      <c r="L693" s="59">
        <f t="shared" si="77"/>
        <v>0</v>
      </c>
      <c r="M693" s="68"/>
      <c r="N693" s="68"/>
      <c r="O693" s="68"/>
      <c r="P693" s="68"/>
      <c r="Q693" s="99" t="e">
        <f t="shared" si="78"/>
        <v>#DIV/0!</v>
      </c>
      <c r="R693" s="100">
        <f t="shared" si="79"/>
        <v>0.43387671059875982</v>
      </c>
      <c r="S693" s="83"/>
      <c r="T693" s="83"/>
      <c r="U693" s="101">
        <f t="shared" si="80"/>
        <v>2021.2824107652905</v>
      </c>
      <c r="V693" s="45"/>
      <c r="W693" s="45"/>
      <c r="X693" s="45"/>
      <c r="Y693" s="45"/>
      <c r="Z693" s="45"/>
      <c r="AA693" s="45"/>
    </row>
    <row r="694" spans="2:27" x14ac:dyDescent="0.45">
      <c r="B694" s="45" t="s">
        <v>500</v>
      </c>
      <c r="C694" s="90"/>
      <c r="D694" s="56"/>
      <c r="E694" s="84"/>
      <c r="F694" s="58"/>
      <c r="G694" s="58"/>
      <c r="H694" s="58"/>
      <c r="I694" s="58"/>
      <c r="J694" s="58"/>
      <c r="K694" s="58"/>
      <c r="L694" s="59">
        <f t="shared" si="77"/>
        <v>0</v>
      </c>
      <c r="M694" s="68"/>
      <c r="N694" s="68"/>
      <c r="O694" s="68"/>
      <c r="P694" s="68"/>
      <c r="Q694" s="99" t="e">
        <f t="shared" si="78"/>
        <v>#DIV/0!</v>
      </c>
      <c r="R694" s="100">
        <f t="shared" si="79"/>
        <v>0.43387671059875982</v>
      </c>
      <c r="S694" s="83"/>
      <c r="T694" s="83"/>
      <c r="U694" s="101">
        <f t="shared" si="80"/>
        <v>2021.2824107652905</v>
      </c>
      <c r="V694" s="45"/>
      <c r="W694" s="45"/>
      <c r="X694" s="45"/>
      <c r="Y694" s="45"/>
      <c r="Z694" s="45"/>
      <c r="AA694" s="45"/>
    </row>
    <row r="695" spans="2:27" x14ac:dyDescent="0.45">
      <c r="B695" s="45" t="s">
        <v>501</v>
      </c>
      <c r="C695" s="90"/>
      <c r="D695" s="56"/>
      <c r="E695" s="57"/>
      <c r="F695" s="58"/>
      <c r="G695" s="58"/>
      <c r="H695" s="58"/>
      <c r="I695" s="58"/>
      <c r="J695" s="58"/>
      <c r="K695" s="58"/>
      <c r="L695" s="59">
        <f t="shared" si="77"/>
        <v>0</v>
      </c>
      <c r="M695" s="68"/>
      <c r="N695" s="68"/>
      <c r="O695" s="68"/>
      <c r="P695" s="68"/>
      <c r="Q695" s="99" t="e">
        <f t="shared" si="78"/>
        <v>#DIV/0!</v>
      </c>
      <c r="R695" s="100">
        <f t="shared" si="79"/>
        <v>0.43387671059875982</v>
      </c>
      <c r="S695" s="83"/>
      <c r="T695" s="83"/>
      <c r="U695" s="101">
        <f t="shared" si="80"/>
        <v>2021.2824107652905</v>
      </c>
      <c r="V695" s="45"/>
      <c r="W695" s="45"/>
      <c r="X695" s="45"/>
      <c r="Y695" s="45"/>
      <c r="Z695" s="45"/>
      <c r="AA695" s="45"/>
    </row>
    <row r="696" spans="2:27" x14ac:dyDescent="0.45">
      <c r="B696" s="45" t="s">
        <v>502</v>
      </c>
      <c r="C696" s="90"/>
      <c r="D696" s="56"/>
      <c r="E696" s="80"/>
      <c r="F696" s="58"/>
      <c r="G696" s="58"/>
      <c r="H696" s="58"/>
      <c r="I696" s="58"/>
      <c r="J696" s="58"/>
      <c r="K696" s="58"/>
      <c r="L696" s="59">
        <f t="shared" si="77"/>
        <v>0</v>
      </c>
      <c r="M696" s="68"/>
      <c r="N696" s="68"/>
      <c r="O696" s="68"/>
      <c r="P696" s="68"/>
      <c r="Q696" s="99" t="e">
        <f t="shared" si="78"/>
        <v>#DIV/0!</v>
      </c>
      <c r="R696" s="100">
        <f t="shared" si="79"/>
        <v>0.43387671059875982</v>
      </c>
      <c r="S696" s="83"/>
      <c r="T696" s="83"/>
      <c r="U696" s="101">
        <f t="shared" si="80"/>
        <v>2021.2824107652905</v>
      </c>
      <c r="V696" s="45"/>
      <c r="W696" s="45"/>
      <c r="X696" s="45"/>
      <c r="Y696" s="45"/>
      <c r="Z696" s="45"/>
      <c r="AA696" s="45"/>
    </row>
    <row r="697" spans="2:27" x14ac:dyDescent="0.45">
      <c r="B697" s="45" t="s">
        <v>503</v>
      </c>
      <c r="C697" s="90"/>
      <c r="D697" s="56"/>
      <c r="E697" s="84"/>
      <c r="F697" s="58"/>
      <c r="G697" s="58"/>
      <c r="H697" s="58"/>
      <c r="I697" s="58"/>
      <c r="J697" s="58"/>
      <c r="K697" s="58"/>
      <c r="L697" s="59">
        <f t="shared" si="77"/>
        <v>0</v>
      </c>
      <c r="M697" s="68"/>
      <c r="N697" s="68"/>
      <c r="O697" s="68"/>
      <c r="P697" s="68"/>
      <c r="Q697" s="99" t="e">
        <f t="shared" si="78"/>
        <v>#DIV/0!</v>
      </c>
      <c r="R697" s="100">
        <f t="shared" si="79"/>
        <v>0.43387671059875982</v>
      </c>
      <c r="S697" s="83"/>
      <c r="T697" s="83"/>
      <c r="U697" s="101">
        <f t="shared" si="80"/>
        <v>2021.2824107652905</v>
      </c>
      <c r="V697" s="45"/>
      <c r="W697" s="45"/>
      <c r="X697" s="45"/>
      <c r="Y697" s="45"/>
      <c r="Z697" s="45"/>
      <c r="AA697" s="45"/>
    </row>
    <row r="698" spans="2:27" ht="17" x14ac:dyDescent="0.45">
      <c r="C698" s="98"/>
    </row>
    <row r="699" spans="2:27" ht="17" x14ac:dyDescent="0.45">
      <c r="C699" s="98"/>
    </row>
    <row r="700" spans="2:27" ht="17" x14ac:dyDescent="0.45">
      <c r="C700" s="98"/>
    </row>
    <row r="701" spans="2:27" ht="17" x14ac:dyDescent="0.45">
      <c r="C701" s="98"/>
    </row>
    <row r="702" spans="2:27" ht="17" x14ac:dyDescent="0.45">
      <c r="C702" s="98"/>
    </row>
    <row r="703" spans="2:27" ht="17" x14ac:dyDescent="0.45">
      <c r="C703" s="98"/>
    </row>
    <row r="704" spans="2:27" ht="17" x14ac:dyDescent="0.45">
      <c r="C704" s="98"/>
    </row>
    <row r="705" spans="3:3" ht="17" x14ac:dyDescent="0.45">
      <c r="C705" s="98"/>
    </row>
    <row r="706" spans="3:3" ht="17" x14ac:dyDescent="0.45">
      <c r="C706" s="98"/>
    </row>
    <row r="707" spans="3:3" ht="17" x14ac:dyDescent="0.45">
      <c r="C707" s="98"/>
    </row>
    <row r="708" spans="3:3" ht="17" x14ac:dyDescent="0.45">
      <c r="C708" s="98"/>
    </row>
    <row r="709" spans="3:3" ht="17" x14ac:dyDescent="0.45">
      <c r="C709" s="98"/>
    </row>
    <row r="710" spans="3:3" ht="17" x14ac:dyDescent="0.45">
      <c r="C710" s="98"/>
    </row>
    <row r="711" spans="3:3" ht="17" x14ac:dyDescent="0.45">
      <c r="C711" s="98"/>
    </row>
    <row r="712" spans="3:3" ht="17" x14ac:dyDescent="0.45">
      <c r="C712" s="98"/>
    </row>
    <row r="713" spans="3:3" ht="17" x14ac:dyDescent="0.45">
      <c r="C713" s="98"/>
    </row>
    <row r="714" spans="3:3" ht="17" x14ac:dyDescent="0.45">
      <c r="C714" s="98"/>
    </row>
    <row r="715" spans="3:3" ht="17" x14ac:dyDescent="0.45">
      <c r="C715" s="98"/>
    </row>
    <row r="716" spans="3:3" ht="17" x14ac:dyDescent="0.45">
      <c r="C716" s="98"/>
    </row>
    <row r="717" spans="3:3" ht="17" x14ac:dyDescent="0.45">
      <c r="C717" s="98"/>
    </row>
    <row r="718" spans="3:3" ht="17" x14ac:dyDescent="0.45">
      <c r="C718" s="98"/>
    </row>
    <row r="719" spans="3:3" ht="17" x14ac:dyDescent="0.45">
      <c r="C719" s="98"/>
    </row>
    <row r="720" spans="3:3" ht="17" x14ac:dyDescent="0.45">
      <c r="C720" s="98"/>
    </row>
    <row r="721" spans="3:3" ht="17" x14ac:dyDescent="0.45">
      <c r="C721" s="98"/>
    </row>
    <row r="722" spans="3:3" ht="17" x14ac:dyDescent="0.45">
      <c r="C722" s="98"/>
    </row>
    <row r="723" spans="3:3" ht="17" x14ac:dyDescent="0.45">
      <c r="C723" s="98"/>
    </row>
    <row r="724" spans="3:3" ht="17" x14ac:dyDescent="0.45">
      <c r="C724" s="98"/>
    </row>
    <row r="725" spans="3:3" ht="17" x14ac:dyDescent="0.45">
      <c r="C725" s="98"/>
    </row>
    <row r="726" spans="3:3" ht="17" x14ac:dyDescent="0.45">
      <c r="C726" s="98"/>
    </row>
    <row r="727" spans="3:3" ht="17" x14ac:dyDescent="0.45">
      <c r="C727" s="98"/>
    </row>
    <row r="728" spans="3:3" ht="17" x14ac:dyDescent="0.45">
      <c r="C728" s="98"/>
    </row>
    <row r="729" spans="3:3" ht="17" x14ac:dyDescent="0.45">
      <c r="C729" s="98"/>
    </row>
    <row r="730" spans="3:3" ht="17" x14ac:dyDescent="0.45">
      <c r="C730" s="98"/>
    </row>
    <row r="731" spans="3:3" ht="17" x14ac:dyDescent="0.45">
      <c r="C731" s="98"/>
    </row>
    <row r="732" spans="3:3" ht="17" x14ac:dyDescent="0.45">
      <c r="C732" s="98"/>
    </row>
    <row r="733" spans="3:3" ht="17" x14ac:dyDescent="0.45">
      <c r="C733" s="98"/>
    </row>
    <row r="734" spans="3:3" ht="17" x14ac:dyDescent="0.45">
      <c r="C734" s="98"/>
    </row>
    <row r="735" spans="3:3" ht="17" x14ac:dyDescent="0.45">
      <c r="C735" s="98"/>
    </row>
    <row r="736" spans="3:3" ht="17" x14ac:dyDescent="0.45">
      <c r="C736" s="98"/>
    </row>
    <row r="737" spans="3:3" ht="17" x14ac:dyDescent="0.45">
      <c r="C737" s="98"/>
    </row>
    <row r="738" spans="3:3" ht="17" x14ac:dyDescent="0.45">
      <c r="C738" s="98"/>
    </row>
    <row r="739" spans="3:3" ht="17" x14ac:dyDescent="0.45">
      <c r="C739" s="98"/>
    </row>
    <row r="740" spans="3:3" ht="17" x14ac:dyDescent="0.45">
      <c r="C740" s="98"/>
    </row>
    <row r="741" spans="3:3" ht="17" x14ac:dyDescent="0.45">
      <c r="C741" s="98"/>
    </row>
    <row r="742" spans="3:3" ht="17" x14ac:dyDescent="0.45">
      <c r="C742" s="98"/>
    </row>
    <row r="743" spans="3:3" ht="17" x14ac:dyDescent="0.45">
      <c r="C743" s="98"/>
    </row>
    <row r="744" spans="3:3" ht="17" x14ac:dyDescent="0.45">
      <c r="C744" s="98"/>
    </row>
    <row r="745" spans="3:3" ht="17" x14ac:dyDescent="0.45">
      <c r="C745" s="98"/>
    </row>
    <row r="746" spans="3:3" ht="17" x14ac:dyDescent="0.45">
      <c r="C746" s="98"/>
    </row>
    <row r="747" spans="3:3" ht="17" x14ac:dyDescent="0.45">
      <c r="C747" s="98"/>
    </row>
    <row r="748" spans="3:3" ht="17" x14ac:dyDescent="0.45">
      <c r="C748" s="98"/>
    </row>
    <row r="749" spans="3:3" ht="17" x14ac:dyDescent="0.45">
      <c r="C749" s="98"/>
    </row>
    <row r="750" spans="3:3" ht="17" x14ac:dyDescent="0.45">
      <c r="C750" s="98"/>
    </row>
    <row r="751" spans="3:3" ht="17" x14ac:dyDescent="0.45">
      <c r="C751" s="98"/>
    </row>
    <row r="752" spans="3:3" ht="17" x14ac:dyDescent="0.45">
      <c r="C752" s="98"/>
    </row>
    <row r="753" spans="3:3" ht="17" x14ac:dyDescent="0.45">
      <c r="C753" s="98"/>
    </row>
    <row r="754" spans="3:3" ht="17" x14ac:dyDescent="0.45">
      <c r="C754" s="98"/>
    </row>
    <row r="755" spans="3:3" ht="17" x14ac:dyDescent="0.45">
      <c r="C755" s="98"/>
    </row>
    <row r="756" spans="3:3" ht="17" x14ac:dyDescent="0.45">
      <c r="C756" s="98"/>
    </row>
    <row r="757" spans="3:3" ht="17" x14ac:dyDescent="0.45">
      <c r="C757" s="98"/>
    </row>
    <row r="758" spans="3:3" ht="17" x14ac:dyDescent="0.45">
      <c r="C758" s="98"/>
    </row>
    <row r="759" spans="3:3" ht="17" x14ac:dyDescent="0.45">
      <c r="C759" s="98"/>
    </row>
    <row r="760" spans="3:3" ht="17" x14ac:dyDescent="0.45">
      <c r="C760" s="98"/>
    </row>
    <row r="761" spans="3:3" ht="17" x14ac:dyDescent="0.45">
      <c r="C761" s="98"/>
    </row>
    <row r="762" spans="3:3" ht="17" x14ac:dyDescent="0.45">
      <c r="C762" s="98"/>
    </row>
    <row r="763" spans="3:3" ht="17" x14ac:dyDescent="0.45">
      <c r="C763" s="98"/>
    </row>
    <row r="764" spans="3:3" ht="17" x14ac:dyDescent="0.45">
      <c r="C764" s="98"/>
    </row>
    <row r="765" spans="3:3" ht="17" x14ac:dyDescent="0.45">
      <c r="C765" s="98"/>
    </row>
    <row r="766" spans="3:3" ht="17" x14ac:dyDescent="0.45">
      <c r="C766" s="98"/>
    </row>
    <row r="767" spans="3:3" ht="17" x14ac:dyDescent="0.45">
      <c r="C767" s="98"/>
    </row>
    <row r="768" spans="3:3" ht="17" x14ac:dyDescent="0.45">
      <c r="C768" s="98"/>
    </row>
    <row r="769" spans="3:3" ht="17" x14ac:dyDescent="0.45">
      <c r="C769" s="98"/>
    </row>
    <row r="770" spans="3:3" ht="17" x14ac:dyDescent="0.45">
      <c r="C770" s="98"/>
    </row>
    <row r="771" spans="3:3" ht="17" x14ac:dyDescent="0.45">
      <c r="C771" s="98"/>
    </row>
    <row r="772" spans="3:3" ht="17" x14ac:dyDescent="0.45">
      <c r="C772" s="98"/>
    </row>
    <row r="773" spans="3:3" ht="17" x14ac:dyDescent="0.45">
      <c r="C773" s="98"/>
    </row>
    <row r="774" spans="3:3" ht="17" x14ac:dyDescent="0.45">
      <c r="C774" s="98"/>
    </row>
    <row r="775" spans="3:3" ht="17" x14ac:dyDescent="0.45">
      <c r="C775" s="98"/>
    </row>
    <row r="776" spans="3:3" ht="17" x14ac:dyDescent="0.45">
      <c r="C776" s="98"/>
    </row>
    <row r="777" spans="3:3" ht="17" x14ac:dyDescent="0.45">
      <c r="C777" s="98"/>
    </row>
    <row r="778" spans="3:3" ht="17" x14ac:dyDescent="0.45">
      <c r="C778" s="98"/>
    </row>
    <row r="779" spans="3:3" ht="17" x14ac:dyDescent="0.45">
      <c r="C779" s="98"/>
    </row>
    <row r="780" spans="3:3" ht="17" x14ac:dyDescent="0.45">
      <c r="C780" s="98"/>
    </row>
    <row r="781" spans="3:3" ht="17" x14ac:dyDescent="0.45">
      <c r="C781" s="98"/>
    </row>
    <row r="782" spans="3:3" ht="17" x14ac:dyDescent="0.45">
      <c r="C782" s="98"/>
    </row>
    <row r="783" spans="3:3" ht="17" x14ac:dyDescent="0.45">
      <c r="C783" s="98"/>
    </row>
    <row r="784" spans="3:3" ht="17" x14ac:dyDescent="0.45">
      <c r="C784" s="98"/>
    </row>
    <row r="785" spans="3:3" ht="17" x14ac:dyDescent="0.45">
      <c r="C785" s="98"/>
    </row>
    <row r="786" spans="3:3" ht="17" x14ac:dyDescent="0.45">
      <c r="C786" s="98"/>
    </row>
    <row r="787" spans="3:3" ht="17" x14ac:dyDescent="0.45">
      <c r="C787" s="98"/>
    </row>
    <row r="788" spans="3:3" ht="17" x14ac:dyDescent="0.45">
      <c r="C788" s="98"/>
    </row>
    <row r="789" spans="3:3" ht="17" x14ac:dyDescent="0.45">
      <c r="C789" s="98"/>
    </row>
    <row r="790" spans="3:3" ht="17" x14ac:dyDescent="0.45">
      <c r="C790" s="98"/>
    </row>
    <row r="791" spans="3:3" ht="17" x14ac:dyDescent="0.45">
      <c r="C791" s="98"/>
    </row>
    <row r="792" spans="3:3" ht="17" x14ac:dyDescent="0.45">
      <c r="C792" s="98"/>
    </row>
    <row r="793" spans="3:3" ht="17" x14ac:dyDescent="0.45">
      <c r="C793" s="98"/>
    </row>
    <row r="794" spans="3:3" ht="17" x14ac:dyDescent="0.45">
      <c r="C794" s="98"/>
    </row>
    <row r="795" spans="3:3" ht="17" x14ac:dyDescent="0.45">
      <c r="C795" s="98"/>
    </row>
    <row r="796" spans="3:3" ht="17" x14ac:dyDescent="0.45">
      <c r="C796" s="98"/>
    </row>
    <row r="797" spans="3:3" ht="17" x14ac:dyDescent="0.45">
      <c r="C797" s="98"/>
    </row>
    <row r="798" spans="3:3" ht="17" x14ac:dyDescent="0.45">
      <c r="C798" s="98"/>
    </row>
    <row r="799" spans="3:3" ht="17" x14ac:dyDescent="0.45">
      <c r="C799" s="98"/>
    </row>
    <row r="800" spans="3:3" ht="17" x14ac:dyDescent="0.45">
      <c r="C800" s="98"/>
    </row>
    <row r="801" spans="3:3" ht="17" x14ac:dyDescent="0.45">
      <c r="C801" s="98"/>
    </row>
    <row r="802" spans="3:3" ht="17" x14ac:dyDescent="0.45">
      <c r="C802" s="98"/>
    </row>
    <row r="803" spans="3:3" ht="17" x14ac:dyDescent="0.45">
      <c r="C803" s="98"/>
    </row>
    <row r="804" spans="3:3" ht="17" x14ac:dyDescent="0.45">
      <c r="C804" s="98"/>
    </row>
    <row r="805" spans="3:3" ht="17" x14ac:dyDescent="0.45">
      <c r="C805" s="98"/>
    </row>
    <row r="806" spans="3:3" ht="17" x14ac:dyDescent="0.45">
      <c r="C806" s="98"/>
    </row>
    <row r="807" spans="3:3" ht="17" x14ac:dyDescent="0.45">
      <c r="C807" s="98"/>
    </row>
    <row r="808" spans="3:3" ht="17" x14ac:dyDescent="0.45">
      <c r="C808" s="98"/>
    </row>
    <row r="809" spans="3:3" ht="17" x14ac:dyDescent="0.45">
      <c r="C809" s="98"/>
    </row>
    <row r="810" spans="3:3" ht="17" x14ac:dyDescent="0.45">
      <c r="C810" s="98"/>
    </row>
    <row r="811" spans="3:3" ht="17" x14ac:dyDescent="0.45">
      <c r="C811" s="98"/>
    </row>
    <row r="812" spans="3:3" ht="17" x14ac:dyDescent="0.45">
      <c r="C812" s="98"/>
    </row>
    <row r="813" spans="3:3" ht="17" x14ac:dyDescent="0.45">
      <c r="C813" s="98"/>
    </row>
    <row r="814" spans="3:3" ht="17" x14ac:dyDescent="0.45">
      <c r="C814" s="98"/>
    </row>
    <row r="815" spans="3:3" ht="17" x14ac:dyDescent="0.45">
      <c r="C815" s="98"/>
    </row>
    <row r="816" spans="3:3" ht="17" x14ac:dyDescent="0.45">
      <c r="C816" s="98"/>
    </row>
    <row r="817" spans="3:3" ht="17" x14ac:dyDescent="0.45">
      <c r="C817" s="98"/>
    </row>
    <row r="818" spans="3:3" ht="17" x14ac:dyDescent="0.45">
      <c r="C818" s="98"/>
    </row>
    <row r="819" spans="3:3" ht="17" x14ac:dyDescent="0.45">
      <c r="C819" s="98"/>
    </row>
    <row r="820" spans="3:3" ht="17" x14ac:dyDescent="0.45">
      <c r="C820" s="98"/>
    </row>
    <row r="821" spans="3:3" ht="17" x14ac:dyDescent="0.45">
      <c r="C821" s="98"/>
    </row>
    <row r="822" spans="3:3" ht="17" x14ac:dyDescent="0.45">
      <c r="C822" s="98"/>
    </row>
    <row r="823" spans="3:3" ht="17" x14ac:dyDescent="0.45">
      <c r="C823" s="98"/>
    </row>
    <row r="824" spans="3:3" ht="17" x14ac:dyDescent="0.45">
      <c r="C824" s="98"/>
    </row>
    <row r="825" spans="3:3" ht="17" x14ac:dyDescent="0.45">
      <c r="C825" s="98"/>
    </row>
    <row r="826" spans="3:3" ht="17" x14ac:dyDescent="0.45">
      <c r="C826" s="98"/>
    </row>
    <row r="827" spans="3:3" ht="17" x14ac:dyDescent="0.45">
      <c r="C827" s="98"/>
    </row>
    <row r="828" spans="3:3" ht="17" x14ac:dyDescent="0.45">
      <c r="C828" s="98"/>
    </row>
    <row r="829" spans="3:3" ht="17" x14ac:dyDescent="0.45">
      <c r="C829" s="98"/>
    </row>
    <row r="830" spans="3:3" ht="17" x14ac:dyDescent="0.45">
      <c r="C830" s="98"/>
    </row>
    <row r="831" spans="3:3" ht="17" x14ac:dyDescent="0.45">
      <c r="C831" s="98"/>
    </row>
    <row r="832" spans="3:3" ht="17" x14ac:dyDescent="0.45">
      <c r="C832" s="98"/>
    </row>
    <row r="833" spans="3:3" ht="17" x14ac:dyDescent="0.45">
      <c r="C833" s="98"/>
    </row>
    <row r="834" spans="3:3" ht="17" x14ac:dyDescent="0.45">
      <c r="C834" s="98"/>
    </row>
    <row r="835" spans="3:3" ht="17" x14ac:dyDescent="0.45">
      <c r="C835" s="98"/>
    </row>
    <row r="836" spans="3:3" ht="17" x14ac:dyDescent="0.45">
      <c r="C836" s="98"/>
    </row>
    <row r="837" spans="3:3" ht="17" x14ac:dyDescent="0.45">
      <c r="C837" s="98"/>
    </row>
    <row r="838" spans="3:3" ht="17" x14ac:dyDescent="0.45">
      <c r="C838" s="98"/>
    </row>
    <row r="839" spans="3:3" ht="17" x14ac:dyDescent="0.45">
      <c r="C839" s="98"/>
    </row>
    <row r="840" spans="3:3" ht="17" x14ac:dyDescent="0.45">
      <c r="C840" s="98"/>
    </row>
    <row r="841" spans="3:3" ht="17" x14ac:dyDescent="0.45">
      <c r="C841" s="98"/>
    </row>
    <row r="842" spans="3:3" ht="17" x14ac:dyDescent="0.45">
      <c r="C842" s="98"/>
    </row>
    <row r="843" spans="3:3" ht="17" x14ac:dyDescent="0.45">
      <c r="C843" s="98"/>
    </row>
    <row r="844" spans="3:3" ht="17" x14ac:dyDescent="0.45">
      <c r="C844" s="98"/>
    </row>
    <row r="845" spans="3:3" ht="17" x14ac:dyDescent="0.45">
      <c r="C845" s="98"/>
    </row>
    <row r="846" spans="3:3" ht="17" x14ac:dyDescent="0.45">
      <c r="C846" s="98"/>
    </row>
    <row r="847" spans="3:3" ht="17" x14ac:dyDescent="0.45">
      <c r="C847" s="98"/>
    </row>
    <row r="848" spans="3:3" ht="17" x14ac:dyDescent="0.45">
      <c r="C848" s="98"/>
    </row>
    <row r="849" spans="3:3" ht="17" x14ac:dyDescent="0.45">
      <c r="C849" s="98"/>
    </row>
    <row r="850" spans="3:3" ht="17" x14ac:dyDescent="0.45">
      <c r="C850" s="98"/>
    </row>
    <row r="851" spans="3:3" ht="17" x14ac:dyDescent="0.45">
      <c r="C851" s="98"/>
    </row>
    <row r="852" spans="3:3" ht="17" x14ac:dyDescent="0.45">
      <c r="C852" s="98"/>
    </row>
    <row r="853" spans="3:3" ht="17" x14ac:dyDescent="0.45">
      <c r="C853" s="98"/>
    </row>
    <row r="854" spans="3:3" ht="17" x14ac:dyDescent="0.45">
      <c r="C854" s="98"/>
    </row>
    <row r="855" spans="3:3" ht="17" x14ac:dyDescent="0.45">
      <c r="C855" s="98"/>
    </row>
    <row r="856" spans="3:3" ht="17" x14ac:dyDescent="0.45">
      <c r="C856" s="98"/>
    </row>
    <row r="857" spans="3:3" ht="17" x14ac:dyDescent="0.45">
      <c r="C857" s="98"/>
    </row>
    <row r="858" spans="3:3" ht="17" x14ac:dyDescent="0.45">
      <c r="C858" s="98"/>
    </row>
    <row r="859" spans="3:3" ht="17" x14ac:dyDescent="0.45">
      <c r="C859" s="98"/>
    </row>
    <row r="860" spans="3:3" ht="17" x14ac:dyDescent="0.45">
      <c r="C860" s="98"/>
    </row>
    <row r="861" spans="3:3" ht="17" x14ac:dyDescent="0.45">
      <c r="C861" s="98"/>
    </row>
    <row r="862" spans="3:3" ht="17" x14ac:dyDescent="0.45">
      <c r="C862" s="98"/>
    </row>
    <row r="863" spans="3:3" ht="17" x14ac:dyDescent="0.45">
      <c r="C863" s="98"/>
    </row>
    <row r="864" spans="3:3" ht="17" x14ac:dyDescent="0.45">
      <c r="C864" s="98"/>
    </row>
    <row r="865" spans="3:3" ht="17" x14ac:dyDescent="0.45">
      <c r="C865" s="98"/>
    </row>
    <row r="866" spans="3:3" ht="17" x14ac:dyDescent="0.45">
      <c r="C866" s="98"/>
    </row>
    <row r="867" spans="3:3" ht="17" x14ac:dyDescent="0.45">
      <c r="C867" s="98"/>
    </row>
    <row r="868" spans="3:3" ht="17" x14ac:dyDescent="0.45">
      <c r="C868" s="98"/>
    </row>
    <row r="869" spans="3:3" ht="17" x14ac:dyDescent="0.45">
      <c r="C869" s="98"/>
    </row>
    <row r="870" spans="3:3" ht="17" x14ac:dyDescent="0.45">
      <c r="C870" s="98"/>
    </row>
    <row r="871" spans="3:3" ht="17" x14ac:dyDescent="0.45">
      <c r="C871" s="98"/>
    </row>
    <row r="872" spans="3:3" ht="17" x14ac:dyDescent="0.45">
      <c r="C872" s="98"/>
    </row>
    <row r="873" spans="3:3" ht="17" x14ac:dyDescent="0.45">
      <c r="C873" s="98"/>
    </row>
    <row r="874" spans="3:3" ht="17" x14ac:dyDescent="0.45">
      <c r="C874" s="98"/>
    </row>
    <row r="875" spans="3:3" ht="17" x14ac:dyDescent="0.45">
      <c r="C875" s="98"/>
    </row>
    <row r="876" spans="3:3" ht="17" x14ac:dyDescent="0.45">
      <c r="C876" s="98"/>
    </row>
    <row r="877" spans="3:3" ht="17" x14ac:dyDescent="0.45">
      <c r="C877" s="98"/>
    </row>
    <row r="878" spans="3:3" ht="17" x14ac:dyDescent="0.45">
      <c r="C878" s="98"/>
    </row>
    <row r="879" spans="3:3" ht="17" x14ac:dyDescent="0.45">
      <c r="C879" s="98"/>
    </row>
    <row r="880" spans="3:3" ht="17" x14ac:dyDescent="0.45">
      <c r="C880" s="98"/>
    </row>
    <row r="881" spans="3:3" ht="17" x14ac:dyDescent="0.45">
      <c r="C881" s="98"/>
    </row>
    <row r="882" spans="3:3" ht="17" x14ac:dyDescent="0.45">
      <c r="C882" s="98"/>
    </row>
    <row r="883" spans="3:3" ht="17" x14ac:dyDescent="0.45">
      <c r="C883" s="98"/>
    </row>
    <row r="884" spans="3:3" ht="17" x14ac:dyDescent="0.45">
      <c r="C884" s="98"/>
    </row>
    <row r="885" spans="3:3" ht="17" x14ac:dyDescent="0.45">
      <c r="C885" s="98"/>
    </row>
    <row r="886" spans="3:3" ht="17" x14ac:dyDescent="0.45">
      <c r="C886" s="98"/>
    </row>
    <row r="887" spans="3:3" ht="17" x14ac:dyDescent="0.45">
      <c r="C887" s="98"/>
    </row>
    <row r="888" spans="3:3" ht="17" x14ac:dyDescent="0.45">
      <c r="C888" s="98"/>
    </row>
    <row r="889" spans="3:3" ht="17" x14ac:dyDescent="0.45">
      <c r="C889" s="98"/>
    </row>
    <row r="890" spans="3:3" ht="17" x14ac:dyDescent="0.45">
      <c r="C890" s="98"/>
    </row>
    <row r="891" spans="3:3" ht="17" x14ac:dyDescent="0.45">
      <c r="C891" s="98"/>
    </row>
    <row r="892" spans="3:3" ht="17" x14ac:dyDescent="0.45">
      <c r="C892" s="98"/>
    </row>
    <row r="893" spans="3:3" ht="17" x14ac:dyDescent="0.45">
      <c r="C893" s="98"/>
    </row>
    <row r="894" spans="3:3" ht="17" x14ac:dyDescent="0.45">
      <c r="C894" s="98"/>
    </row>
    <row r="895" spans="3:3" ht="17" x14ac:dyDescent="0.45">
      <c r="C895" s="98"/>
    </row>
    <row r="896" spans="3:3" ht="17" x14ac:dyDescent="0.45">
      <c r="C896" s="98"/>
    </row>
    <row r="897" spans="3:3" ht="17" x14ac:dyDescent="0.45">
      <c r="C897" s="98"/>
    </row>
    <row r="898" spans="3:3" ht="17" x14ac:dyDescent="0.45">
      <c r="C898" s="98"/>
    </row>
    <row r="899" spans="3:3" ht="17" x14ac:dyDescent="0.45">
      <c r="C899" s="98"/>
    </row>
    <row r="900" spans="3:3" ht="17" x14ac:dyDescent="0.45">
      <c r="C900" s="98"/>
    </row>
    <row r="901" spans="3:3" ht="17" x14ac:dyDescent="0.45">
      <c r="C901" s="98"/>
    </row>
    <row r="902" spans="3:3" ht="17" x14ac:dyDescent="0.45">
      <c r="C902" s="98"/>
    </row>
    <row r="903" spans="3:3" ht="17" x14ac:dyDescent="0.45">
      <c r="C903" s="98"/>
    </row>
    <row r="904" spans="3:3" ht="17" x14ac:dyDescent="0.45">
      <c r="C904" s="98"/>
    </row>
    <row r="905" spans="3:3" ht="17" x14ac:dyDescent="0.45">
      <c r="C905" s="98"/>
    </row>
    <row r="906" spans="3:3" ht="17" x14ac:dyDescent="0.45">
      <c r="C906" s="98"/>
    </row>
    <row r="907" spans="3:3" ht="17" x14ac:dyDescent="0.45">
      <c r="C907" s="98"/>
    </row>
  </sheetData>
  <mergeCells count="26">
    <mergeCell ref="B18:D18"/>
    <mergeCell ref="AY18:BB18"/>
    <mergeCell ref="B19:C19"/>
    <mergeCell ref="Z9:Z10"/>
    <mergeCell ref="AA9:AA10"/>
    <mergeCell ref="B11:D11"/>
    <mergeCell ref="B12:D12"/>
    <mergeCell ref="B13:D13"/>
    <mergeCell ref="B14:D14"/>
    <mergeCell ref="Q9:Q10"/>
    <mergeCell ref="R9:R10"/>
    <mergeCell ref="S9:T9"/>
    <mergeCell ref="U9:U10"/>
    <mergeCell ref="V9:W9"/>
    <mergeCell ref="X9:Y9"/>
    <mergeCell ref="B15:D15"/>
    <mergeCell ref="B16:D16"/>
    <mergeCell ref="B17:D17"/>
    <mergeCell ref="F1:O7"/>
    <mergeCell ref="B9:B10"/>
    <mergeCell ref="C9:D9"/>
    <mergeCell ref="F9:G9"/>
    <mergeCell ref="H9:I9"/>
    <mergeCell ref="J9:K9"/>
    <mergeCell ref="L9:L10"/>
    <mergeCell ref="M9:O9"/>
  </mergeCells>
  <phoneticPr fontId="3" type="noConversion"/>
  <conditionalFormatting sqref="C1:C18 C908:C1048576 C601:C697">
    <cfRule type="duplicateValues" dxfId="33" priority="23"/>
  </conditionalFormatting>
  <conditionalFormatting sqref="C1:C1048576">
    <cfRule type="duplicateValues" dxfId="32" priority="11"/>
  </conditionalFormatting>
  <conditionalFormatting sqref="C20:C43 C47:C60">
    <cfRule type="duplicateValues" dxfId="31" priority="22"/>
  </conditionalFormatting>
  <conditionalFormatting sqref="C43:C47">
    <cfRule type="duplicateValues" dxfId="30" priority="20"/>
  </conditionalFormatting>
  <conditionalFormatting sqref="C60:C600">
    <cfRule type="duplicateValues" dxfId="29" priority="21"/>
  </conditionalFormatting>
  <conditionalFormatting sqref="C606:C907">
    <cfRule type="duplicateValues" dxfId="28" priority="12"/>
  </conditionalFormatting>
  <conditionalFormatting sqref="D20:E600">
    <cfRule type="containsText" dxfId="27" priority="19" operator="containsText" text="NG">
      <formula>NOT(ISERROR(SEARCH("NG",D20)))</formula>
    </cfRule>
  </conditionalFormatting>
  <conditionalFormatting sqref="D698:E1048576 D10:E10">
    <cfRule type="duplicateValues" dxfId="26" priority="24"/>
  </conditionalFormatting>
  <conditionalFormatting sqref="D698:E1048576">
    <cfRule type="duplicateValues" dxfId="25" priority="25"/>
  </conditionalFormatting>
  <conditionalFormatting sqref="L20:L697 V81:V600">
    <cfRule type="cellIs" dxfId="24" priority="1" operator="lessThan">
      <formula>70.8</formula>
    </cfRule>
    <cfRule type="cellIs" dxfId="23" priority="2" operator="lessThan">
      <formula>$L$11</formula>
    </cfRule>
  </conditionalFormatting>
  <conditionalFormatting sqref="O20:O697 Y81:Y600">
    <cfRule type="cellIs" dxfId="19" priority="3" operator="lessThan">
      <formula>900</formula>
    </cfRule>
    <cfRule type="cellIs" dxfId="18" priority="4" operator="greaterThan">
      <formula>945</formula>
    </cfRule>
  </conditionalFormatting>
  <conditionalFormatting sqref="Q20:Q697">
    <cfRule type="cellIs" dxfId="17" priority="5" operator="lessThan">
      <formula>1000</formula>
    </cfRule>
  </conditionalFormatting>
  <conditionalFormatting sqref="R20:R697">
    <cfRule type="cellIs" dxfId="22" priority="6" operator="greaterThan">
      <formula>0.005</formula>
    </cfRule>
  </conditionalFormatting>
  <conditionalFormatting sqref="S20:S697">
    <cfRule type="cellIs" dxfId="21" priority="7" operator="lessThan">
      <formula>80</formula>
    </cfRule>
  </conditionalFormatting>
  <conditionalFormatting sqref="T20:T697">
    <cfRule type="cellIs" dxfId="20" priority="8" operator="less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1063-2AFD-4ACE-94D6-27A7BF2D4C25}">
  <dimension ref="B1:BB429"/>
  <sheetViews>
    <sheetView showGridLines="0" zoomScale="70" zoomScaleNormal="70" workbookViewId="0"/>
  </sheetViews>
  <sheetFormatPr defaultColWidth="8.33203125" defaultRowHeight="16" x14ac:dyDescent="0.45"/>
  <cols>
    <col min="1" max="1" width="4.83203125" style="1" customWidth="1"/>
    <col min="2" max="2" width="4.33203125" style="1" bestFit="1" customWidth="1"/>
    <col min="3" max="3" width="35.33203125" style="91" bestFit="1" customWidth="1"/>
    <col min="4" max="4" width="20.33203125" style="1" customWidth="1"/>
    <col min="5" max="5" width="19.58203125" style="1" customWidth="1"/>
    <col min="6" max="14" width="9.58203125" style="1" customWidth="1"/>
    <col min="15" max="15" width="9.58203125" style="66" customWidth="1"/>
    <col min="16" max="16" width="9.58203125" style="85" customWidth="1"/>
    <col min="17" max="17" width="10.58203125" style="1" customWidth="1"/>
    <col min="18" max="18" width="19.08203125" style="1" bestFit="1" customWidth="1"/>
    <col min="19" max="20" width="10.58203125" style="1" customWidth="1"/>
    <col min="21" max="21" width="10.08203125" style="1" bestFit="1" customWidth="1"/>
    <col min="22" max="22" width="8" style="1" hidden="1" customWidth="1"/>
    <col min="23" max="23" width="10.5" style="1" hidden="1" customWidth="1"/>
    <col min="24" max="26" width="8" style="1" hidden="1" customWidth="1"/>
    <col min="27" max="27" width="13.33203125" style="1" customWidth="1"/>
    <col min="28" max="28" width="14.33203125" style="1" bestFit="1" customWidth="1"/>
    <col min="29" max="47" width="8.33203125" style="1"/>
    <col min="48" max="49" width="8.33203125" style="52" customWidth="1"/>
    <col min="50" max="16384" width="8.33203125" style="1"/>
  </cols>
  <sheetData>
    <row r="1" spans="2:29" ht="15.65" customHeight="1" x14ac:dyDescent="0.45">
      <c r="C1" s="86"/>
      <c r="D1" s="3"/>
      <c r="E1" s="2"/>
      <c r="F1" s="108" t="str">
        <f>R2&amp;"-"&amp;R3&amp;"-"&amp;R4&amp;" Optical Measurement"</f>
        <v>WINE-VDA129BLAC01- Optical Measurement</v>
      </c>
      <c r="G1" s="108"/>
      <c r="H1" s="108"/>
      <c r="I1" s="108"/>
      <c r="J1" s="108"/>
      <c r="K1" s="108"/>
      <c r="L1" s="108"/>
      <c r="M1" s="108"/>
      <c r="N1" s="108"/>
      <c r="O1" s="108"/>
      <c r="P1" s="4"/>
      <c r="Q1" s="4"/>
      <c r="R1" s="4"/>
      <c r="S1" s="2"/>
      <c r="T1" s="2"/>
      <c r="U1" s="2"/>
      <c r="V1" s="2"/>
      <c r="W1" s="2"/>
      <c r="X1" s="2"/>
      <c r="Y1" s="2"/>
      <c r="Z1" s="2"/>
      <c r="AA1" s="2"/>
    </row>
    <row r="2" spans="2:29" ht="15.65" customHeight="1" x14ac:dyDescent="0.45">
      <c r="C2" s="86"/>
      <c r="D2" s="3"/>
      <c r="E2" s="2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5" t="s">
        <v>0</v>
      </c>
      <c r="Q2" s="4"/>
      <c r="R2" s="6" t="s">
        <v>1</v>
      </c>
      <c r="S2" s="7"/>
      <c r="T2" s="2"/>
      <c r="U2" s="2"/>
      <c r="V2" s="2"/>
      <c r="W2" s="2"/>
      <c r="X2" s="2"/>
      <c r="Y2" s="2"/>
      <c r="Z2" s="2"/>
      <c r="AA2" s="2"/>
    </row>
    <row r="3" spans="2:29" ht="15.65" customHeight="1" x14ac:dyDescent="0.45">
      <c r="B3" s="3"/>
      <c r="C3" s="87"/>
      <c r="D3" s="3"/>
      <c r="E3" s="3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5" t="s">
        <v>2</v>
      </c>
      <c r="Q3" s="8"/>
      <c r="R3" s="6" t="s">
        <v>3</v>
      </c>
      <c r="S3" s="9"/>
      <c r="V3" s="10"/>
      <c r="W3" s="10"/>
      <c r="X3" s="10"/>
      <c r="Y3" s="10"/>
      <c r="Z3" s="10"/>
      <c r="AA3" s="10"/>
    </row>
    <row r="4" spans="2:29" ht="15.65" customHeight="1" x14ac:dyDescent="0.45">
      <c r="B4" s="3"/>
      <c r="C4" s="87"/>
      <c r="D4" s="3"/>
      <c r="E4" s="3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5" t="s">
        <v>4</v>
      </c>
      <c r="Q4" s="8"/>
      <c r="R4" s="6"/>
      <c r="S4" s="9"/>
      <c r="V4" s="10"/>
      <c r="W4" s="10"/>
      <c r="X4" s="10"/>
      <c r="Y4" s="10"/>
      <c r="Z4" s="10"/>
      <c r="AA4" s="10"/>
    </row>
    <row r="5" spans="2:29" ht="15.65" customHeight="1" x14ac:dyDescent="0.45">
      <c r="B5" s="3"/>
      <c r="C5" s="87"/>
      <c r="D5" s="3"/>
      <c r="E5" s="3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5" t="s">
        <v>5</v>
      </c>
      <c r="Q5" s="8"/>
      <c r="R5" s="11" t="s">
        <v>927</v>
      </c>
      <c r="S5" s="9"/>
      <c r="V5" s="10"/>
      <c r="W5" s="10"/>
      <c r="X5" s="10"/>
      <c r="Y5" s="10"/>
      <c r="Z5" s="10"/>
      <c r="AA5" s="10"/>
    </row>
    <row r="6" spans="2:29" ht="15.65" customHeight="1" x14ac:dyDescent="0.45">
      <c r="B6" s="3"/>
      <c r="C6" s="87"/>
      <c r="D6" s="3"/>
      <c r="E6" s="3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5" t="s">
        <v>6</v>
      </c>
      <c r="Q6" s="8"/>
      <c r="R6" s="6" t="s">
        <v>7</v>
      </c>
      <c r="S6" s="9"/>
      <c r="V6" s="10"/>
      <c r="W6" s="10"/>
      <c r="X6" s="10"/>
      <c r="Y6" s="10"/>
      <c r="Z6" s="10"/>
      <c r="AA6" s="10"/>
    </row>
    <row r="7" spans="2:29" ht="15.65" customHeight="1" x14ac:dyDescent="0.45">
      <c r="B7" s="3"/>
      <c r="C7" s="87"/>
      <c r="D7" s="3"/>
      <c r="E7" s="3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5" t="s">
        <v>8</v>
      </c>
      <c r="Q7" s="8"/>
      <c r="R7" s="8" t="str">
        <f>COUNTA(C20:C225)&amp;"ea"</f>
        <v>0ea</v>
      </c>
      <c r="V7" s="10"/>
      <c r="W7" s="10"/>
      <c r="X7" s="10"/>
      <c r="Y7" s="10"/>
      <c r="Z7" s="10"/>
      <c r="AA7" s="10"/>
    </row>
    <row r="8" spans="2:29" ht="15.65" customHeight="1" x14ac:dyDescent="0.45">
      <c r="B8" s="3"/>
      <c r="C8" s="8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3"/>
      <c r="T8" s="12"/>
      <c r="U8" s="12"/>
      <c r="V8" s="12"/>
      <c r="W8" s="12"/>
      <c r="X8" s="12"/>
      <c r="Y8" s="12"/>
      <c r="Z8" s="12"/>
      <c r="AA8" s="12"/>
    </row>
    <row r="9" spans="2:29" ht="17.149999999999999" customHeight="1" x14ac:dyDescent="0.45">
      <c r="B9" s="109" t="s">
        <v>9</v>
      </c>
      <c r="C9" s="111" t="s">
        <v>10</v>
      </c>
      <c r="D9" s="112"/>
      <c r="E9" s="15"/>
      <c r="F9" s="113" t="s">
        <v>11</v>
      </c>
      <c r="G9" s="113"/>
      <c r="H9" s="114" t="s">
        <v>12</v>
      </c>
      <c r="I9" s="114"/>
      <c r="J9" s="115" t="s">
        <v>13</v>
      </c>
      <c r="K9" s="115"/>
      <c r="L9" s="116" t="s">
        <v>14</v>
      </c>
      <c r="M9" s="117" t="s">
        <v>15</v>
      </c>
      <c r="N9" s="117"/>
      <c r="O9" s="117"/>
      <c r="P9" s="20" t="s">
        <v>16</v>
      </c>
      <c r="Q9" s="116" t="s">
        <v>17</v>
      </c>
      <c r="R9" s="116" t="s">
        <v>18</v>
      </c>
      <c r="S9" s="111" t="s">
        <v>19</v>
      </c>
      <c r="T9" s="112"/>
      <c r="U9" s="116" t="s">
        <v>20</v>
      </c>
      <c r="V9" s="124" t="s">
        <v>21</v>
      </c>
      <c r="W9" s="125"/>
      <c r="X9" s="126" t="s">
        <v>22</v>
      </c>
      <c r="Y9" s="126"/>
      <c r="Z9" s="116" t="s">
        <v>23</v>
      </c>
      <c r="AA9" s="116" t="s">
        <v>24</v>
      </c>
      <c r="AC9" s="22"/>
    </row>
    <row r="10" spans="2:29" x14ac:dyDescent="0.45">
      <c r="B10" s="110"/>
      <c r="C10" s="89" t="s">
        <v>25</v>
      </c>
      <c r="D10" s="19" t="s">
        <v>26</v>
      </c>
      <c r="E10" s="19" t="s">
        <v>27</v>
      </c>
      <c r="F10" s="16" t="s">
        <v>28</v>
      </c>
      <c r="G10" s="16" t="s">
        <v>29</v>
      </c>
      <c r="H10" s="17" t="s">
        <v>28</v>
      </c>
      <c r="I10" s="17" t="s">
        <v>29</v>
      </c>
      <c r="J10" s="18" t="s">
        <v>28</v>
      </c>
      <c r="K10" s="18" t="s">
        <v>29</v>
      </c>
      <c r="L10" s="109"/>
      <c r="M10" s="24" t="s">
        <v>28</v>
      </c>
      <c r="N10" s="24" t="s">
        <v>29</v>
      </c>
      <c r="O10" s="25" t="s">
        <v>30</v>
      </c>
      <c r="P10" s="26" t="s">
        <v>30</v>
      </c>
      <c r="Q10" s="109"/>
      <c r="R10" s="109"/>
      <c r="S10" s="19" t="s">
        <v>15</v>
      </c>
      <c r="T10" s="19" t="s">
        <v>16</v>
      </c>
      <c r="U10" s="116"/>
      <c r="V10" s="19" t="s">
        <v>31</v>
      </c>
      <c r="W10" s="21" t="s">
        <v>30</v>
      </c>
      <c r="X10" s="14" t="s">
        <v>28</v>
      </c>
      <c r="Y10" s="14" t="s">
        <v>29</v>
      </c>
      <c r="Z10" s="116"/>
      <c r="AA10" s="116"/>
      <c r="AB10" s="22"/>
      <c r="AC10" s="22"/>
    </row>
    <row r="11" spans="2:29" x14ac:dyDescent="0.45">
      <c r="B11" s="121" t="s">
        <v>32</v>
      </c>
      <c r="C11" s="122"/>
      <c r="D11" s="123"/>
      <c r="E11" s="28"/>
      <c r="F11" s="29">
        <f t="shared" ref="F11:K11" si="0">F12-F14</f>
        <v>0.61</v>
      </c>
      <c r="G11" s="29">
        <f t="shared" si="0"/>
        <v>0.32099999999999995</v>
      </c>
      <c r="H11" s="29">
        <f t="shared" si="0"/>
        <v>0.26200000000000001</v>
      </c>
      <c r="I11" s="29">
        <f t="shared" si="0"/>
        <v>0.61699999999999999</v>
      </c>
      <c r="J11" s="29">
        <f t="shared" si="0"/>
        <v>0.12</v>
      </c>
      <c r="K11" s="29">
        <f t="shared" si="0"/>
        <v>0.03</v>
      </c>
      <c r="L11" s="30">
        <v>70.8</v>
      </c>
      <c r="M11" s="31"/>
      <c r="N11" s="31"/>
      <c r="O11" s="30">
        <v>900</v>
      </c>
      <c r="P11" s="32"/>
      <c r="Q11" s="33">
        <v>1000</v>
      </c>
      <c r="R11" s="34"/>
      <c r="S11" s="35">
        <v>80</v>
      </c>
      <c r="T11" s="35">
        <v>50</v>
      </c>
      <c r="U11" s="34"/>
      <c r="V11" s="23"/>
      <c r="W11" s="23"/>
      <c r="X11" s="19"/>
      <c r="Y11" s="19"/>
      <c r="Z11" s="23"/>
      <c r="AA11" s="23"/>
    </row>
    <row r="12" spans="2:29" x14ac:dyDescent="0.45">
      <c r="B12" s="121" t="s">
        <v>33</v>
      </c>
      <c r="C12" s="122"/>
      <c r="D12" s="123"/>
      <c r="E12" s="27"/>
      <c r="F12" s="36">
        <v>0.64</v>
      </c>
      <c r="G12" s="36">
        <v>0.35099999999999998</v>
      </c>
      <c r="H12" s="36">
        <v>0.29199999999999998</v>
      </c>
      <c r="I12" s="36">
        <v>0.64700000000000002</v>
      </c>
      <c r="J12" s="36">
        <v>0.15</v>
      </c>
      <c r="K12" s="36">
        <v>0.06</v>
      </c>
      <c r="L12" s="31"/>
      <c r="M12" s="36">
        <v>0.29299999999999998</v>
      </c>
      <c r="N12" s="36">
        <v>0.32</v>
      </c>
      <c r="O12" s="31"/>
      <c r="P12" s="37"/>
      <c r="Q12" s="34"/>
      <c r="R12" s="34"/>
      <c r="S12" s="34"/>
      <c r="T12" s="34"/>
      <c r="U12" s="38">
        <v>7800</v>
      </c>
      <c r="V12" s="23"/>
      <c r="W12" s="39"/>
      <c r="X12" s="23"/>
      <c r="Y12" s="23"/>
      <c r="Z12" s="23"/>
      <c r="AA12" s="23"/>
    </row>
    <row r="13" spans="2:29" x14ac:dyDescent="0.45">
      <c r="B13" s="121" t="s">
        <v>34</v>
      </c>
      <c r="C13" s="122"/>
      <c r="D13" s="123"/>
      <c r="E13" s="28"/>
      <c r="F13" s="29">
        <f t="shared" ref="F13:K13" si="1">F12+F14</f>
        <v>0.67</v>
      </c>
      <c r="G13" s="29">
        <f t="shared" si="1"/>
        <v>0.38100000000000001</v>
      </c>
      <c r="H13" s="29">
        <f t="shared" si="1"/>
        <v>0.32199999999999995</v>
      </c>
      <c r="I13" s="29">
        <f t="shared" si="1"/>
        <v>0.67700000000000005</v>
      </c>
      <c r="J13" s="29">
        <f t="shared" si="1"/>
        <v>0.18</v>
      </c>
      <c r="K13" s="29">
        <f t="shared" si="1"/>
        <v>0.09</v>
      </c>
      <c r="L13" s="31"/>
      <c r="M13" s="31"/>
      <c r="N13" s="31"/>
      <c r="O13" s="30">
        <v>945</v>
      </c>
      <c r="P13" s="40"/>
      <c r="Q13" s="34"/>
      <c r="R13" s="41">
        <v>5.0000000000000001E-3</v>
      </c>
      <c r="S13" s="34"/>
      <c r="T13" s="34"/>
      <c r="U13" s="34"/>
      <c r="V13" s="23"/>
      <c r="W13" s="39"/>
      <c r="X13" s="23"/>
      <c r="Y13" s="23"/>
      <c r="Z13" s="23"/>
      <c r="AA13" s="23"/>
    </row>
    <row r="14" spans="2:29" x14ac:dyDescent="0.45">
      <c r="B14" s="121" t="s">
        <v>35</v>
      </c>
      <c r="C14" s="122"/>
      <c r="D14" s="123"/>
      <c r="E14" s="28"/>
      <c r="F14" s="41">
        <v>0.03</v>
      </c>
      <c r="G14" s="41">
        <v>0.03</v>
      </c>
      <c r="H14" s="41">
        <v>0.03</v>
      </c>
      <c r="I14" s="41">
        <v>0.03</v>
      </c>
      <c r="J14" s="41">
        <v>0.03</v>
      </c>
      <c r="K14" s="41">
        <v>0.03</v>
      </c>
      <c r="L14" s="31"/>
      <c r="M14" s="31"/>
      <c r="N14" s="31"/>
      <c r="O14" s="31"/>
      <c r="P14" s="40"/>
      <c r="Q14" s="34"/>
      <c r="R14" s="34"/>
      <c r="S14" s="34"/>
      <c r="T14" s="34"/>
      <c r="U14" s="34"/>
      <c r="V14" s="23"/>
      <c r="W14" s="39"/>
      <c r="X14" s="23"/>
      <c r="Y14" s="23"/>
      <c r="Z14" s="23"/>
      <c r="AA14" s="23"/>
    </row>
    <row r="15" spans="2:29" x14ac:dyDescent="0.45">
      <c r="B15" s="127" t="s">
        <v>36</v>
      </c>
      <c r="C15" s="128"/>
      <c r="D15" s="129"/>
      <c r="E15" s="42"/>
      <c r="F15" s="43" t="e">
        <f t="shared" ref="F15:T15" si="2">AVERAGE(F20:F225)</f>
        <v>#DIV/0!</v>
      </c>
      <c r="G15" s="43" t="e">
        <f t="shared" si="2"/>
        <v>#DIV/0!</v>
      </c>
      <c r="H15" s="43" t="e">
        <f t="shared" si="2"/>
        <v>#DIV/0!</v>
      </c>
      <c r="I15" s="43" t="e">
        <f t="shared" si="2"/>
        <v>#DIV/0!</v>
      </c>
      <c r="J15" s="43" t="e">
        <f t="shared" si="2"/>
        <v>#DIV/0!</v>
      </c>
      <c r="K15" s="43" t="e">
        <f t="shared" si="2"/>
        <v>#DIV/0!</v>
      </c>
      <c r="L15" s="43">
        <f t="shared" si="2"/>
        <v>0</v>
      </c>
      <c r="M15" s="43" t="e">
        <f t="shared" si="2"/>
        <v>#DIV/0!</v>
      </c>
      <c r="N15" s="43" t="e">
        <f t="shared" si="2"/>
        <v>#DIV/0!</v>
      </c>
      <c r="O15" s="43" t="e">
        <f t="shared" si="2"/>
        <v>#DIV/0!</v>
      </c>
      <c r="P15" s="43" t="e">
        <f t="shared" si="2"/>
        <v>#DIV/0!</v>
      </c>
      <c r="Q15" s="44" t="e">
        <f t="shared" si="2"/>
        <v>#DIV/0!</v>
      </c>
      <c r="R15" s="43">
        <f t="shared" si="2"/>
        <v>0.43387671059875804</v>
      </c>
      <c r="S15" s="43" t="e">
        <f t="shared" si="2"/>
        <v>#DIV/0!</v>
      </c>
      <c r="T15" s="43" t="e">
        <f t="shared" si="2"/>
        <v>#DIV/0!</v>
      </c>
      <c r="U15" s="43">
        <f t="shared" ref="U15:Z15" si="3">AVERAGE(U20:U76)</f>
        <v>2021.2824107652889</v>
      </c>
      <c r="V15" s="43" t="e">
        <f t="shared" si="3"/>
        <v>#DIV/0!</v>
      </c>
      <c r="W15" s="43" t="e">
        <f t="shared" si="3"/>
        <v>#DIV/0!</v>
      </c>
      <c r="X15" s="43" t="e">
        <f t="shared" si="3"/>
        <v>#DIV/0!</v>
      </c>
      <c r="Y15" s="43" t="e">
        <f t="shared" si="3"/>
        <v>#DIV/0!</v>
      </c>
      <c r="Z15" s="43" t="e">
        <f t="shared" si="3"/>
        <v>#DIV/0!</v>
      </c>
      <c r="AA15" s="45"/>
    </row>
    <row r="16" spans="2:29" x14ac:dyDescent="0.45">
      <c r="B16" s="104" t="s">
        <v>37</v>
      </c>
      <c r="C16" s="105"/>
      <c r="D16" s="106"/>
      <c r="E16" s="46"/>
      <c r="F16" s="47" t="e">
        <f t="shared" ref="F16:L16" si="4">F15-F12</f>
        <v>#DIV/0!</v>
      </c>
      <c r="G16" s="47" t="e">
        <f>G15-G12</f>
        <v>#DIV/0!</v>
      </c>
      <c r="H16" s="47" t="e">
        <f t="shared" si="4"/>
        <v>#DIV/0!</v>
      </c>
      <c r="I16" s="47" t="e">
        <f t="shared" si="4"/>
        <v>#DIV/0!</v>
      </c>
      <c r="J16" s="47" t="e">
        <f t="shared" si="4"/>
        <v>#DIV/0!</v>
      </c>
      <c r="K16" s="47" t="e">
        <f t="shared" si="4"/>
        <v>#DIV/0!</v>
      </c>
      <c r="L16" s="47">
        <f t="shared" si="4"/>
        <v>0</v>
      </c>
      <c r="M16" s="47" t="e">
        <f>M15-M12</f>
        <v>#DIV/0!</v>
      </c>
      <c r="N16" s="48" t="e">
        <f>N15-N12</f>
        <v>#DIV/0!</v>
      </c>
      <c r="O16" s="47" t="e">
        <f>O15-O12</f>
        <v>#DIV/0!</v>
      </c>
      <c r="P16" s="47" t="e">
        <f t="shared" ref="P16:Z16" si="5">P15-P12</f>
        <v>#DIV/0!</v>
      </c>
      <c r="Q16" s="49" t="e">
        <f t="shared" si="5"/>
        <v>#DIV/0!</v>
      </c>
      <c r="R16" s="47">
        <f t="shared" si="5"/>
        <v>0.43387671059875804</v>
      </c>
      <c r="S16" s="47" t="e">
        <f t="shared" si="5"/>
        <v>#DIV/0!</v>
      </c>
      <c r="T16" s="47" t="e">
        <f t="shared" si="5"/>
        <v>#DIV/0!</v>
      </c>
      <c r="U16" s="47">
        <f t="shared" si="5"/>
        <v>-5778.7175892347113</v>
      </c>
      <c r="V16" s="47" t="e">
        <f t="shared" si="5"/>
        <v>#DIV/0!</v>
      </c>
      <c r="W16" s="47" t="e">
        <f t="shared" si="5"/>
        <v>#DIV/0!</v>
      </c>
      <c r="X16" s="47" t="e">
        <f t="shared" si="5"/>
        <v>#DIV/0!</v>
      </c>
      <c r="Y16" s="47" t="e">
        <f t="shared" si="5"/>
        <v>#DIV/0!</v>
      </c>
      <c r="Z16" s="47" t="e">
        <f t="shared" si="5"/>
        <v>#DIV/0!</v>
      </c>
      <c r="AA16" s="45"/>
    </row>
    <row r="17" spans="2:54" x14ac:dyDescent="0.45">
      <c r="B17" s="107" t="s">
        <v>38</v>
      </c>
      <c r="C17" s="107"/>
      <c r="D17" s="107"/>
      <c r="E17" s="50"/>
      <c r="F17" s="43">
        <f t="shared" ref="F17:T17" si="6">MIN(F20:F225)</f>
        <v>0</v>
      </c>
      <c r="G17" s="43">
        <f t="shared" si="6"/>
        <v>0</v>
      </c>
      <c r="H17" s="43">
        <f t="shared" si="6"/>
        <v>0</v>
      </c>
      <c r="I17" s="43">
        <f t="shared" si="6"/>
        <v>0</v>
      </c>
      <c r="J17" s="43">
        <f t="shared" si="6"/>
        <v>0</v>
      </c>
      <c r="K17" s="43">
        <f t="shared" si="6"/>
        <v>0</v>
      </c>
      <c r="L17" s="43">
        <f t="shared" si="6"/>
        <v>0</v>
      </c>
      <c r="M17" s="43">
        <f t="shared" si="6"/>
        <v>0</v>
      </c>
      <c r="N17" s="43">
        <f t="shared" si="6"/>
        <v>0</v>
      </c>
      <c r="O17" s="43">
        <f t="shared" si="6"/>
        <v>0</v>
      </c>
      <c r="P17" s="43">
        <f t="shared" si="6"/>
        <v>0</v>
      </c>
      <c r="Q17" s="44" t="e">
        <f t="shared" si="6"/>
        <v>#DIV/0!</v>
      </c>
      <c r="R17" s="43">
        <f t="shared" si="6"/>
        <v>0.43387671059875982</v>
      </c>
      <c r="S17" s="43">
        <f t="shared" si="6"/>
        <v>0</v>
      </c>
      <c r="T17" s="43">
        <f t="shared" si="6"/>
        <v>0</v>
      </c>
      <c r="U17" s="43">
        <f t="shared" ref="U17:Z17" si="7">MIN(U20:U76)</f>
        <v>2021.2824107652905</v>
      </c>
      <c r="V17" s="43">
        <f t="shared" si="7"/>
        <v>0</v>
      </c>
      <c r="W17" s="43">
        <f t="shared" si="7"/>
        <v>0</v>
      </c>
      <c r="X17" s="43">
        <f t="shared" si="7"/>
        <v>0</v>
      </c>
      <c r="Y17" s="43">
        <f t="shared" si="7"/>
        <v>0</v>
      </c>
      <c r="Z17" s="43">
        <f t="shared" si="7"/>
        <v>0</v>
      </c>
      <c r="AA17" s="45"/>
      <c r="AH17" s="51"/>
      <c r="AI17" s="51"/>
    </row>
    <row r="18" spans="2:54" x14ac:dyDescent="0.45">
      <c r="B18" s="107" t="s">
        <v>39</v>
      </c>
      <c r="C18" s="107"/>
      <c r="D18" s="107"/>
      <c r="E18" s="50"/>
      <c r="F18" s="43">
        <f t="shared" ref="F18:T18" si="8">MAX(F20:F225)</f>
        <v>0</v>
      </c>
      <c r="G18" s="43">
        <f t="shared" si="8"/>
        <v>0</v>
      </c>
      <c r="H18" s="43">
        <f t="shared" si="8"/>
        <v>0</v>
      </c>
      <c r="I18" s="43">
        <f t="shared" si="8"/>
        <v>0</v>
      </c>
      <c r="J18" s="43">
        <f t="shared" si="8"/>
        <v>0</v>
      </c>
      <c r="K18" s="43">
        <f t="shared" si="8"/>
        <v>0</v>
      </c>
      <c r="L18" s="43">
        <f t="shared" si="8"/>
        <v>0</v>
      </c>
      <c r="M18" s="43">
        <f t="shared" si="8"/>
        <v>0</v>
      </c>
      <c r="N18" s="43">
        <f t="shared" si="8"/>
        <v>0</v>
      </c>
      <c r="O18" s="43">
        <f t="shared" si="8"/>
        <v>0</v>
      </c>
      <c r="P18" s="43">
        <f t="shared" si="8"/>
        <v>0</v>
      </c>
      <c r="Q18" s="44" t="e">
        <f t="shared" si="8"/>
        <v>#DIV/0!</v>
      </c>
      <c r="R18" s="43">
        <f t="shared" si="8"/>
        <v>0.43387671059875982</v>
      </c>
      <c r="S18" s="43">
        <f t="shared" si="8"/>
        <v>0</v>
      </c>
      <c r="T18" s="43">
        <f t="shared" si="8"/>
        <v>0</v>
      </c>
      <c r="U18" s="43">
        <f t="shared" ref="U18:Z18" si="9">MAX(U20:U76)</f>
        <v>2021.2824107652905</v>
      </c>
      <c r="V18" s="43">
        <f t="shared" si="9"/>
        <v>0</v>
      </c>
      <c r="W18" s="43">
        <f t="shared" si="9"/>
        <v>0</v>
      </c>
      <c r="X18" s="43">
        <f t="shared" si="9"/>
        <v>0</v>
      </c>
      <c r="Y18" s="43">
        <f t="shared" si="9"/>
        <v>0</v>
      </c>
      <c r="Z18" s="43">
        <f t="shared" si="9"/>
        <v>0</v>
      </c>
      <c r="AA18" s="45"/>
      <c r="AY18" s="118" t="s">
        <v>40</v>
      </c>
      <c r="AZ18" s="118"/>
      <c r="BA18" s="118"/>
      <c r="BB18" s="118"/>
    </row>
    <row r="19" spans="2:54" x14ac:dyDescent="0.45">
      <c r="B19" s="119" t="s">
        <v>41</v>
      </c>
      <c r="C19" s="120"/>
      <c r="D19" s="53" t="s">
        <v>560</v>
      </c>
      <c r="E19" s="53" t="s">
        <v>559</v>
      </c>
      <c r="F19" s="54" t="e">
        <f t="shared" ref="F19:K19" si="10">(1-ABS(((F13+F11)/2)-AVERAGE(F20:F225))/((F13-F11)/2))*((F13-F11)/(STDEV(F20:F225)*6))</f>
        <v>#DIV/0!</v>
      </c>
      <c r="G19" s="54" t="e">
        <f t="shared" si="10"/>
        <v>#DIV/0!</v>
      </c>
      <c r="H19" s="54" t="e">
        <f t="shared" si="10"/>
        <v>#DIV/0!</v>
      </c>
      <c r="I19" s="54" t="e">
        <f t="shared" si="10"/>
        <v>#DIV/0!</v>
      </c>
      <c r="J19" s="54" t="e">
        <f t="shared" si="10"/>
        <v>#DIV/0!</v>
      </c>
      <c r="K19" s="54" t="e">
        <f t="shared" si="10"/>
        <v>#DIV/0!</v>
      </c>
      <c r="L19" s="54" t="e">
        <f>((AVERAGE(L20:L225)-L11)/(3*STDEV(L20:L225)))</f>
        <v>#DIV/0!</v>
      </c>
      <c r="M19" s="54" t="e">
        <f>(1-ABS(((M13+M11)/2)-AVERAGE(M20:M225))/((M13-M11)/2))*((M13-M11)/(STDEV(M20:M225)*6))</f>
        <v>#DIV/0!</v>
      </c>
      <c r="N19" s="54" t="e">
        <f>(1-ABS(((N13+N11)/2)-AVERAGE(N20:N225))/((N13-N11)/2))*((N13-N11)/(STDEV(N20:N225)*6))</f>
        <v>#DIV/0!</v>
      </c>
      <c r="O19" s="54" t="e">
        <f>((AVERAGE(O20:O225)-O11)/(3*STDEV(O20:O225)))</f>
        <v>#DIV/0!</v>
      </c>
      <c r="P19" s="54" t="e">
        <f>(1-ABS(((P13+P11)/2)-AVERAGE(P20:P225))/((P13-P11)/2))*((P13-P11)/(STDEV(P20:P225)*6))</f>
        <v>#DIV/0!</v>
      </c>
      <c r="Q19" s="55" t="e">
        <f>((AVERAGE(Q20:Q225)-Q11)/(3*STDEV(Q20:Q225)))</f>
        <v>#DIV/0!</v>
      </c>
      <c r="R19" s="54">
        <f>(R13-AVERAGE(R20:R225))/(3*STDEV(R20:R225))</f>
        <v>-80277259188131.844</v>
      </c>
      <c r="S19" s="54" t="e">
        <f>((AVERAGE(S20:S225)-S11)/(3*STDEV(S20:S225)))</f>
        <v>#DIV/0!</v>
      </c>
      <c r="T19" s="54" t="e">
        <f>((AVERAGE(T20:T225)-T11)/(3*STDEV(T20:T225)))</f>
        <v>#DIV/0!</v>
      </c>
      <c r="U19" s="54" t="e">
        <f t="shared" ref="U19:Z19" si="11">(1-ABS(((U13+U11)/2)-AVERAGE(U20:U225))/((U13-U11)/2))*((U13-U11)/(STDEV(U20:U225)*6))</f>
        <v>#DIV/0!</v>
      </c>
      <c r="V19" s="54" t="e">
        <f t="shared" si="11"/>
        <v>#DIV/0!</v>
      </c>
      <c r="W19" s="54" t="e">
        <f t="shared" si="11"/>
        <v>#DIV/0!</v>
      </c>
      <c r="X19" s="54" t="e">
        <f t="shared" si="11"/>
        <v>#DIV/0!</v>
      </c>
      <c r="Y19" s="54" t="e">
        <f t="shared" si="11"/>
        <v>#DIV/0!</v>
      </c>
      <c r="Z19" s="54" t="e">
        <f t="shared" si="11"/>
        <v>#DIV/0!</v>
      </c>
      <c r="AA19" s="45"/>
      <c r="AY19" s="1" t="s">
        <v>42</v>
      </c>
      <c r="AZ19" s="1" t="s">
        <v>43</v>
      </c>
      <c r="BA19" s="1" t="s">
        <v>44</v>
      </c>
      <c r="BB19" s="1" t="s">
        <v>45</v>
      </c>
    </row>
    <row r="20" spans="2:54" x14ac:dyDescent="0.45">
      <c r="B20" s="45" t="s">
        <v>46</v>
      </c>
      <c r="C20" s="90"/>
      <c r="D20" s="56"/>
      <c r="E20" s="57"/>
      <c r="F20" s="58"/>
      <c r="G20" s="58"/>
      <c r="H20" s="58"/>
      <c r="I20" s="58"/>
      <c r="J20" s="58"/>
      <c r="K20" s="58"/>
      <c r="L20" s="59">
        <f t="shared" ref="L20:L83" si="12">1/2*((F20*I20+H20*K20+J20*G20)-(G20*H20+I20*J20+K20*F20))/0.1582*100</f>
        <v>0</v>
      </c>
      <c r="M20" s="58"/>
      <c r="N20" s="58"/>
      <c r="O20" s="58"/>
      <c r="P20" s="58"/>
      <c r="Q20" s="60" t="e">
        <f t="shared" ref="Q20:Q83" si="13">O20/P20</f>
        <v>#DIV/0!</v>
      </c>
      <c r="R20" s="61">
        <f t="shared" ref="R20:R83" si="14">SQRT(POWER(M20-$M$12,2)+POWER(N20-$N$12,2))</f>
        <v>0.43387671059875982</v>
      </c>
      <c r="S20" s="83"/>
      <c r="T20" s="83"/>
      <c r="U20" s="62">
        <f t="shared" ref="U20:U83" si="15">(-449*((M20-0.332)/(N20-0.1858))^3)+(3525*((M20-0.332)/(N20-0.1858))^2)+(-6823.3*(M20-0.332)/(N20-0.1858))+5520.33</f>
        <v>2021.2824107652905</v>
      </c>
      <c r="V20" s="45"/>
      <c r="W20" s="45"/>
      <c r="X20" s="45"/>
      <c r="Y20" s="45"/>
      <c r="Z20" s="45"/>
      <c r="AA20" s="45"/>
      <c r="AY20" s="66"/>
      <c r="AZ20" s="66"/>
      <c r="BA20" s="66"/>
      <c r="BB20" s="22"/>
    </row>
    <row r="21" spans="2:54" x14ac:dyDescent="0.45">
      <c r="B21" s="45" t="s">
        <v>504</v>
      </c>
      <c r="C21" s="90"/>
      <c r="D21" s="56"/>
      <c r="E21" s="80"/>
      <c r="F21" s="58"/>
      <c r="G21" s="58"/>
      <c r="H21" s="58"/>
      <c r="I21" s="58"/>
      <c r="J21" s="58"/>
      <c r="K21" s="58"/>
      <c r="L21" s="59">
        <f t="shared" si="12"/>
        <v>0</v>
      </c>
      <c r="M21" s="58"/>
      <c r="N21" s="58"/>
      <c r="O21" s="58"/>
      <c r="P21" s="58"/>
      <c r="Q21" s="60" t="e">
        <f t="shared" si="13"/>
        <v>#DIV/0!</v>
      </c>
      <c r="R21" s="61">
        <f t="shared" si="14"/>
        <v>0.43387671059875982</v>
      </c>
      <c r="S21" s="83"/>
      <c r="T21" s="83"/>
      <c r="U21" s="62">
        <f t="shared" si="15"/>
        <v>2021.2824107652905</v>
      </c>
      <c r="V21" s="45"/>
      <c r="W21" s="45"/>
      <c r="X21" s="45"/>
      <c r="Y21" s="45"/>
      <c r="Z21" s="45"/>
      <c r="AA21" s="45"/>
      <c r="AY21" s="66"/>
      <c r="AZ21" s="66"/>
      <c r="BA21" s="66"/>
      <c r="BB21" s="22"/>
    </row>
    <row r="22" spans="2:54" x14ac:dyDescent="0.45">
      <c r="B22" s="45" t="s">
        <v>47</v>
      </c>
      <c r="C22" s="90"/>
      <c r="D22" s="56"/>
      <c r="E22" s="84"/>
      <c r="F22" s="58"/>
      <c r="G22" s="58"/>
      <c r="H22" s="58"/>
      <c r="I22" s="58"/>
      <c r="J22" s="58"/>
      <c r="K22" s="58"/>
      <c r="L22" s="59">
        <f t="shared" si="12"/>
        <v>0</v>
      </c>
      <c r="M22" s="58"/>
      <c r="N22" s="58"/>
      <c r="O22" s="58"/>
      <c r="P22" s="58"/>
      <c r="Q22" s="60" t="e">
        <f t="shared" si="13"/>
        <v>#DIV/0!</v>
      </c>
      <c r="R22" s="61">
        <f t="shared" si="14"/>
        <v>0.43387671059875982</v>
      </c>
      <c r="S22" s="83"/>
      <c r="T22" s="83"/>
      <c r="U22" s="62">
        <f t="shared" si="15"/>
        <v>2021.2824107652905</v>
      </c>
      <c r="V22" s="45"/>
      <c r="W22" s="45"/>
      <c r="X22" s="45"/>
      <c r="Y22" s="45"/>
      <c r="Z22" s="45"/>
      <c r="AA22" s="45"/>
      <c r="AY22" s="66"/>
      <c r="AZ22" s="66"/>
      <c r="BA22" s="66"/>
      <c r="BB22" s="22"/>
    </row>
    <row r="23" spans="2:54" x14ac:dyDescent="0.45">
      <c r="B23" s="45" t="s">
        <v>48</v>
      </c>
      <c r="C23" s="90"/>
      <c r="D23" s="56"/>
      <c r="E23" s="57"/>
      <c r="F23" s="58"/>
      <c r="G23" s="58"/>
      <c r="H23" s="58"/>
      <c r="I23" s="58"/>
      <c r="J23" s="58"/>
      <c r="K23" s="58"/>
      <c r="L23" s="59">
        <f t="shared" si="12"/>
        <v>0</v>
      </c>
      <c r="M23" s="58"/>
      <c r="N23" s="58"/>
      <c r="O23" s="58"/>
      <c r="P23" s="58"/>
      <c r="Q23" s="60" t="e">
        <f t="shared" si="13"/>
        <v>#DIV/0!</v>
      </c>
      <c r="R23" s="61">
        <f t="shared" si="14"/>
        <v>0.43387671059875982</v>
      </c>
      <c r="S23" s="83"/>
      <c r="T23" s="83"/>
      <c r="U23" s="62">
        <f t="shared" si="15"/>
        <v>2021.2824107652905</v>
      </c>
      <c r="V23" s="45"/>
      <c r="W23" s="45"/>
      <c r="X23" s="45"/>
      <c r="Y23" s="45"/>
      <c r="Z23" s="45"/>
      <c r="AA23" s="45"/>
      <c r="AY23" s="66">
        <f t="shared" ref="AY23:AY86" si="16">$L$11</f>
        <v>70.8</v>
      </c>
      <c r="AZ23" s="66">
        <f t="shared" ref="AZ23:AZ86" si="17">$O$11</f>
        <v>900</v>
      </c>
      <c r="BA23" s="66">
        <f t="shared" ref="BA23:BA86" si="18">$Q$11</f>
        <v>1000</v>
      </c>
      <c r="BB23" s="22">
        <f t="shared" ref="BB23:BB86" si="19">$R$13</f>
        <v>5.0000000000000001E-3</v>
      </c>
    </row>
    <row r="24" spans="2:54" x14ac:dyDescent="0.45">
      <c r="B24" s="45" t="s">
        <v>49</v>
      </c>
      <c r="C24" s="90"/>
      <c r="D24" s="56"/>
      <c r="E24" s="84"/>
      <c r="F24" s="58"/>
      <c r="G24" s="58"/>
      <c r="H24" s="58"/>
      <c r="I24" s="58"/>
      <c r="J24" s="58"/>
      <c r="K24" s="58"/>
      <c r="L24" s="59">
        <f t="shared" si="12"/>
        <v>0</v>
      </c>
      <c r="M24" s="58"/>
      <c r="N24" s="58"/>
      <c r="O24" s="58"/>
      <c r="P24" s="58"/>
      <c r="Q24" s="60" t="e">
        <f t="shared" si="13"/>
        <v>#DIV/0!</v>
      </c>
      <c r="R24" s="61">
        <f t="shared" si="14"/>
        <v>0.43387671059875982</v>
      </c>
      <c r="S24" s="83"/>
      <c r="T24" s="83"/>
      <c r="U24" s="62">
        <f t="shared" si="15"/>
        <v>2021.2824107652905</v>
      </c>
      <c r="V24" s="45"/>
      <c r="W24" s="45"/>
      <c r="X24" s="45"/>
      <c r="Y24" s="45"/>
      <c r="Z24" s="45"/>
      <c r="AA24" s="45"/>
      <c r="AY24" s="66">
        <f t="shared" si="16"/>
        <v>70.8</v>
      </c>
      <c r="AZ24" s="66">
        <f t="shared" si="17"/>
        <v>900</v>
      </c>
      <c r="BA24" s="66">
        <f t="shared" si="18"/>
        <v>1000</v>
      </c>
      <c r="BB24" s="22">
        <f t="shared" si="19"/>
        <v>5.0000000000000001E-3</v>
      </c>
    </row>
    <row r="25" spans="2:54" x14ac:dyDescent="0.45">
      <c r="B25" s="45" t="s">
        <v>50</v>
      </c>
      <c r="C25" s="90"/>
      <c r="D25" s="56"/>
      <c r="E25" s="57"/>
      <c r="F25" s="58"/>
      <c r="G25" s="58"/>
      <c r="H25" s="58"/>
      <c r="I25" s="58"/>
      <c r="J25" s="58"/>
      <c r="K25" s="58"/>
      <c r="L25" s="59">
        <f t="shared" si="12"/>
        <v>0</v>
      </c>
      <c r="M25" s="58"/>
      <c r="N25" s="58"/>
      <c r="O25" s="58"/>
      <c r="P25" s="58"/>
      <c r="Q25" s="60" t="e">
        <f t="shared" si="13"/>
        <v>#DIV/0!</v>
      </c>
      <c r="R25" s="61">
        <f t="shared" si="14"/>
        <v>0.43387671059875982</v>
      </c>
      <c r="S25" s="83"/>
      <c r="T25" s="83"/>
      <c r="U25" s="62">
        <f t="shared" si="15"/>
        <v>2021.2824107652905</v>
      </c>
      <c r="V25" s="45"/>
      <c r="W25" s="45"/>
      <c r="X25" s="45"/>
      <c r="Y25" s="45"/>
      <c r="Z25" s="45"/>
      <c r="AA25" s="45"/>
      <c r="AQ25" s="52"/>
      <c r="AR25" s="52"/>
      <c r="AY25" s="66">
        <f t="shared" si="16"/>
        <v>70.8</v>
      </c>
      <c r="AZ25" s="66">
        <f t="shared" si="17"/>
        <v>900</v>
      </c>
      <c r="BA25" s="66">
        <f t="shared" si="18"/>
        <v>1000</v>
      </c>
      <c r="BB25" s="22">
        <f t="shared" si="19"/>
        <v>5.0000000000000001E-3</v>
      </c>
    </row>
    <row r="26" spans="2:54" x14ac:dyDescent="0.45">
      <c r="B26" s="45" t="s">
        <v>51</v>
      </c>
      <c r="C26" s="90"/>
      <c r="D26" s="56"/>
      <c r="E26" s="80"/>
      <c r="F26" s="58"/>
      <c r="G26" s="58"/>
      <c r="H26" s="58"/>
      <c r="I26" s="58"/>
      <c r="J26" s="58"/>
      <c r="K26" s="58"/>
      <c r="L26" s="59">
        <f t="shared" si="12"/>
        <v>0</v>
      </c>
      <c r="M26" s="58"/>
      <c r="N26" s="58"/>
      <c r="O26" s="58"/>
      <c r="P26" s="58"/>
      <c r="Q26" s="60" t="e">
        <f t="shared" si="13"/>
        <v>#DIV/0!</v>
      </c>
      <c r="R26" s="61">
        <f t="shared" si="14"/>
        <v>0.43387671059875982</v>
      </c>
      <c r="S26" s="83"/>
      <c r="T26" s="83"/>
      <c r="U26" s="62">
        <f t="shared" si="15"/>
        <v>2021.2824107652905</v>
      </c>
      <c r="V26" s="45"/>
      <c r="W26" s="45"/>
      <c r="X26" s="45"/>
      <c r="Y26" s="45"/>
      <c r="Z26" s="45"/>
      <c r="AA26" s="45"/>
      <c r="AQ26" s="52"/>
      <c r="AR26" s="52"/>
      <c r="AY26" s="66">
        <f t="shared" si="16"/>
        <v>70.8</v>
      </c>
      <c r="AZ26" s="66">
        <f t="shared" si="17"/>
        <v>900</v>
      </c>
      <c r="BA26" s="66">
        <f t="shared" si="18"/>
        <v>1000</v>
      </c>
      <c r="BB26" s="22">
        <f t="shared" si="19"/>
        <v>5.0000000000000001E-3</v>
      </c>
    </row>
    <row r="27" spans="2:54" x14ac:dyDescent="0.45">
      <c r="B27" s="45" t="s">
        <v>52</v>
      </c>
      <c r="C27" s="90"/>
      <c r="D27" s="56"/>
      <c r="E27" s="84"/>
      <c r="F27" s="58"/>
      <c r="G27" s="58"/>
      <c r="H27" s="58"/>
      <c r="I27" s="58"/>
      <c r="J27" s="58"/>
      <c r="K27" s="58"/>
      <c r="L27" s="59">
        <f t="shared" si="12"/>
        <v>0</v>
      </c>
      <c r="M27" s="58"/>
      <c r="N27" s="58"/>
      <c r="O27" s="58"/>
      <c r="P27" s="58"/>
      <c r="Q27" s="60" t="e">
        <f t="shared" si="13"/>
        <v>#DIV/0!</v>
      </c>
      <c r="R27" s="61">
        <f t="shared" si="14"/>
        <v>0.43387671059875982</v>
      </c>
      <c r="S27" s="83"/>
      <c r="T27" s="83"/>
      <c r="U27" s="62">
        <f t="shared" si="15"/>
        <v>2021.2824107652905</v>
      </c>
      <c r="V27" s="45"/>
      <c r="W27" s="45"/>
      <c r="X27" s="45"/>
      <c r="Y27" s="45"/>
      <c r="Z27" s="45"/>
      <c r="AA27" s="45"/>
      <c r="AQ27" s="52"/>
      <c r="AR27" s="52"/>
      <c r="AY27" s="66">
        <f t="shared" si="16"/>
        <v>70.8</v>
      </c>
      <c r="AZ27" s="66">
        <f t="shared" si="17"/>
        <v>900</v>
      </c>
      <c r="BA27" s="66">
        <f t="shared" si="18"/>
        <v>1000</v>
      </c>
      <c r="BB27" s="22">
        <f t="shared" si="19"/>
        <v>5.0000000000000001E-3</v>
      </c>
    </row>
    <row r="28" spans="2:54" x14ac:dyDescent="0.45">
      <c r="B28" s="45" t="s">
        <v>53</v>
      </c>
      <c r="C28" s="90"/>
      <c r="D28" s="56"/>
      <c r="E28" s="80"/>
      <c r="F28" s="58"/>
      <c r="G28" s="58"/>
      <c r="H28" s="58"/>
      <c r="I28" s="58"/>
      <c r="J28" s="58"/>
      <c r="K28" s="58"/>
      <c r="L28" s="59">
        <f t="shared" si="12"/>
        <v>0</v>
      </c>
      <c r="M28" s="58"/>
      <c r="N28" s="58"/>
      <c r="O28" s="58"/>
      <c r="P28" s="58"/>
      <c r="Q28" s="60" t="e">
        <f t="shared" si="13"/>
        <v>#DIV/0!</v>
      </c>
      <c r="R28" s="61">
        <f t="shared" si="14"/>
        <v>0.43387671059875982</v>
      </c>
      <c r="S28" s="83"/>
      <c r="T28" s="83"/>
      <c r="U28" s="62">
        <f t="shared" si="15"/>
        <v>2021.2824107652905</v>
      </c>
      <c r="V28" s="45"/>
      <c r="W28" s="45"/>
      <c r="X28" s="45"/>
      <c r="Y28" s="45"/>
      <c r="Z28" s="45"/>
      <c r="AA28" s="45"/>
      <c r="AQ28" s="52"/>
      <c r="AR28" s="52"/>
      <c r="AY28" s="66">
        <f t="shared" si="16"/>
        <v>70.8</v>
      </c>
      <c r="AZ28" s="66">
        <f t="shared" si="17"/>
        <v>900</v>
      </c>
      <c r="BA28" s="66">
        <f t="shared" si="18"/>
        <v>1000</v>
      </c>
      <c r="BB28" s="22">
        <f t="shared" si="19"/>
        <v>5.0000000000000001E-3</v>
      </c>
    </row>
    <row r="29" spans="2:54" x14ac:dyDescent="0.45">
      <c r="B29" s="45" t="s">
        <v>54</v>
      </c>
      <c r="C29" s="90"/>
      <c r="D29" s="56"/>
      <c r="E29" s="84"/>
      <c r="F29" s="58"/>
      <c r="G29" s="58"/>
      <c r="H29" s="58"/>
      <c r="I29" s="58"/>
      <c r="J29" s="58"/>
      <c r="K29" s="58"/>
      <c r="L29" s="59">
        <f t="shared" si="12"/>
        <v>0</v>
      </c>
      <c r="M29" s="58"/>
      <c r="N29" s="58"/>
      <c r="O29" s="58"/>
      <c r="P29" s="58"/>
      <c r="Q29" s="60" t="e">
        <f t="shared" si="13"/>
        <v>#DIV/0!</v>
      </c>
      <c r="R29" s="61">
        <f t="shared" si="14"/>
        <v>0.43387671059875982</v>
      </c>
      <c r="S29" s="83"/>
      <c r="T29" s="83"/>
      <c r="U29" s="62">
        <f t="shared" si="15"/>
        <v>2021.2824107652905</v>
      </c>
      <c r="V29" s="45"/>
      <c r="W29" s="45"/>
      <c r="X29" s="45"/>
      <c r="Y29" s="45"/>
      <c r="Z29" s="45"/>
      <c r="AA29" s="45"/>
      <c r="AQ29" s="52"/>
      <c r="AR29" s="52"/>
      <c r="AY29" s="66">
        <f t="shared" si="16"/>
        <v>70.8</v>
      </c>
      <c r="AZ29" s="66">
        <f t="shared" si="17"/>
        <v>900</v>
      </c>
      <c r="BA29" s="66">
        <f t="shared" si="18"/>
        <v>1000</v>
      </c>
      <c r="BB29" s="22">
        <f t="shared" si="19"/>
        <v>5.0000000000000001E-3</v>
      </c>
    </row>
    <row r="30" spans="2:54" x14ac:dyDescent="0.45">
      <c r="B30" s="45" t="s">
        <v>55</v>
      </c>
      <c r="C30" s="90"/>
      <c r="D30" s="56"/>
      <c r="E30" s="57"/>
      <c r="F30" s="58"/>
      <c r="G30" s="58"/>
      <c r="H30" s="58"/>
      <c r="I30" s="58"/>
      <c r="J30" s="58"/>
      <c r="K30" s="58"/>
      <c r="L30" s="59">
        <f t="shared" si="12"/>
        <v>0</v>
      </c>
      <c r="M30" s="58"/>
      <c r="N30" s="58"/>
      <c r="O30" s="58"/>
      <c r="P30" s="58"/>
      <c r="Q30" s="60" t="e">
        <f t="shared" si="13"/>
        <v>#DIV/0!</v>
      </c>
      <c r="R30" s="61">
        <f t="shared" si="14"/>
        <v>0.43387671059875982</v>
      </c>
      <c r="S30" s="83"/>
      <c r="T30" s="83"/>
      <c r="U30" s="62">
        <f t="shared" si="15"/>
        <v>2021.2824107652905</v>
      </c>
      <c r="V30" s="45"/>
      <c r="W30" s="45"/>
      <c r="X30" s="45"/>
      <c r="Y30" s="45"/>
      <c r="Z30" s="45"/>
      <c r="AA30" s="45"/>
      <c r="AQ30" s="69">
        <v>0.61</v>
      </c>
      <c r="AR30" s="69">
        <v>0.32099999999999995</v>
      </c>
      <c r="AY30" s="66">
        <f t="shared" si="16"/>
        <v>70.8</v>
      </c>
      <c r="AZ30" s="66">
        <f t="shared" si="17"/>
        <v>900</v>
      </c>
      <c r="BA30" s="66">
        <f t="shared" si="18"/>
        <v>1000</v>
      </c>
      <c r="BB30" s="22">
        <f t="shared" si="19"/>
        <v>5.0000000000000001E-3</v>
      </c>
    </row>
    <row r="31" spans="2:54" s="74" customFormat="1" x14ac:dyDescent="0.45">
      <c r="B31" s="45" t="s">
        <v>56</v>
      </c>
      <c r="C31" s="90"/>
      <c r="D31" s="56"/>
      <c r="E31" s="80"/>
      <c r="F31" s="58"/>
      <c r="G31" s="58"/>
      <c r="H31" s="58"/>
      <c r="I31" s="58"/>
      <c r="J31" s="58"/>
      <c r="K31" s="58"/>
      <c r="L31" s="59">
        <f t="shared" si="12"/>
        <v>0</v>
      </c>
      <c r="M31" s="58"/>
      <c r="N31" s="58"/>
      <c r="O31" s="58"/>
      <c r="P31" s="58"/>
      <c r="Q31" s="60" t="e">
        <f t="shared" si="13"/>
        <v>#DIV/0!</v>
      </c>
      <c r="R31" s="61">
        <f t="shared" si="14"/>
        <v>0.43387671059875982</v>
      </c>
      <c r="S31" s="83"/>
      <c r="T31" s="83"/>
      <c r="U31" s="62">
        <f t="shared" si="15"/>
        <v>2021.2824107652905</v>
      </c>
      <c r="V31" s="45"/>
      <c r="W31" s="45"/>
      <c r="X31" s="45"/>
      <c r="Y31" s="45"/>
      <c r="Z31" s="45"/>
      <c r="AA31" s="45"/>
      <c r="AH31" s="74">
        <v>0.29799999999999999</v>
      </c>
      <c r="AI31" s="74">
        <v>0.32500000000000001</v>
      </c>
      <c r="AQ31" s="69">
        <v>0.61</v>
      </c>
      <c r="AR31" s="69">
        <v>0.38100000000000001</v>
      </c>
      <c r="AV31" s="52"/>
      <c r="AW31" s="52"/>
      <c r="AY31" s="66">
        <f t="shared" si="16"/>
        <v>70.8</v>
      </c>
      <c r="AZ31" s="66">
        <f t="shared" si="17"/>
        <v>900</v>
      </c>
      <c r="BA31" s="66">
        <f t="shared" si="18"/>
        <v>1000</v>
      </c>
      <c r="BB31" s="22">
        <f t="shared" si="19"/>
        <v>5.0000000000000001E-3</v>
      </c>
    </row>
    <row r="32" spans="2:54" s="74" customFormat="1" x14ac:dyDescent="0.45">
      <c r="B32" s="45" t="s">
        <v>57</v>
      </c>
      <c r="C32" s="90"/>
      <c r="D32" s="56"/>
      <c r="E32" s="84"/>
      <c r="F32" s="58"/>
      <c r="G32" s="58"/>
      <c r="H32" s="58"/>
      <c r="I32" s="58"/>
      <c r="J32" s="58"/>
      <c r="K32" s="58"/>
      <c r="L32" s="59">
        <f t="shared" si="12"/>
        <v>0</v>
      </c>
      <c r="M32" s="58"/>
      <c r="N32" s="58"/>
      <c r="O32" s="58"/>
      <c r="P32" s="58"/>
      <c r="Q32" s="60" t="e">
        <f t="shared" si="13"/>
        <v>#DIV/0!</v>
      </c>
      <c r="R32" s="61">
        <f t="shared" si="14"/>
        <v>0.43387671059875982</v>
      </c>
      <c r="S32" s="83"/>
      <c r="T32" s="83"/>
      <c r="U32" s="62">
        <f t="shared" si="15"/>
        <v>2021.2824107652905</v>
      </c>
      <c r="V32" s="45"/>
      <c r="W32" s="45"/>
      <c r="X32" s="45"/>
      <c r="Y32" s="45"/>
      <c r="Z32" s="45"/>
      <c r="AA32" s="45"/>
      <c r="AH32" s="74">
        <v>0.29799999999999999</v>
      </c>
      <c r="AI32" s="74">
        <v>0.315</v>
      </c>
      <c r="AQ32" s="69">
        <v>0.67</v>
      </c>
      <c r="AR32" s="69">
        <v>0.38100000000000001</v>
      </c>
      <c r="AV32" s="52"/>
      <c r="AW32" s="52"/>
      <c r="AY32" s="66">
        <f t="shared" si="16"/>
        <v>70.8</v>
      </c>
      <c r="AZ32" s="66">
        <f t="shared" si="17"/>
        <v>900</v>
      </c>
      <c r="BA32" s="66">
        <f t="shared" si="18"/>
        <v>1000</v>
      </c>
      <c r="BB32" s="22">
        <f t="shared" si="19"/>
        <v>5.0000000000000001E-3</v>
      </c>
    </row>
    <row r="33" spans="2:54" s="74" customFormat="1" x14ac:dyDescent="0.45">
      <c r="B33" s="45" t="s">
        <v>58</v>
      </c>
      <c r="C33" s="90"/>
      <c r="D33" s="56"/>
      <c r="E33" s="57"/>
      <c r="F33" s="58"/>
      <c r="G33" s="58"/>
      <c r="H33" s="58"/>
      <c r="I33" s="58"/>
      <c r="J33" s="58"/>
      <c r="K33" s="58"/>
      <c r="L33" s="59">
        <f t="shared" si="12"/>
        <v>0</v>
      </c>
      <c r="M33" s="58"/>
      <c r="N33" s="58"/>
      <c r="O33" s="58"/>
      <c r="P33" s="58"/>
      <c r="Q33" s="60" t="e">
        <f t="shared" si="13"/>
        <v>#DIV/0!</v>
      </c>
      <c r="R33" s="61">
        <f t="shared" si="14"/>
        <v>0.43387671059875982</v>
      </c>
      <c r="S33" s="83"/>
      <c r="T33" s="83"/>
      <c r="U33" s="62">
        <f t="shared" si="15"/>
        <v>2021.2824107652905</v>
      </c>
      <c r="V33" s="45"/>
      <c r="W33" s="45"/>
      <c r="X33" s="45"/>
      <c r="Y33" s="45"/>
      <c r="Z33" s="45"/>
      <c r="AA33" s="45"/>
      <c r="AH33" s="74">
        <v>0.28799999999999998</v>
      </c>
      <c r="AI33" s="74">
        <v>0.315</v>
      </c>
      <c r="AQ33" s="69">
        <v>0.67</v>
      </c>
      <c r="AR33" s="69">
        <v>0.32099999999999995</v>
      </c>
      <c r="AV33" s="52"/>
      <c r="AW33" s="52"/>
      <c r="AY33" s="66">
        <f t="shared" si="16"/>
        <v>70.8</v>
      </c>
      <c r="AZ33" s="66">
        <f t="shared" si="17"/>
        <v>900</v>
      </c>
      <c r="BA33" s="66">
        <f t="shared" si="18"/>
        <v>1000</v>
      </c>
      <c r="BB33" s="22">
        <f t="shared" si="19"/>
        <v>5.0000000000000001E-3</v>
      </c>
    </row>
    <row r="34" spans="2:54" s="74" customFormat="1" x14ac:dyDescent="0.45">
      <c r="B34" s="45" t="s">
        <v>59</v>
      </c>
      <c r="C34" s="90"/>
      <c r="D34" s="56"/>
      <c r="E34" s="84"/>
      <c r="F34" s="58"/>
      <c r="G34" s="58"/>
      <c r="H34" s="58"/>
      <c r="I34" s="58"/>
      <c r="J34" s="58"/>
      <c r="K34" s="58"/>
      <c r="L34" s="59">
        <f t="shared" si="12"/>
        <v>0</v>
      </c>
      <c r="M34" s="58"/>
      <c r="N34" s="58"/>
      <c r="O34" s="58"/>
      <c r="P34" s="58"/>
      <c r="Q34" s="60" t="e">
        <f t="shared" si="13"/>
        <v>#DIV/0!</v>
      </c>
      <c r="R34" s="61">
        <f t="shared" si="14"/>
        <v>0.43387671059875982</v>
      </c>
      <c r="S34" s="83"/>
      <c r="T34" s="83"/>
      <c r="U34" s="62">
        <f t="shared" si="15"/>
        <v>2021.2824107652905</v>
      </c>
      <c r="V34" s="45"/>
      <c r="W34" s="45"/>
      <c r="X34" s="45"/>
      <c r="Y34" s="45"/>
      <c r="Z34" s="45"/>
      <c r="AA34" s="45"/>
      <c r="AQ34" s="69">
        <v>0.61</v>
      </c>
      <c r="AR34" s="69">
        <v>0.32099999999999995</v>
      </c>
      <c r="AV34" s="52"/>
      <c r="AW34" s="52"/>
      <c r="AY34" s="66">
        <f t="shared" si="16"/>
        <v>70.8</v>
      </c>
      <c r="AZ34" s="66">
        <f t="shared" si="17"/>
        <v>900</v>
      </c>
      <c r="BA34" s="66">
        <f t="shared" si="18"/>
        <v>1000</v>
      </c>
      <c r="BB34" s="22">
        <f t="shared" si="19"/>
        <v>5.0000000000000001E-3</v>
      </c>
    </row>
    <row r="35" spans="2:54" x14ac:dyDescent="0.45">
      <c r="B35" s="45" t="s">
        <v>60</v>
      </c>
      <c r="C35" s="90"/>
      <c r="D35" s="56"/>
      <c r="E35" s="57"/>
      <c r="F35" s="58"/>
      <c r="G35" s="58"/>
      <c r="H35" s="58"/>
      <c r="I35" s="58"/>
      <c r="J35" s="58"/>
      <c r="K35" s="58"/>
      <c r="L35" s="59">
        <f t="shared" si="12"/>
        <v>0</v>
      </c>
      <c r="M35" s="58"/>
      <c r="N35" s="58"/>
      <c r="O35" s="58"/>
      <c r="P35" s="58"/>
      <c r="Q35" s="60" t="e">
        <f t="shared" si="13"/>
        <v>#DIV/0!</v>
      </c>
      <c r="R35" s="61">
        <f t="shared" si="14"/>
        <v>0.43387671059875982</v>
      </c>
      <c r="S35" s="83"/>
      <c r="T35" s="83"/>
      <c r="U35" s="62">
        <f t="shared" si="15"/>
        <v>2021.2824107652905</v>
      </c>
      <c r="V35" s="45"/>
      <c r="W35" s="45"/>
      <c r="X35" s="45"/>
      <c r="Y35" s="45"/>
      <c r="Z35" s="45"/>
      <c r="AA35" s="45"/>
      <c r="AQ35" s="52"/>
      <c r="AR35" s="52"/>
      <c r="AY35" s="66">
        <f t="shared" si="16"/>
        <v>70.8</v>
      </c>
      <c r="AZ35" s="66">
        <f t="shared" si="17"/>
        <v>900</v>
      </c>
      <c r="BA35" s="66">
        <f t="shared" si="18"/>
        <v>1000</v>
      </c>
      <c r="BB35" s="22">
        <f t="shared" si="19"/>
        <v>5.0000000000000001E-3</v>
      </c>
    </row>
    <row r="36" spans="2:54" x14ac:dyDescent="0.45">
      <c r="B36" s="45" t="s">
        <v>61</v>
      </c>
      <c r="C36" s="90"/>
      <c r="D36" s="56"/>
      <c r="E36" s="80"/>
      <c r="F36" s="58"/>
      <c r="G36" s="58"/>
      <c r="H36" s="58"/>
      <c r="I36" s="58"/>
      <c r="J36" s="58"/>
      <c r="K36" s="58"/>
      <c r="L36" s="59">
        <f t="shared" si="12"/>
        <v>0</v>
      </c>
      <c r="M36" s="58"/>
      <c r="N36" s="58"/>
      <c r="O36" s="58"/>
      <c r="P36" s="58"/>
      <c r="Q36" s="60" t="e">
        <f t="shared" si="13"/>
        <v>#DIV/0!</v>
      </c>
      <c r="R36" s="61">
        <f t="shared" si="14"/>
        <v>0.43387671059875982</v>
      </c>
      <c r="S36" s="83"/>
      <c r="T36" s="83"/>
      <c r="U36" s="62">
        <f t="shared" si="15"/>
        <v>2021.2824107652905</v>
      </c>
      <c r="V36" s="45"/>
      <c r="W36" s="45"/>
      <c r="X36" s="45"/>
      <c r="Y36" s="45"/>
      <c r="Z36" s="45"/>
      <c r="AA36" s="45"/>
      <c r="AQ36" s="52"/>
      <c r="AR36" s="52"/>
      <c r="AY36" s="66">
        <f t="shared" si="16"/>
        <v>70.8</v>
      </c>
      <c r="AZ36" s="66">
        <f t="shared" si="17"/>
        <v>900</v>
      </c>
      <c r="BA36" s="66">
        <f t="shared" si="18"/>
        <v>1000</v>
      </c>
      <c r="BB36" s="22">
        <f t="shared" si="19"/>
        <v>5.0000000000000001E-3</v>
      </c>
    </row>
    <row r="37" spans="2:54" ht="15.75" customHeight="1" x14ac:dyDescent="0.45">
      <c r="B37" s="45" t="s">
        <v>62</v>
      </c>
      <c r="C37" s="90"/>
      <c r="D37" s="56"/>
      <c r="E37" s="84"/>
      <c r="F37" s="58"/>
      <c r="G37" s="58"/>
      <c r="H37" s="58"/>
      <c r="I37" s="58"/>
      <c r="J37" s="58"/>
      <c r="K37" s="58"/>
      <c r="L37" s="59">
        <f t="shared" si="12"/>
        <v>0</v>
      </c>
      <c r="M37" s="58"/>
      <c r="N37" s="58"/>
      <c r="O37" s="58"/>
      <c r="P37" s="58"/>
      <c r="Q37" s="60" t="e">
        <f t="shared" si="13"/>
        <v>#DIV/0!</v>
      </c>
      <c r="R37" s="61">
        <f t="shared" si="14"/>
        <v>0.43387671059875982</v>
      </c>
      <c r="S37" s="83"/>
      <c r="T37" s="83"/>
      <c r="U37" s="62">
        <f t="shared" si="15"/>
        <v>2021.2824107652905</v>
      </c>
      <c r="V37" s="45"/>
      <c r="W37" s="45"/>
      <c r="X37" s="45"/>
      <c r="Y37" s="45"/>
      <c r="Z37" s="45"/>
      <c r="AA37" s="45"/>
      <c r="AY37" s="66">
        <f t="shared" si="16"/>
        <v>70.8</v>
      </c>
      <c r="AZ37" s="66">
        <f t="shared" si="17"/>
        <v>900</v>
      </c>
      <c r="BA37" s="66">
        <f t="shared" si="18"/>
        <v>1000</v>
      </c>
      <c r="BB37" s="22">
        <f t="shared" si="19"/>
        <v>5.0000000000000001E-3</v>
      </c>
    </row>
    <row r="38" spans="2:54" s="74" customFormat="1" x14ac:dyDescent="0.45">
      <c r="B38" s="45" t="s">
        <v>63</v>
      </c>
      <c r="C38" s="90"/>
      <c r="D38" s="56"/>
      <c r="E38" s="57"/>
      <c r="F38" s="58"/>
      <c r="G38" s="58"/>
      <c r="H38" s="58"/>
      <c r="I38" s="58"/>
      <c r="J38" s="58"/>
      <c r="K38" s="58"/>
      <c r="L38" s="59">
        <f t="shared" si="12"/>
        <v>0</v>
      </c>
      <c r="M38" s="58"/>
      <c r="N38" s="58"/>
      <c r="O38" s="58"/>
      <c r="P38" s="58"/>
      <c r="Q38" s="60" t="e">
        <f t="shared" si="13"/>
        <v>#DIV/0!</v>
      </c>
      <c r="R38" s="61">
        <f t="shared" si="14"/>
        <v>0.43387671059875982</v>
      </c>
      <c r="S38" s="83"/>
      <c r="T38" s="83"/>
      <c r="U38" s="62">
        <f t="shared" si="15"/>
        <v>2021.2824107652905</v>
      </c>
      <c r="V38" s="45"/>
      <c r="W38" s="45"/>
      <c r="X38" s="45"/>
      <c r="Y38" s="45"/>
      <c r="Z38" s="45"/>
      <c r="AA38" s="45"/>
      <c r="AV38" s="52"/>
      <c r="AW38" s="52"/>
      <c r="AY38" s="66">
        <f t="shared" si="16"/>
        <v>70.8</v>
      </c>
      <c r="AZ38" s="66">
        <f t="shared" si="17"/>
        <v>900</v>
      </c>
      <c r="BA38" s="66">
        <f t="shared" si="18"/>
        <v>1000</v>
      </c>
      <c r="BB38" s="22">
        <f t="shared" si="19"/>
        <v>5.0000000000000001E-3</v>
      </c>
    </row>
    <row r="39" spans="2:54" x14ac:dyDescent="0.45">
      <c r="B39" s="45" t="s">
        <v>64</v>
      </c>
      <c r="C39" s="90"/>
      <c r="D39" s="56"/>
      <c r="E39" s="80"/>
      <c r="F39" s="58"/>
      <c r="G39" s="58"/>
      <c r="H39" s="58"/>
      <c r="I39" s="58"/>
      <c r="J39" s="58"/>
      <c r="K39" s="58"/>
      <c r="L39" s="59">
        <f t="shared" si="12"/>
        <v>0</v>
      </c>
      <c r="M39" s="58"/>
      <c r="N39" s="58"/>
      <c r="O39" s="58"/>
      <c r="P39" s="58"/>
      <c r="Q39" s="60" t="e">
        <f t="shared" si="13"/>
        <v>#DIV/0!</v>
      </c>
      <c r="R39" s="61">
        <f t="shared" si="14"/>
        <v>0.43387671059875982</v>
      </c>
      <c r="S39" s="83"/>
      <c r="T39" s="83"/>
      <c r="U39" s="62">
        <f t="shared" si="15"/>
        <v>2021.2824107652905</v>
      </c>
      <c r="V39" s="45"/>
      <c r="W39" s="45"/>
      <c r="X39" s="45"/>
      <c r="Y39" s="45"/>
      <c r="Z39" s="45"/>
      <c r="AA39" s="45"/>
      <c r="AY39" s="66">
        <f t="shared" si="16"/>
        <v>70.8</v>
      </c>
      <c r="AZ39" s="66">
        <f t="shared" si="17"/>
        <v>900</v>
      </c>
      <c r="BA39" s="66">
        <f t="shared" si="18"/>
        <v>1000</v>
      </c>
      <c r="BB39" s="22">
        <f t="shared" si="19"/>
        <v>5.0000000000000001E-3</v>
      </c>
    </row>
    <row r="40" spans="2:54" s="74" customFormat="1" x14ac:dyDescent="0.45">
      <c r="B40" s="45" t="s">
        <v>65</v>
      </c>
      <c r="C40" s="90"/>
      <c r="D40" s="56"/>
      <c r="E40" s="84"/>
      <c r="F40" s="58"/>
      <c r="G40" s="58"/>
      <c r="H40" s="58"/>
      <c r="I40" s="58"/>
      <c r="J40" s="58"/>
      <c r="K40" s="58"/>
      <c r="L40" s="59">
        <f t="shared" si="12"/>
        <v>0</v>
      </c>
      <c r="M40" s="58"/>
      <c r="N40" s="58"/>
      <c r="O40" s="58"/>
      <c r="P40" s="58"/>
      <c r="Q40" s="60" t="e">
        <f t="shared" si="13"/>
        <v>#DIV/0!</v>
      </c>
      <c r="R40" s="61">
        <f t="shared" si="14"/>
        <v>0.43387671059875982</v>
      </c>
      <c r="S40" s="83"/>
      <c r="T40" s="83"/>
      <c r="U40" s="62">
        <f t="shared" si="15"/>
        <v>2021.2824107652905</v>
      </c>
      <c r="V40" s="45"/>
      <c r="W40" s="45"/>
      <c r="X40" s="45"/>
      <c r="Y40" s="45"/>
      <c r="Z40" s="45"/>
      <c r="AA40" s="45"/>
      <c r="AV40" s="52"/>
      <c r="AW40" s="52"/>
      <c r="AY40" s="66">
        <f t="shared" si="16"/>
        <v>70.8</v>
      </c>
      <c r="AZ40" s="66">
        <f t="shared" si="17"/>
        <v>900</v>
      </c>
      <c r="BA40" s="66">
        <f t="shared" si="18"/>
        <v>1000</v>
      </c>
      <c r="BB40" s="22">
        <f t="shared" si="19"/>
        <v>5.0000000000000001E-3</v>
      </c>
    </row>
    <row r="41" spans="2:54" s="74" customFormat="1" x14ac:dyDescent="0.45">
      <c r="B41" s="45" t="s">
        <v>66</v>
      </c>
      <c r="C41" s="90"/>
      <c r="D41" s="56"/>
      <c r="E41" s="57"/>
      <c r="F41" s="58"/>
      <c r="G41" s="58"/>
      <c r="H41" s="58"/>
      <c r="I41" s="58"/>
      <c r="J41" s="58"/>
      <c r="K41" s="58"/>
      <c r="L41" s="59">
        <f t="shared" si="12"/>
        <v>0</v>
      </c>
      <c r="M41" s="58"/>
      <c r="N41" s="58"/>
      <c r="O41" s="58"/>
      <c r="P41" s="58"/>
      <c r="Q41" s="60" t="e">
        <f t="shared" si="13"/>
        <v>#DIV/0!</v>
      </c>
      <c r="R41" s="61">
        <f t="shared" si="14"/>
        <v>0.43387671059875982</v>
      </c>
      <c r="S41" s="83"/>
      <c r="T41" s="83"/>
      <c r="U41" s="62">
        <f t="shared" si="15"/>
        <v>2021.2824107652905</v>
      </c>
      <c r="V41" s="45"/>
      <c r="W41" s="45"/>
      <c r="X41" s="45"/>
      <c r="Y41" s="45"/>
      <c r="Z41" s="45"/>
      <c r="AA41" s="45"/>
      <c r="AV41" s="52"/>
      <c r="AW41" s="52"/>
      <c r="AY41" s="66">
        <f t="shared" si="16"/>
        <v>70.8</v>
      </c>
      <c r="AZ41" s="66">
        <f t="shared" si="17"/>
        <v>900</v>
      </c>
      <c r="BA41" s="66">
        <f t="shared" si="18"/>
        <v>1000</v>
      </c>
      <c r="BB41" s="22">
        <f t="shared" si="19"/>
        <v>5.0000000000000001E-3</v>
      </c>
    </row>
    <row r="42" spans="2:54" s="74" customFormat="1" x14ac:dyDescent="0.45">
      <c r="B42" s="45" t="s">
        <v>67</v>
      </c>
      <c r="C42" s="90"/>
      <c r="D42" s="56"/>
      <c r="E42" s="80"/>
      <c r="F42" s="58"/>
      <c r="G42" s="58"/>
      <c r="H42" s="58"/>
      <c r="I42" s="58"/>
      <c r="J42" s="58"/>
      <c r="K42" s="58"/>
      <c r="L42" s="59">
        <f t="shared" si="12"/>
        <v>0</v>
      </c>
      <c r="M42" s="58"/>
      <c r="N42" s="58"/>
      <c r="O42" s="58"/>
      <c r="P42" s="58"/>
      <c r="Q42" s="60" t="e">
        <f t="shared" si="13"/>
        <v>#DIV/0!</v>
      </c>
      <c r="R42" s="61">
        <f t="shared" si="14"/>
        <v>0.43387671059875982</v>
      </c>
      <c r="S42" s="83"/>
      <c r="T42" s="83"/>
      <c r="U42" s="62">
        <f t="shared" si="15"/>
        <v>2021.2824107652905</v>
      </c>
      <c r="V42" s="45"/>
      <c r="W42" s="45"/>
      <c r="X42" s="45"/>
      <c r="Y42" s="45"/>
      <c r="Z42" s="45"/>
      <c r="AA42" s="45"/>
      <c r="AV42" s="52"/>
      <c r="AW42" s="52"/>
      <c r="AY42" s="66">
        <f t="shared" si="16"/>
        <v>70.8</v>
      </c>
      <c r="AZ42" s="66">
        <f t="shared" si="17"/>
        <v>900</v>
      </c>
      <c r="BA42" s="66">
        <f t="shared" si="18"/>
        <v>1000</v>
      </c>
      <c r="BB42" s="22">
        <f t="shared" si="19"/>
        <v>5.0000000000000001E-3</v>
      </c>
    </row>
    <row r="43" spans="2:54" x14ac:dyDescent="0.45">
      <c r="B43" s="45" t="s">
        <v>68</v>
      </c>
      <c r="C43" s="90"/>
      <c r="D43" s="56"/>
      <c r="E43" s="84"/>
      <c r="F43" s="58"/>
      <c r="G43" s="58"/>
      <c r="H43" s="58"/>
      <c r="I43" s="58"/>
      <c r="J43" s="58"/>
      <c r="K43" s="58"/>
      <c r="L43" s="59">
        <f t="shared" si="12"/>
        <v>0</v>
      </c>
      <c r="M43" s="58"/>
      <c r="N43" s="58"/>
      <c r="O43" s="58"/>
      <c r="P43" s="58"/>
      <c r="Q43" s="60" t="e">
        <f t="shared" si="13"/>
        <v>#DIV/0!</v>
      </c>
      <c r="R43" s="61">
        <f t="shared" si="14"/>
        <v>0.43387671059875982</v>
      </c>
      <c r="S43" s="83"/>
      <c r="T43" s="83"/>
      <c r="U43" s="62">
        <f t="shared" si="15"/>
        <v>2021.2824107652905</v>
      </c>
      <c r="V43" s="45"/>
      <c r="W43" s="45"/>
      <c r="X43" s="45"/>
      <c r="Y43" s="45"/>
      <c r="Z43" s="45"/>
      <c r="AA43" s="45"/>
      <c r="AY43" s="66">
        <f t="shared" si="16"/>
        <v>70.8</v>
      </c>
      <c r="AZ43" s="66">
        <f t="shared" si="17"/>
        <v>900</v>
      </c>
      <c r="BA43" s="66">
        <f t="shared" si="18"/>
        <v>1000</v>
      </c>
      <c r="BB43" s="22">
        <f t="shared" si="19"/>
        <v>5.0000000000000001E-3</v>
      </c>
    </row>
    <row r="44" spans="2:54" x14ac:dyDescent="0.45">
      <c r="B44" s="45" t="s">
        <v>69</v>
      </c>
      <c r="C44" s="90"/>
      <c r="D44" s="56"/>
      <c r="E44" s="57"/>
      <c r="F44" s="58"/>
      <c r="G44" s="58"/>
      <c r="H44" s="58"/>
      <c r="I44" s="58"/>
      <c r="J44" s="58"/>
      <c r="K44" s="58"/>
      <c r="L44" s="59">
        <f t="shared" si="12"/>
        <v>0</v>
      </c>
      <c r="M44" s="58"/>
      <c r="N44" s="58"/>
      <c r="O44" s="58"/>
      <c r="P44" s="58"/>
      <c r="Q44" s="60" t="e">
        <f t="shared" si="13"/>
        <v>#DIV/0!</v>
      </c>
      <c r="R44" s="61">
        <f t="shared" si="14"/>
        <v>0.43387671059875982</v>
      </c>
      <c r="S44" s="83"/>
      <c r="T44" s="83"/>
      <c r="U44" s="62">
        <f t="shared" si="15"/>
        <v>2021.2824107652905</v>
      </c>
      <c r="V44" s="45"/>
      <c r="W44" s="45"/>
      <c r="X44" s="45"/>
      <c r="Y44" s="45"/>
      <c r="Z44" s="45"/>
      <c r="AA44" s="45"/>
      <c r="AQ44" s="52"/>
      <c r="AR44" s="52"/>
      <c r="AY44" s="66">
        <f t="shared" si="16"/>
        <v>70.8</v>
      </c>
      <c r="AZ44" s="66">
        <f t="shared" si="17"/>
        <v>900</v>
      </c>
      <c r="BA44" s="66">
        <f t="shared" si="18"/>
        <v>1000</v>
      </c>
      <c r="BB44" s="22">
        <f t="shared" si="19"/>
        <v>5.0000000000000001E-3</v>
      </c>
    </row>
    <row r="45" spans="2:54" x14ac:dyDescent="0.45">
      <c r="B45" s="45" t="s">
        <v>70</v>
      </c>
      <c r="C45" s="90"/>
      <c r="D45" s="56"/>
      <c r="E45" s="80"/>
      <c r="F45" s="58"/>
      <c r="G45" s="58"/>
      <c r="H45" s="58"/>
      <c r="I45" s="58"/>
      <c r="J45" s="58"/>
      <c r="K45" s="58"/>
      <c r="L45" s="59">
        <f t="shared" si="12"/>
        <v>0</v>
      </c>
      <c r="M45" s="58"/>
      <c r="N45" s="58"/>
      <c r="O45" s="58"/>
      <c r="P45" s="58"/>
      <c r="Q45" s="60" t="e">
        <f t="shared" si="13"/>
        <v>#DIV/0!</v>
      </c>
      <c r="R45" s="61">
        <f t="shared" si="14"/>
        <v>0.43387671059875982</v>
      </c>
      <c r="S45" s="83"/>
      <c r="T45" s="83"/>
      <c r="U45" s="62">
        <f t="shared" si="15"/>
        <v>2021.2824107652905</v>
      </c>
      <c r="V45" s="45"/>
      <c r="W45" s="45"/>
      <c r="X45" s="45"/>
      <c r="Y45" s="45"/>
      <c r="Z45" s="45"/>
      <c r="AA45" s="45"/>
      <c r="AQ45" s="52"/>
      <c r="AR45" s="52"/>
      <c r="AY45" s="66">
        <f t="shared" si="16"/>
        <v>70.8</v>
      </c>
      <c r="AZ45" s="66">
        <f t="shared" si="17"/>
        <v>900</v>
      </c>
      <c r="BA45" s="66">
        <f t="shared" si="18"/>
        <v>1000</v>
      </c>
      <c r="BB45" s="22">
        <f t="shared" si="19"/>
        <v>5.0000000000000001E-3</v>
      </c>
    </row>
    <row r="46" spans="2:54" s="74" customFormat="1" x14ac:dyDescent="0.45">
      <c r="B46" s="45" t="s">
        <v>71</v>
      </c>
      <c r="C46" s="90"/>
      <c r="D46" s="56"/>
      <c r="E46" s="57"/>
      <c r="F46" s="58"/>
      <c r="G46" s="58"/>
      <c r="H46" s="58"/>
      <c r="I46" s="58"/>
      <c r="J46" s="58"/>
      <c r="K46" s="58"/>
      <c r="L46" s="59">
        <f t="shared" si="12"/>
        <v>0</v>
      </c>
      <c r="M46" s="58"/>
      <c r="N46" s="58"/>
      <c r="O46" s="58"/>
      <c r="P46" s="58"/>
      <c r="Q46" s="60" t="e">
        <f t="shared" si="13"/>
        <v>#DIV/0!</v>
      </c>
      <c r="R46" s="61">
        <f t="shared" si="14"/>
        <v>0.43387671059875982</v>
      </c>
      <c r="S46" s="83"/>
      <c r="T46" s="83"/>
      <c r="U46" s="62">
        <f t="shared" si="15"/>
        <v>2021.2824107652905</v>
      </c>
      <c r="V46" s="45"/>
      <c r="W46" s="45"/>
      <c r="X46" s="45"/>
      <c r="Y46" s="45"/>
      <c r="Z46" s="45"/>
      <c r="AA46" s="45"/>
      <c r="AQ46" s="52"/>
      <c r="AR46" s="52"/>
      <c r="AV46" s="52"/>
      <c r="AW46" s="52"/>
      <c r="AY46" s="66">
        <f t="shared" si="16"/>
        <v>70.8</v>
      </c>
      <c r="AZ46" s="66">
        <f t="shared" si="17"/>
        <v>900</v>
      </c>
      <c r="BA46" s="66">
        <f t="shared" si="18"/>
        <v>1000</v>
      </c>
      <c r="BB46" s="22">
        <f t="shared" si="19"/>
        <v>5.0000000000000001E-3</v>
      </c>
    </row>
    <row r="47" spans="2:54" s="74" customFormat="1" x14ac:dyDescent="0.45">
      <c r="B47" s="45" t="s">
        <v>72</v>
      </c>
      <c r="C47" s="90"/>
      <c r="D47" s="56"/>
      <c r="E47" s="84"/>
      <c r="F47" s="58"/>
      <c r="G47" s="58"/>
      <c r="H47" s="58"/>
      <c r="I47" s="58"/>
      <c r="J47" s="58"/>
      <c r="K47" s="58"/>
      <c r="L47" s="59">
        <f t="shared" si="12"/>
        <v>0</v>
      </c>
      <c r="M47" s="58"/>
      <c r="N47" s="58"/>
      <c r="O47" s="58"/>
      <c r="P47" s="58"/>
      <c r="Q47" s="60" t="e">
        <f t="shared" si="13"/>
        <v>#DIV/0!</v>
      </c>
      <c r="R47" s="61">
        <f t="shared" si="14"/>
        <v>0.43387671059875982</v>
      </c>
      <c r="S47" s="83"/>
      <c r="T47" s="83"/>
      <c r="U47" s="62">
        <f t="shared" si="15"/>
        <v>2021.2824107652905</v>
      </c>
      <c r="V47" s="45"/>
      <c r="W47" s="45"/>
      <c r="X47" s="45"/>
      <c r="Y47" s="45"/>
      <c r="Z47" s="45"/>
      <c r="AA47" s="45"/>
      <c r="AQ47" s="52"/>
      <c r="AR47" s="52"/>
      <c r="AV47" s="52"/>
      <c r="AW47" s="52"/>
      <c r="AY47" s="66">
        <f t="shared" si="16"/>
        <v>70.8</v>
      </c>
      <c r="AZ47" s="66">
        <f t="shared" si="17"/>
        <v>900</v>
      </c>
      <c r="BA47" s="66">
        <f t="shared" si="18"/>
        <v>1000</v>
      </c>
      <c r="BB47" s="22">
        <f t="shared" si="19"/>
        <v>5.0000000000000001E-3</v>
      </c>
    </row>
    <row r="48" spans="2:54" x14ac:dyDescent="0.45">
      <c r="B48" s="45" t="s">
        <v>73</v>
      </c>
      <c r="C48" s="90"/>
      <c r="D48" s="56"/>
      <c r="E48" s="57"/>
      <c r="F48" s="58"/>
      <c r="G48" s="58"/>
      <c r="H48" s="58"/>
      <c r="I48" s="58"/>
      <c r="J48" s="58"/>
      <c r="K48" s="58"/>
      <c r="L48" s="59">
        <f t="shared" si="12"/>
        <v>0</v>
      </c>
      <c r="M48" s="58"/>
      <c r="N48" s="58"/>
      <c r="O48" s="58"/>
      <c r="P48" s="58"/>
      <c r="Q48" s="60" t="e">
        <f t="shared" si="13"/>
        <v>#DIV/0!</v>
      </c>
      <c r="R48" s="61">
        <f t="shared" si="14"/>
        <v>0.43387671059875982</v>
      </c>
      <c r="S48" s="83"/>
      <c r="T48" s="83"/>
      <c r="U48" s="62">
        <f t="shared" si="15"/>
        <v>2021.2824107652905</v>
      </c>
      <c r="V48" s="45"/>
      <c r="W48" s="45"/>
      <c r="X48" s="45"/>
      <c r="Y48" s="45"/>
      <c r="Z48" s="45"/>
      <c r="AA48" s="45"/>
      <c r="AH48" s="96">
        <f>H11</f>
        <v>0.26200000000000001</v>
      </c>
      <c r="AI48" s="96">
        <f>I11</f>
        <v>0.61699999999999999</v>
      </c>
      <c r="AQ48" s="96">
        <f>J11</f>
        <v>0.12</v>
      </c>
      <c r="AR48" s="96">
        <f>K11</f>
        <v>0.03</v>
      </c>
      <c r="AY48" s="66">
        <f t="shared" si="16"/>
        <v>70.8</v>
      </c>
      <c r="AZ48" s="66">
        <f t="shared" si="17"/>
        <v>900</v>
      </c>
      <c r="BA48" s="66">
        <f t="shared" si="18"/>
        <v>1000</v>
      </c>
      <c r="BB48" s="22">
        <f t="shared" si="19"/>
        <v>5.0000000000000001E-3</v>
      </c>
    </row>
    <row r="49" spans="2:54" x14ac:dyDescent="0.45">
      <c r="B49" s="45" t="s">
        <v>74</v>
      </c>
      <c r="C49" s="90"/>
      <c r="D49" s="56"/>
      <c r="E49" s="80"/>
      <c r="F49" s="58"/>
      <c r="G49" s="58"/>
      <c r="H49" s="58"/>
      <c r="I49" s="58"/>
      <c r="J49" s="58"/>
      <c r="K49" s="58"/>
      <c r="L49" s="59">
        <f t="shared" si="12"/>
        <v>0</v>
      </c>
      <c r="M49" s="58"/>
      <c r="N49" s="58"/>
      <c r="O49" s="58"/>
      <c r="P49" s="58"/>
      <c r="Q49" s="60" t="e">
        <f t="shared" si="13"/>
        <v>#DIV/0!</v>
      </c>
      <c r="R49" s="61">
        <f t="shared" si="14"/>
        <v>0.43387671059875982</v>
      </c>
      <c r="S49" s="83"/>
      <c r="T49" s="83"/>
      <c r="U49" s="62">
        <f t="shared" si="15"/>
        <v>2021.2824107652905</v>
      </c>
      <c r="V49" s="45"/>
      <c r="W49" s="45"/>
      <c r="X49" s="45"/>
      <c r="Y49" s="45"/>
      <c r="Z49" s="45"/>
      <c r="AA49" s="45"/>
      <c r="AH49" s="81">
        <f>H11</f>
        <v>0.26200000000000001</v>
      </c>
      <c r="AI49" s="81">
        <f>I13</f>
        <v>0.67700000000000005</v>
      </c>
      <c r="AQ49" s="82">
        <f>J11</f>
        <v>0.12</v>
      </c>
      <c r="AR49" s="82">
        <f>K13</f>
        <v>0.09</v>
      </c>
      <c r="AY49" s="66">
        <f t="shared" si="16"/>
        <v>70.8</v>
      </c>
      <c r="AZ49" s="66">
        <f t="shared" si="17"/>
        <v>900</v>
      </c>
      <c r="BA49" s="66">
        <f t="shared" si="18"/>
        <v>1000</v>
      </c>
      <c r="BB49" s="22">
        <f t="shared" si="19"/>
        <v>5.0000000000000001E-3</v>
      </c>
    </row>
    <row r="50" spans="2:54" x14ac:dyDescent="0.45">
      <c r="B50" s="45" t="s">
        <v>75</v>
      </c>
      <c r="C50" s="90"/>
      <c r="D50" s="56"/>
      <c r="E50" s="84"/>
      <c r="F50" s="58"/>
      <c r="G50" s="58"/>
      <c r="H50" s="58"/>
      <c r="I50" s="58"/>
      <c r="J50" s="58"/>
      <c r="K50" s="58"/>
      <c r="L50" s="59">
        <f t="shared" si="12"/>
        <v>0</v>
      </c>
      <c r="M50" s="58"/>
      <c r="N50" s="58"/>
      <c r="O50" s="58"/>
      <c r="P50" s="58"/>
      <c r="Q50" s="60" t="e">
        <f t="shared" si="13"/>
        <v>#DIV/0!</v>
      </c>
      <c r="R50" s="61">
        <f t="shared" si="14"/>
        <v>0.43387671059875982</v>
      </c>
      <c r="S50" s="83"/>
      <c r="T50" s="83"/>
      <c r="U50" s="62">
        <f t="shared" si="15"/>
        <v>2021.2824107652905</v>
      </c>
      <c r="V50" s="45"/>
      <c r="W50" s="45"/>
      <c r="X50" s="45"/>
      <c r="Y50" s="45"/>
      <c r="Z50" s="45"/>
      <c r="AA50" s="45"/>
      <c r="AH50" s="81">
        <f>H13</f>
        <v>0.32199999999999995</v>
      </c>
      <c r="AI50" s="81">
        <f>I13</f>
        <v>0.67700000000000005</v>
      </c>
      <c r="AQ50" s="82">
        <f>J13</f>
        <v>0.18</v>
      </c>
      <c r="AR50" s="82">
        <f>K13</f>
        <v>0.09</v>
      </c>
      <c r="AY50" s="66">
        <f t="shared" si="16"/>
        <v>70.8</v>
      </c>
      <c r="AZ50" s="66">
        <f t="shared" si="17"/>
        <v>900</v>
      </c>
      <c r="BA50" s="66">
        <f t="shared" si="18"/>
        <v>1000</v>
      </c>
      <c r="BB50" s="22">
        <f t="shared" si="19"/>
        <v>5.0000000000000001E-3</v>
      </c>
    </row>
    <row r="51" spans="2:54" x14ac:dyDescent="0.45">
      <c r="B51" s="45" t="s">
        <v>76</v>
      </c>
      <c r="C51" s="90"/>
      <c r="D51" s="56"/>
      <c r="E51" s="57"/>
      <c r="F51" s="58"/>
      <c r="G51" s="58"/>
      <c r="H51" s="58"/>
      <c r="I51" s="58"/>
      <c r="J51" s="58"/>
      <c r="K51" s="58"/>
      <c r="L51" s="59">
        <f t="shared" si="12"/>
        <v>0</v>
      </c>
      <c r="M51" s="58"/>
      <c r="N51" s="58"/>
      <c r="O51" s="58"/>
      <c r="P51" s="58"/>
      <c r="Q51" s="60" t="e">
        <f t="shared" si="13"/>
        <v>#DIV/0!</v>
      </c>
      <c r="R51" s="61">
        <f t="shared" si="14"/>
        <v>0.43387671059875982</v>
      </c>
      <c r="S51" s="83"/>
      <c r="T51" s="83"/>
      <c r="U51" s="62">
        <f t="shared" si="15"/>
        <v>2021.2824107652905</v>
      </c>
      <c r="V51" s="45"/>
      <c r="W51" s="45"/>
      <c r="X51" s="45"/>
      <c r="Y51" s="45"/>
      <c r="Z51" s="45"/>
      <c r="AA51" s="45"/>
      <c r="AH51" s="81">
        <f>H13</f>
        <v>0.32199999999999995</v>
      </c>
      <c r="AI51" s="81">
        <f>I11</f>
        <v>0.61699999999999999</v>
      </c>
      <c r="AQ51" s="82">
        <f>J13</f>
        <v>0.18</v>
      </c>
      <c r="AR51" s="82">
        <f>K11</f>
        <v>0.03</v>
      </c>
      <c r="AY51" s="66">
        <f t="shared" si="16"/>
        <v>70.8</v>
      </c>
      <c r="AZ51" s="66">
        <f t="shared" si="17"/>
        <v>900</v>
      </c>
      <c r="BA51" s="66">
        <f t="shared" si="18"/>
        <v>1000</v>
      </c>
      <c r="BB51" s="22">
        <f t="shared" si="19"/>
        <v>5.0000000000000001E-3</v>
      </c>
    </row>
    <row r="52" spans="2:54" x14ac:dyDescent="0.45">
      <c r="B52" s="45" t="s">
        <v>77</v>
      </c>
      <c r="C52" s="90"/>
      <c r="D52" s="56"/>
      <c r="E52" s="80"/>
      <c r="F52" s="58"/>
      <c r="G52" s="58"/>
      <c r="H52" s="58"/>
      <c r="I52" s="58"/>
      <c r="J52" s="58"/>
      <c r="K52" s="58"/>
      <c r="L52" s="59">
        <f t="shared" si="12"/>
        <v>0</v>
      </c>
      <c r="M52" s="58"/>
      <c r="N52" s="58"/>
      <c r="O52" s="58"/>
      <c r="P52" s="58"/>
      <c r="Q52" s="60" t="e">
        <f t="shared" si="13"/>
        <v>#DIV/0!</v>
      </c>
      <c r="R52" s="61">
        <f t="shared" si="14"/>
        <v>0.43387671059875982</v>
      </c>
      <c r="S52" s="83"/>
      <c r="T52" s="83"/>
      <c r="U52" s="62">
        <f t="shared" si="15"/>
        <v>2021.2824107652905</v>
      </c>
      <c r="V52" s="45"/>
      <c r="W52" s="45"/>
      <c r="X52" s="45"/>
      <c r="Y52" s="45"/>
      <c r="Z52" s="45"/>
      <c r="AA52" s="45"/>
      <c r="AH52" s="81">
        <f>H11</f>
        <v>0.26200000000000001</v>
      </c>
      <c r="AI52" s="81">
        <f>I11</f>
        <v>0.61699999999999999</v>
      </c>
      <c r="AQ52" s="82">
        <f>J11</f>
        <v>0.12</v>
      </c>
      <c r="AR52" s="82">
        <f>K11</f>
        <v>0.03</v>
      </c>
      <c r="AY52" s="66">
        <f t="shared" si="16"/>
        <v>70.8</v>
      </c>
      <c r="AZ52" s="66">
        <f t="shared" si="17"/>
        <v>900</v>
      </c>
      <c r="BA52" s="66">
        <f t="shared" si="18"/>
        <v>1000</v>
      </c>
      <c r="BB52" s="22">
        <f t="shared" si="19"/>
        <v>5.0000000000000001E-3</v>
      </c>
    </row>
    <row r="53" spans="2:54" s="74" customFormat="1" x14ac:dyDescent="0.45">
      <c r="B53" s="45" t="s">
        <v>78</v>
      </c>
      <c r="C53" s="90"/>
      <c r="D53" s="56"/>
      <c r="E53" s="84"/>
      <c r="F53" s="58"/>
      <c r="G53" s="58"/>
      <c r="H53" s="58"/>
      <c r="I53" s="58"/>
      <c r="J53" s="58"/>
      <c r="K53" s="58"/>
      <c r="L53" s="59">
        <f t="shared" si="12"/>
        <v>0</v>
      </c>
      <c r="M53" s="58"/>
      <c r="N53" s="58"/>
      <c r="O53" s="58"/>
      <c r="P53" s="58"/>
      <c r="Q53" s="60" t="e">
        <f t="shared" si="13"/>
        <v>#DIV/0!</v>
      </c>
      <c r="R53" s="61">
        <f t="shared" si="14"/>
        <v>0.43387671059875982</v>
      </c>
      <c r="S53" s="83"/>
      <c r="T53" s="83"/>
      <c r="U53" s="62">
        <f t="shared" si="15"/>
        <v>2021.2824107652905</v>
      </c>
      <c r="V53" s="45"/>
      <c r="W53" s="45"/>
      <c r="X53" s="45"/>
      <c r="Y53" s="45"/>
      <c r="Z53" s="45"/>
      <c r="AA53" s="45"/>
      <c r="AI53" s="74" t="s">
        <v>79</v>
      </c>
      <c r="AQ53" s="52"/>
      <c r="AR53" s="52" t="s">
        <v>79</v>
      </c>
      <c r="AV53" s="52"/>
      <c r="AW53" s="52"/>
      <c r="AY53" s="66">
        <f t="shared" si="16"/>
        <v>70.8</v>
      </c>
      <c r="AZ53" s="66">
        <f t="shared" si="17"/>
        <v>900</v>
      </c>
      <c r="BA53" s="66">
        <f t="shared" si="18"/>
        <v>1000</v>
      </c>
      <c r="BB53" s="22">
        <f t="shared" si="19"/>
        <v>5.0000000000000001E-3</v>
      </c>
    </row>
    <row r="54" spans="2:54" s="74" customFormat="1" x14ac:dyDescent="0.45">
      <c r="B54" s="45" t="s">
        <v>80</v>
      </c>
      <c r="C54" s="90"/>
      <c r="D54" s="56"/>
      <c r="E54" s="80"/>
      <c r="F54" s="58"/>
      <c r="G54" s="58"/>
      <c r="H54" s="58"/>
      <c r="I54" s="58"/>
      <c r="J54" s="58"/>
      <c r="K54" s="58"/>
      <c r="L54" s="59">
        <f t="shared" si="12"/>
        <v>0</v>
      </c>
      <c r="M54" s="58"/>
      <c r="N54" s="58"/>
      <c r="O54" s="58"/>
      <c r="P54" s="58"/>
      <c r="Q54" s="60" t="e">
        <f t="shared" si="13"/>
        <v>#DIV/0!</v>
      </c>
      <c r="R54" s="61">
        <f t="shared" si="14"/>
        <v>0.43387671059875982</v>
      </c>
      <c r="S54" s="83"/>
      <c r="T54" s="83"/>
      <c r="U54" s="62">
        <f t="shared" si="15"/>
        <v>2021.2824107652905</v>
      </c>
      <c r="V54" s="45"/>
      <c r="W54" s="45"/>
      <c r="X54" s="45"/>
      <c r="Y54" s="45"/>
      <c r="Z54" s="45"/>
      <c r="AA54" s="45"/>
      <c r="AQ54" s="52"/>
      <c r="AR54" s="52"/>
      <c r="AV54" s="52"/>
      <c r="AW54" s="52"/>
      <c r="AY54" s="66">
        <f t="shared" si="16"/>
        <v>70.8</v>
      </c>
      <c r="AZ54" s="66">
        <f t="shared" si="17"/>
        <v>900</v>
      </c>
      <c r="BA54" s="66">
        <f t="shared" si="18"/>
        <v>1000</v>
      </c>
      <c r="BB54" s="22">
        <f t="shared" si="19"/>
        <v>5.0000000000000001E-3</v>
      </c>
    </row>
    <row r="55" spans="2:54" s="52" customFormat="1" x14ac:dyDescent="0.45">
      <c r="B55" s="45" t="s">
        <v>81</v>
      </c>
      <c r="C55" s="90"/>
      <c r="D55" s="56"/>
      <c r="E55" s="84"/>
      <c r="F55" s="58"/>
      <c r="G55" s="58"/>
      <c r="H55" s="58"/>
      <c r="I55" s="58"/>
      <c r="J55" s="58"/>
      <c r="K55" s="58"/>
      <c r="L55" s="59">
        <f t="shared" si="12"/>
        <v>0</v>
      </c>
      <c r="M55" s="58"/>
      <c r="N55" s="58"/>
      <c r="O55" s="58"/>
      <c r="P55" s="58"/>
      <c r="Q55" s="60" t="e">
        <f t="shared" si="13"/>
        <v>#DIV/0!</v>
      </c>
      <c r="R55" s="61">
        <f t="shared" si="14"/>
        <v>0.43387671059875982</v>
      </c>
      <c r="S55" s="83"/>
      <c r="T55" s="83"/>
      <c r="U55" s="62">
        <f t="shared" si="15"/>
        <v>2021.2824107652905</v>
      </c>
      <c r="V55" s="45"/>
      <c r="W55" s="45"/>
      <c r="X55" s="45"/>
      <c r="Y55" s="45"/>
      <c r="Z55" s="45"/>
      <c r="AA55" s="45"/>
      <c r="AY55" s="66">
        <f t="shared" si="16"/>
        <v>70.8</v>
      </c>
      <c r="AZ55" s="66">
        <f t="shared" si="17"/>
        <v>900</v>
      </c>
      <c r="BA55" s="66">
        <f t="shared" si="18"/>
        <v>1000</v>
      </c>
      <c r="BB55" s="22">
        <f t="shared" si="19"/>
        <v>5.0000000000000001E-3</v>
      </c>
    </row>
    <row r="56" spans="2:54" s="74" customFormat="1" x14ac:dyDescent="0.45">
      <c r="B56" s="45" t="s">
        <v>505</v>
      </c>
      <c r="C56" s="90"/>
      <c r="D56" s="56"/>
      <c r="E56" s="57"/>
      <c r="F56" s="58"/>
      <c r="G56" s="58"/>
      <c r="H56" s="58"/>
      <c r="I56" s="58"/>
      <c r="J56" s="58"/>
      <c r="K56" s="58"/>
      <c r="L56" s="59">
        <f t="shared" si="12"/>
        <v>0</v>
      </c>
      <c r="M56" s="58"/>
      <c r="N56" s="58"/>
      <c r="O56" s="58"/>
      <c r="P56" s="58"/>
      <c r="Q56" s="60" t="e">
        <f t="shared" si="13"/>
        <v>#DIV/0!</v>
      </c>
      <c r="R56" s="61">
        <f t="shared" si="14"/>
        <v>0.43387671059875982</v>
      </c>
      <c r="S56" s="83"/>
      <c r="T56" s="83"/>
      <c r="U56" s="62">
        <f t="shared" si="15"/>
        <v>2021.2824107652905</v>
      </c>
      <c r="V56" s="45"/>
      <c r="W56" s="45"/>
      <c r="X56" s="45"/>
      <c r="Y56" s="45"/>
      <c r="Z56" s="45"/>
      <c r="AA56" s="45"/>
      <c r="AV56" s="52"/>
      <c r="AW56" s="52"/>
      <c r="AY56" s="66">
        <f t="shared" si="16"/>
        <v>70.8</v>
      </c>
      <c r="AZ56" s="66">
        <f t="shared" si="17"/>
        <v>900</v>
      </c>
      <c r="BA56" s="66">
        <f t="shared" si="18"/>
        <v>1000</v>
      </c>
      <c r="BB56" s="22">
        <f t="shared" si="19"/>
        <v>5.0000000000000001E-3</v>
      </c>
    </row>
    <row r="57" spans="2:54" s="74" customFormat="1" x14ac:dyDescent="0.45">
      <c r="B57" s="45" t="s">
        <v>506</v>
      </c>
      <c r="C57" s="90"/>
      <c r="D57" s="56"/>
      <c r="E57" s="80"/>
      <c r="F57" s="58"/>
      <c r="G57" s="58"/>
      <c r="H57" s="58"/>
      <c r="I57" s="58"/>
      <c r="J57" s="58"/>
      <c r="K57" s="58"/>
      <c r="L57" s="59">
        <f t="shared" si="12"/>
        <v>0</v>
      </c>
      <c r="M57" s="58"/>
      <c r="N57" s="58"/>
      <c r="O57" s="58"/>
      <c r="P57" s="58"/>
      <c r="Q57" s="60" t="e">
        <f t="shared" si="13"/>
        <v>#DIV/0!</v>
      </c>
      <c r="R57" s="61">
        <f t="shared" si="14"/>
        <v>0.43387671059875982</v>
      </c>
      <c r="S57" s="83"/>
      <c r="T57" s="83"/>
      <c r="U57" s="62">
        <f t="shared" si="15"/>
        <v>2021.2824107652905</v>
      </c>
      <c r="V57" s="45"/>
      <c r="W57" s="45"/>
      <c r="X57" s="45"/>
      <c r="Y57" s="45"/>
      <c r="Z57" s="45"/>
      <c r="AA57" s="45"/>
      <c r="AV57" s="52"/>
      <c r="AW57" s="52"/>
      <c r="AY57" s="66">
        <f t="shared" si="16"/>
        <v>70.8</v>
      </c>
      <c r="AZ57" s="66">
        <f t="shared" si="17"/>
        <v>900</v>
      </c>
      <c r="BA57" s="66">
        <f t="shared" si="18"/>
        <v>1000</v>
      </c>
      <c r="BB57" s="22">
        <f t="shared" si="19"/>
        <v>5.0000000000000001E-3</v>
      </c>
    </row>
    <row r="58" spans="2:54" s="52" customFormat="1" ht="15" customHeight="1" x14ac:dyDescent="0.45">
      <c r="B58" s="45" t="s">
        <v>507</v>
      </c>
      <c r="C58" s="90"/>
      <c r="D58" s="56"/>
      <c r="E58" s="84"/>
      <c r="F58" s="58"/>
      <c r="G58" s="58"/>
      <c r="H58" s="58"/>
      <c r="I58" s="58"/>
      <c r="J58" s="58"/>
      <c r="K58" s="58"/>
      <c r="L58" s="59">
        <f t="shared" si="12"/>
        <v>0</v>
      </c>
      <c r="M58" s="58"/>
      <c r="N58" s="58"/>
      <c r="O58" s="58"/>
      <c r="P58" s="58"/>
      <c r="Q58" s="60" t="e">
        <f t="shared" si="13"/>
        <v>#DIV/0!</v>
      </c>
      <c r="R58" s="61">
        <f t="shared" si="14"/>
        <v>0.43387671059875982</v>
      </c>
      <c r="S58" s="83"/>
      <c r="T58" s="83"/>
      <c r="U58" s="62">
        <f t="shared" si="15"/>
        <v>2021.2824107652905</v>
      </c>
      <c r="V58" s="45"/>
      <c r="W58" s="45"/>
      <c r="X58" s="45"/>
      <c r="Y58" s="45"/>
      <c r="Z58" s="45"/>
      <c r="AA58" s="45"/>
      <c r="AY58" s="66">
        <f t="shared" si="16"/>
        <v>70.8</v>
      </c>
      <c r="AZ58" s="66">
        <f t="shared" si="17"/>
        <v>900</v>
      </c>
      <c r="BA58" s="66">
        <f t="shared" si="18"/>
        <v>1000</v>
      </c>
      <c r="BB58" s="22">
        <f t="shared" si="19"/>
        <v>5.0000000000000001E-3</v>
      </c>
    </row>
    <row r="59" spans="2:54" s="74" customFormat="1" x14ac:dyDescent="0.45">
      <c r="B59" s="45" t="s">
        <v>508</v>
      </c>
      <c r="C59" s="90"/>
      <c r="D59" s="56"/>
      <c r="E59" s="57"/>
      <c r="F59" s="58"/>
      <c r="G59" s="58"/>
      <c r="H59" s="58"/>
      <c r="I59" s="58"/>
      <c r="J59" s="58"/>
      <c r="K59" s="58"/>
      <c r="L59" s="59">
        <f t="shared" si="12"/>
        <v>0</v>
      </c>
      <c r="M59" s="58"/>
      <c r="N59" s="58"/>
      <c r="O59" s="58"/>
      <c r="P59" s="58"/>
      <c r="Q59" s="60" t="e">
        <f t="shared" si="13"/>
        <v>#DIV/0!</v>
      </c>
      <c r="R59" s="61">
        <f t="shared" si="14"/>
        <v>0.43387671059875982</v>
      </c>
      <c r="S59" s="83"/>
      <c r="T59" s="83"/>
      <c r="U59" s="62">
        <f t="shared" si="15"/>
        <v>2021.2824107652905</v>
      </c>
      <c r="V59" s="45"/>
      <c r="W59" s="45"/>
      <c r="X59" s="45"/>
      <c r="Y59" s="45"/>
      <c r="Z59" s="45"/>
      <c r="AA59" s="45"/>
      <c r="AV59" s="52"/>
      <c r="AW59" s="52"/>
      <c r="AY59" s="66">
        <f t="shared" si="16"/>
        <v>70.8</v>
      </c>
      <c r="AZ59" s="66">
        <f t="shared" si="17"/>
        <v>900</v>
      </c>
      <c r="BA59" s="66">
        <f t="shared" si="18"/>
        <v>1000</v>
      </c>
      <c r="BB59" s="22">
        <f t="shared" si="19"/>
        <v>5.0000000000000001E-3</v>
      </c>
    </row>
    <row r="60" spans="2:54" s="74" customFormat="1" x14ac:dyDescent="0.45">
      <c r="B60" s="45" t="s">
        <v>509</v>
      </c>
      <c r="C60" s="90"/>
      <c r="D60" s="56"/>
      <c r="E60" s="80"/>
      <c r="F60" s="58"/>
      <c r="G60" s="58"/>
      <c r="H60" s="58"/>
      <c r="I60" s="58"/>
      <c r="J60" s="58"/>
      <c r="K60" s="58"/>
      <c r="L60" s="59">
        <f t="shared" si="12"/>
        <v>0</v>
      </c>
      <c r="M60" s="58"/>
      <c r="N60" s="58"/>
      <c r="O60" s="58"/>
      <c r="P60" s="58"/>
      <c r="Q60" s="60" t="e">
        <f t="shared" si="13"/>
        <v>#DIV/0!</v>
      </c>
      <c r="R60" s="61">
        <f t="shared" si="14"/>
        <v>0.43387671059875982</v>
      </c>
      <c r="S60" s="83"/>
      <c r="T60" s="83"/>
      <c r="U60" s="62">
        <f t="shared" si="15"/>
        <v>2021.2824107652905</v>
      </c>
      <c r="V60" s="45"/>
      <c r="W60" s="45"/>
      <c r="X60" s="45"/>
      <c r="Y60" s="45"/>
      <c r="Z60" s="45"/>
      <c r="AA60" s="45"/>
      <c r="AV60" s="52"/>
      <c r="AW60" s="52"/>
      <c r="AY60" s="66">
        <f t="shared" si="16"/>
        <v>70.8</v>
      </c>
      <c r="AZ60" s="66">
        <f t="shared" si="17"/>
        <v>900</v>
      </c>
      <c r="BA60" s="66">
        <f t="shared" si="18"/>
        <v>1000</v>
      </c>
      <c r="BB60" s="22">
        <f t="shared" si="19"/>
        <v>5.0000000000000001E-3</v>
      </c>
    </row>
    <row r="61" spans="2:54" x14ac:dyDescent="0.45">
      <c r="B61" s="45" t="s">
        <v>510</v>
      </c>
      <c r="C61" s="90"/>
      <c r="D61" s="56"/>
      <c r="E61" s="57"/>
      <c r="F61" s="58"/>
      <c r="G61" s="58"/>
      <c r="H61" s="58"/>
      <c r="I61" s="58"/>
      <c r="J61" s="58"/>
      <c r="K61" s="58"/>
      <c r="L61" s="59">
        <f t="shared" si="12"/>
        <v>0</v>
      </c>
      <c r="M61" s="58"/>
      <c r="N61" s="58"/>
      <c r="O61" s="58"/>
      <c r="P61" s="58"/>
      <c r="Q61" s="60" t="e">
        <f t="shared" si="13"/>
        <v>#DIV/0!</v>
      </c>
      <c r="R61" s="61">
        <f t="shared" si="14"/>
        <v>0.43387671059875982</v>
      </c>
      <c r="S61" s="83"/>
      <c r="T61" s="83"/>
      <c r="U61" s="62">
        <f t="shared" si="15"/>
        <v>2021.2824107652905</v>
      </c>
      <c r="V61" s="45"/>
      <c r="W61" s="45"/>
      <c r="X61" s="45"/>
      <c r="Y61" s="45"/>
      <c r="Z61" s="45"/>
      <c r="AA61" s="45"/>
      <c r="AY61" s="66">
        <f t="shared" si="16"/>
        <v>70.8</v>
      </c>
      <c r="AZ61" s="66">
        <f t="shared" si="17"/>
        <v>900</v>
      </c>
      <c r="BA61" s="66">
        <f t="shared" si="18"/>
        <v>1000</v>
      </c>
      <c r="BB61" s="22">
        <f t="shared" si="19"/>
        <v>5.0000000000000001E-3</v>
      </c>
    </row>
    <row r="62" spans="2:54" x14ac:dyDescent="0.45">
      <c r="B62" s="45" t="s">
        <v>511</v>
      </c>
      <c r="C62" s="90"/>
      <c r="D62" s="56"/>
      <c r="E62" s="84"/>
      <c r="F62" s="58"/>
      <c r="G62" s="58"/>
      <c r="H62" s="58"/>
      <c r="I62" s="58"/>
      <c r="J62" s="58"/>
      <c r="K62" s="58"/>
      <c r="L62" s="59">
        <f t="shared" si="12"/>
        <v>0</v>
      </c>
      <c r="M62" s="58"/>
      <c r="N62" s="58"/>
      <c r="O62" s="58"/>
      <c r="P62" s="58"/>
      <c r="Q62" s="60" t="e">
        <f t="shared" si="13"/>
        <v>#DIV/0!</v>
      </c>
      <c r="R62" s="61">
        <f t="shared" si="14"/>
        <v>0.43387671059875982</v>
      </c>
      <c r="S62" s="83"/>
      <c r="T62" s="83"/>
      <c r="U62" s="62">
        <f t="shared" si="15"/>
        <v>2021.2824107652905</v>
      </c>
      <c r="V62" s="45"/>
      <c r="W62" s="45"/>
      <c r="X62" s="45"/>
      <c r="Y62" s="45"/>
      <c r="Z62" s="45"/>
      <c r="AA62" s="45"/>
      <c r="AY62" s="66">
        <f t="shared" si="16"/>
        <v>70.8</v>
      </c>
      <c r="AZ62" s="66">
        <f t="shared" si="17"/>
        <v>900</v>
      </c>
      <c r="BA62" s="66">
        <f t="shared" si="18"/>
        <v>1000</v>
      </c>
      <c r="BB62" s="22">
        <f t="shared" si="19"/>
        <v>5.0000000000000001E-3</v>
      </c>
    </row>
    <row r="63" spans="2:54" x14ac:dyDescent="0.45">
      <c r="B63" s="45" t="s">
        <v>512</v>
      </c>
      <c r="C63" s="90"/>
      <c r="D63" s="56"/>
      <c r="E63" s="57"/>
      <c r="F63" s="58"/>
      <c r="G63" s="58"/>
      <c r="H63" s="58"/>
      <c r="I63" s="58"/>
      <c r="J63" s="58"/>
      <c r="K63" s="58"/>
      <c r="L63" s="59">
        <f t="shared" si="12"/>
        <v>0</v>
      </c>
      <c r="M63" s="58"/>
      <c r="N63" s="58"/>
      <c r="O63" s="58"/>
      <c r="P63" s="58"/>
      <c r="Q63" s="60" t="e">
        <f t="shared" si="13"/>
        <v>#DIV/0!</v>
      </c>
      <c r="R63" s="61">
        <f t="shared" si="14"/>
        <v>0.43387671059875982</v>
      </c>
      <c r="S63" s="83"/>
      <c r="T63" s="83"/>
      <c r="U63" s="62">
        <f t="shared" si="15"/>
        <v>2021.2824107652905</v>
      </c>
      <c r="V63" s="45"/>
      <c r="W63" s="45"/>
      <c r="X63" s="45"/>
      <c r="Y63" s="45"/>
      <c r="Z63" s="45"/>
      <c r="AA63" s="45"/>
      <c r="AY63" s="66">
        <f t="shared" si="16"/>
        <v>70.8</v>
      </c>
      <c r="AZ63" s="66">
        <f t="shared" si="17"/>
        <v>900</v>
      </c>
      <c r="BA63" s="66">
        <f t="shared" si="18"/>
        <v>1000</v>
      </c>
      <c r="BB63" s="22">
        <f t="shared" si="19"/>
        <v>5.0000000000000001E-3</v>
      </c>
    </row>
    <row r="64" spans="2:54" x14ac:dyDescent="0.45">
      <c r="B64" s="45" t="s">
        <v>513</v>
      </c>
      <c r="C64" s="90"/>
      <c r="D64" s="56"/>
      <c r="E64" s="80"/>
      <c r="F64" s="58"/>
      <c r="G64" s="58"/>
      <c r="H64" s="58"/>
      <c r="I64" s="58"/>
      <c r="J64" s="58"/>
      <c r="K64" s="58"/>
      <c r="L64" s="59">
        <f t="shared" si="12"/>
        <v>0</v>
      </c>
      <c r="M64" s="58"/>
      <c r="N64" s="58"/>
      <c r="O64" s="58"/>
      <c r="P64" s="58"/>
      <c r="Q64" s="60" t="e">
        <f t="shared" si="13"/>
        <v>#DIV/0!</v>
      </c>
      <c r="R64" s="61">
        <f t="shared" si="14"/>
        <v>0.43387671059875982</v>
      </c>
      <c r="S64" s="68"/>
      <c r="T64" s="97"/>
      <c r="U64" s="62">
        <f t="shared" si="15"/>
        <v>2021.2824107652905</v>
      </c>
      <c r="V64" s="45"/>
      <c r="W64" s="45"/>
      <c r="X64" s="45"/>
      <c r="Y64" s="45"/>
      <c r="Z64" s="45"/>
      <c r="AA64" s="45"/>
      <c r="AY64" s="66">
        <f t="shared" si="16"/>
        <v>70.8</v>
      </c>
      <c r="AZ64" s="66">
        <f t="shared" si="17"/>
        <v>900</v>
      </c>
      <c r="BA64" s="66">
        <f t="shared" si="18"/>
        <v>1000</v>
      </c>
      <c r="BB64" s="22">
        <f t="shared" si="19"/>
        <v>5.0000000000000001E-3</v>
      </c>
    </row>
    <row r="65" spans="2:54" x14ac:dyDescent="0.45">
      <c r="B65" s="45" t="s">
        <v>514</v>
      </c>
      <c r="C65" s="90"/>
      <c r="D65" s="56"/>
      <c r="E65" s="84"/>
      <c r="F65" s="58"/>
      <c r="G65" s="58"/>
      <c r="H65" s="58"/>
      <c r="I65" s="58"/>
      <c r="J65" s="58"/>
      <c r="K65" s="58"/>
      <c r="L65" s="59">
        <f t="shared" si="12"/>
        <v>0</v>
      </c>
      <c r="M65" s="58"/>
      <c r="N65" s="58"/>
      <c r="O65" s="58"/>
      <c r="P65" s="58"/>
      <c r="Q65" s="60" t="e">
        <f t="shared" si="13"/>
        <v>#DIV/0!</v>
      </c>
      <c r="R65" s="61">
        <f t="shared" si="14"/>
        <v>0.43387671059875982</v>
      </c>
      <c r="S65" s="68"/>
      <c r="T65" s="97"/>
      <c r="U65" s="62">
        <f t="shared" si="15"/>
        <v>2021.2824107652905</v>
      </c>
      <c r="V65" s="45"/>
      <c r="W65" s="45"/>
      <c r="X65" s="45"/>
      <c r="Y65" s="45"/>
      <c r="Z65" s="45"/>
      <c r="AA65" s="45"/>
      <c r="AY65" s="66">
        <f t="shared" si="16"/>
        <v>70.8</v>
      </c>
      <c r="AZ65" s="66">
        <f t="shared" si="17"/>
        <v>900</v>
      </c>
      <c r="BA65" s="66">
        <f t="shared" si="18"/>
        <v>1000</v>
      </c>
      <c r="BB65" s="22">
        <f t="shared" si="19"/>
        <v>5.0000000000000001E-3</v>
      </c>
    </row>
    <row r="66" spans="2:54" x14ac:dyDescent="0.45">
      <c r="B66" s="45" t="s">
        <v>515</v>
      </c>
      <c r="C66" s="90"/>
      <c r="D66" s="56"/>
      <c r="E66" s="57"/>
      <c r="F66" s="58"/>
      <c r="G66" s="58"/>
      <c r="H66" s="58"/>
      <c r="I66" s="58"/>
      <c r="J66" s="58"/>
      <c r="K66" s="58"/>
      <c r="L66" s="59">
        <f t="shared" si="12"/>
        <v>0</v>
      </c>
      <c r="M66" s="58"/>
      <c r="N66" s="58"/>
      <c r="O66" s="58"/>
      <c r="P66" s="58"/>
      <c r="Q66" s="60" t="e">
        <f t="shared" si="13"/>
        <v>#DIV/0!</v>
      </c>
      <c r="R66" s="61">
        <f t="shared" si="14"/>
        <v>0.43387671059875982</v>
      </c>
      <c r="S66" s="68"/>
      <c r="T66" s="97"/>
      <c r="U66" s="62">
        <f t="shared" si="15"/>
        <v>2021.2824107652905</v>
      </c>
      <c r="V66" s="45"/>
      <c r="W66" s="45"/>
      <c r="X66" s="45"/>
      <c r="Y66" s="45"/>
      <c r="Z66" s="45"/>
      <c r="AA66" s="45"/>
      <c r="AY66" s="66">
        <f t="shared" si="16"/>
        <v>70.8</v>
      </c>
      <c r="AZ66" s="66">
        <f t="shared" si="17"/>
        <v>900</v>
      </c>
      <c r="BA66" s="66">
        <f t="shared" si="18"/>
        <v>1000</v>
      </c>
      <c r="BB66" s="22">
        <f t="shared" si="19"/>
        <v>5.0000000000000001E-3</v>
      </c>
    </row>
    <row r="67" spans="2:54" x14ac:dyDescent="0.45">
      <c r="B67" s="45" t="s">
        <v>516</v>
      </c>
      <c r="C67" s="90"/>
      <c r="D67" s="56"/>
      <c r="E67" s="80"/>
      <c r="F67" s="58"/>
      <c r="G67" s="58"/>
      <c r="H67" s="58"/>
      <c r="I67" s="58"/>
      <c r="J67" s="58"/>
      <c r="K67" s="58"/>
      <c r="L67" s="59">
        <f t="shared" si="12"/>
        <v>0</v>
      </c>
      <c r="M67" s="58"/>
      <c r="N67" s="58"/>
      <c r="O67" s="58"/>
      <c r="P67" s="58"/>
      <c r="Q67" s="60" t="e">
        <f t="shared" si="13"/>
        <v>#DIV/0!</v>
      </c>
      <c r="R67" s="61">
        <f t="shared" si="14"/>
        <v>0.43387671059875982</v>
      </c>
      <c r="S67" s="68"/>
      <c r="T67" s="97"/>
      <c r="U67" s="62">
        <f t="shared" si="15"/>
        <v>2021.2824107652905</v>
      </c>
      <c r="V67" s="45"/>
      <c r="W67" s="45"/>
      <c r="X67" s="45"/>
      <c r="Y67" s="45"/>
      <c r="Z67" s="45"/>
      <c r="AA67" s="45"/>
      <c r="AY67" s="66">
        <f t="shared" si="16"/>
        <v>70.8</v>
      </c>
      <c r="AZ67" s="66">
        <f t="shared" si="17"/>
        <v>900</v>
      </c>
      <c r="BA67" s="66">
        <f t="shared" si="18"/>
        <v>1000</v>
      </c>
      <c r="BB67" s="22">
        <f t="shared" si="19"/>
        <v>5.0000000000000001E-3</v>
      </c>
    </row>
    <row r="68" spans="2:54" x14ac:dyDescent="0.45">
      <c r="B68" s="45" t="s">
        <v>517</v>
      </c>
      <c r="C68" s="90"/>
      <c r="D68" s="56"/>
      <c r="E68" s="84"/>
      <c r="F68" s="58"/>
      <c r="G68" s="58"/>
      <c r="H68" s="58"/>
      <c r="I68" s="58"/>
      <c r="J68" s="58"/>
      <c r="K68" s="58"/>
      <c r="L68" s="59">
        <f t="shared" si="12"/>
        <v>0</v>
      </c>
      <c r="M68" s="58"/>
      <c r="N68" s="58"/>
      <c r="O68" s="58"/>
      <c r="P68" s="58"/>
      <c r="Q68" s="60" t="e">
        <f t="shared" si="13"/>
        <v>#DIV/0!</v>
      </c>
      <c r="R68" s="61">
        <f t="shared" si="14"/>
        <v>0.43387671059875982</v>
      </c>
      <c r="S68" s="68"/>
      <c r="T68" s="97"/>
      <c r="U68" s="62">
        <f t="shared" si="15"/>
        <v>2021.2824107652905</v>
      </c>
      <c r="V68" s="45"/>
      <c r="W68" s="45"/>
      <c r="X68" s="45"/>
      <c r="Y68" s="45"/>
      <c r="Z68" s="45"/>
      <c r="AA68" s="45"/>
      <c r="AY68" s="66">
        <f t="shared" si="16"/>
        <v>70.8</v>
      </c>
      <c r="AZ68" s="66">
        <f t="shared" si="17"/>
        <v>900</v>
      </c>
      <c r="BA68" s="66">
        <f t="shared" si="18"/>
        <v>1000</v>
      </c>
      <c r="BB68" s="22">
        <f t="shared" si="19"/>
        <v>5.0000000000000001E-3</v>
      </c>
    </row>
    <row r="69" spans="2:54" x14ac:dyDescent="0.45">
      <c r="B69" s="45" t="s">
        <v>518</v>
      </c>
      <c r="C69" s="90"/>
      <c r="D69" s="56"/>
      <c r="E69" s="57"/>
      <c r="F69" s="58"/>
      <c r="G69" s="58"/>
      <c r="H69" s="58"/>
      <c r="I69" s="58"/>
      <c r="J69" s="58"/>
      <c r="K69" s="58"/>
      <c r="L69" s="59">
        <f t="shared" si="12"/>
        <v>0</v>
      </c>
      <c r="M69" s="58"/>
      <c r="N69" s="58"/>
      <c r="O69" s="58"/>
      <c r="P69" s="58"/>
      <c r="Q69" s="60" t="e">
        <f t="shared" si="13"/>
        <v>#DIV/0!</v>
      </c>
      <c r="R69" s="61">
        <f t="shared" si="14"/>
        <v>0.43387671059875982</v>
      </c>
      <c r="S69" s="68"/>
      <c r="T69" s="97"/>
      <c r="U69" s="62">
        <f t="shared" si="15"/>
        <v>2021.2824107652905</v>
      </c>
      <c r="V69" s="45"/>
      <c r="W69" s="45"/>
      <c r="X69" s="45"/>
      <c r="Y69" s="45"/>
      <c r="Z69" s="45"/>
      <c r="AA69" s="45"/>
      <c r="AY69" s="66">
        <f t="shared" si="16"/>
        <v>70.8</v>
      </c>
      <c r="AZ69" s="66">
        <f t="shared" si="17"/>
        <v>900</v>
      </c>
      <c r="BA69" s="66">
        <f t="shared" si="18"/>
        <v>1000</v>
      </c>
      <c r="BB69" s="22">
        <f t="shared" si="19"/>
        <v>5.0000000000000001E-3</v>
      </c>
    </row>
    <row r="70" spans="2:54" x14ac:dyDescent="0.45">
      <c r="B70" s="45" t="s">
        <v>519</v>
      </c>
      <c r="C70" s="90"/>
      <c r="D70" s="56"/>
      <c r="E70" s="80"/>
      <c r="F70" s="58"/>
      <c r="G70" s="58"/>
      <c r="H70" s="58"/>
      <c r="I70" s="58"/>
      <c r="J70" s="58"/>
      <c r="K70" s="58"/>
      <c r="L70" s="59">
        <f t="shared" si="12"/>
        <v>0</v>
      </c>
      <c r="M70" s="58"/>
      <c r="N70" s="58"/>
      <c r="O70" s="58"/>
      <c r="P70" s="58"/>
      <c r="Q70" s="60" t="e">
        <f t="shared" si="13"/>
        <v>#DIV/0!</v>
      </c>
      <c r="R70" s="61">
        <f t="shared" si="14"/>
        <v>0.43387671059875982</v>
      </c>
      <c r="S70" s="68"/>
      <c r="T70" s="97"/>
      <c r="U70" s="62">
        <f t="shared" si="15"/>
        <v>2021.2824107652905</v>
      </c>
      <c r="V70" s="45"/>
      <c r="W70" s="45"/>
      <c r="X70" s="45"/>
      <c r="Y70" s="45"/>
      <c r="Z70" s="45"/>
      <c r="AA70" s="45"/>
      <c r="AY70" s="66">
        <f t="shared" si="16"/>
        <v>70.8</v>
      </c>
      <c r="AZ70" s="66">
        <f t="shared" si="17"/>
        <v>900</v>
      </c>
      <c r="BA70" s="66">
        <f t="shared" si="18"/>
        <v>1000</v>
      </c>
      <c r="BB70" s="22">
        <f t="shared" si="19"/>
        <v>5.0000000000000001E-3</v>
      </c>
    </row>
    <row r="71" spans="2:54" x14ac:dyDescent="0.45">
      <c r="B71" s="45" t="s">
        <v>520</v>
      </c>
      <c r="C71" s="90"/>
      <c r="D71" s="56"/>
      <c r="E71" s="80"/>
      <c r="F71" s="58"/>
      <c r="G71" s="58"/>
      <c r="H71" s="58"/>
      <c r="I71" s="58"/>
      <c r="J71" s="58"/>
      <c r="K71" s="58"/>
      <c r="L71" s="59">
        <f t="shared" si="12"/>
        <v>0</v>
      </c>
      <c r="M71" s="58"/>
      <c r="N71" s="58"/>
      <c r="O71" s="58"/>
      <c r="P71" s="58"/>
      <c r="Q71" s="60" t="e">
        <f t="shared" si="13"/>
        <v>#DIV/0!</v>
      </c>
      <c r="R71" s="61">
        <f t="shared" si="14"/>
        <v>0.43387671059875982</v>
      </c>
      <c r="S71" s="68"/>
      <c r="T71" s="97"/>
      <c r="U71" s="62">
        <f t="shared" si="15"/>
        <v>2021.2824107652905</v>
      </c>
      <c r="V71" s="45"/>
      <c r="W71" s="45"/>
      <c r="X71" s="45"/>
      <c r="Y71" s="45"/>
      <c r="Z71" s="45"/>
      <c r="AA71" s="45"/>
      <c r="AY71" s="66">
        <f t="shared" si="16"/>
        <v>70.8</v>
      </c>
      <c r="AZ71" s="66">
        <f t="shared" si="17"/>
        <v>900</v>
      </c>
      <c r="BA71" s="66">
        <f t="shared" si="18"/>
        <v>1000</v>
      </c>
      <c r="BB71" s="22">
        <f t="shared" si="19"/>
        <v>5.0000000000000001E-3</v>
      </c>
    </row>
    <row r="72" spans="2:54" x14ac:dyDescent="0.45">
      <c r="B72" s="45" t="s">
        <v>521</v>
      </c>
      <c r="C72" s="90"/>
      <c r="D72" s="56"/>
      <c r="E72" s="84"/>
      <c r="F72" s="58"/>
      <c r="G72" s="58"/>
      <c r="H72" s="58"/>
      <c r="I72" s="58"/>
      <c r="J72" s="58"/>
      <c r="K72" s="58"/>
      <c r="L72" s="59">
        <f t="shared" si="12"/>
        <v>0</v>
      </c>
      <c r="M72" s="58"/>
      <c r="N72" s="58"/>
      <c r="O72" s="58"/>
      <c r="P72" s="58"/>
      <c r="Q72" s="60" t="e">
        <f t="shared" si="13"/>
        <v>#DIV/0!</v>
      </c>
      <c r="R72" s="61">
        <f t="shared" si="14"/>
        <v>0.43387671059875982</v>
      </c>
      <c r="S72" s="68"/>
      <c r="T72" s="97"/>
      <c r="U72" s="62">
        <f t="shared" si="15"/>
        <v>2021.2824107652905</v>
      </c>
      <c r="V72" s="45"/>
      <c r="W72" s="45"/>
      <c r="X72" s="45"/>
      <c r="Y72" s="45"/>
      <c r="Z72" s="45"/>
      <c r="AA72" s="45"/>
      <c r="AY72" s="66">
        <f t="shared" si="16"/>
        <v>70.8</v>
      </c>
      <c r="AZ72" s="66">
        <f t="shared" si="17"/>
        <v>900</v>
      </c>
      <c r="BA72" s="66">
        <f t="shared" si="18"/>
        <v>1000</v>
      </c>
      <c r="BB72" s="22">
        <f t="shared" si="19"/>
        <v>5.0000000000000001E-3</v>
      </c>
    </row>
    <row r="73" spans="2:54" x14ac:dyDescent="0.45">
      <c r="B73" s="45" t="s">
        <v>522</v>
      </c>
      <c r="C73" s="90"/>
      <c r="D73" s="56"/>
      <c r="E73" s="57"/>
      <c r="F73" s="58"/>
      <c r="G73" s="58"/>
      <c r="H73" s="58"/>
      <c r="I73" s="58"/>
      <c r="J73" s="58"/>
      <c r="K73" s="58"/>
      <c r="L73" s="59">
        <f t="shared" si="12"/>
        <v>0</v>
      </c>
      <c r="M73" s="58"/>
      <c r="N73" s="58"/>
      <c r="O73" s="58"/>
      <c r="P73" s="58"/>
      <c r="Q73" s="60" t="e">
        <f t="shared" si="13"/>
        <v>#DIV/0!</v>
      </c>
      <c r="R73" s="61">
        <f t="shared" si="14"/>
        <v>0.43387671059875982</v>
      </c>
      <c r="S73" s="68"/>
      <c r="T73" s="97"/>
      <c r="U73" s="62">
        <f t="shared" si="15"/>
        <v>2021.2824107652905</v>
      </c>
      <c r="V73" s="45"/>
      <c r="W73" s="45"/>
      <c r="X73" s="45"/>
      <c r="Y73" s="45"/>
      <c r="Z73" s="45"/>
      <c r="AA73" s="45"/>
      <c r="AY73" s="66">
        <f t="shared" si="16"/>
        <v>70.8</v>
      </c>
      <c r="AZ73" s="66">
        <f t="shared" si="17"/>
        <v>900</v>
      </c>
      <c r="BA73" s="66">
        <f t="shared" si="18"/>
        <v>1000</v>
      </c>
      <c r="BB73" s="22">
        <f t="shared" si="19"/>
        <v>5.0000000000000001E-3</v>
      </c>
    </row>
    <row r="74" spans="2:54" x14ac:dyDescent="0.45">
      <c r="B74" s="45" t="s">
        <v>523</v>
      </c>
      <c r="C74" s="90"/>
      <c r="D74" s="56"/>
      <c r="E74" s="80"/>
      <c r="F74" s="58"/>
      <c r="G74" s="58"/>
      <c r="H74" s="58"/>
      <c r="I74" s="58"/>
      <c r="J74" s="58"/>
      <c r="K74" s="58"/>
      <c r="L74" s="59">
        <f t="shared" si="12"/>
        <v>0</v>
      </c>
      <c r="M74" s="58"/>
      <c r="N74" s="58"/>
      <c r="O74" s="58"/>
      <c r="P74" s="58"/>
      <c r="Q74" s="60" t="e">
        <f t="shared" si="13"/>
        <v>#DIV/0!</v>
      </c>
      <c r="R74" s="61">
        <f t="shared" si="14"/>
        <v>0.43387671059875982</v>
      </c>
      <c r="S74" s="68"/>
      <c r="T74" s="97"/>
      <c r="U74" s="62">
        <f t="shared" si="15"/>
        <v>2021.2824107652905</v>
      </c>
      <c r="V74" s="45"/>
      <c r="W74" s="45"/>
      <c r="X74" s="45"/>
      <c r="Y74" s="45"/>
      <c r="Z74" s="45"/>
      <c r="AA74" s="45"/>
      <c r="AY74" s="66">
        <f t="shared" si="16"/>
        <v>70.8</v>
      </c>
      <c r="AZ74" s="66">
        <f t="shared" si="17"/>
        <v>900</v>
      </c>
      <c r="BA74" s="66">
        <f t="shared" si="18"/>
        <v>1000</v>
      </c>
      <c r="BB74" s="22">
        <f t="shared" si="19"/>
        <v>5.0000000000000001E-3</v>
      </c>
    </row>
    <row r="75" spans="2:54" x14ac:dyDescent="0.45">
      <c r="B75" s="45" t="s">
        <v>524</v>
      </c>
      <c r="C75" s="90"/>
      <c r="D75" s="56"/>
      <c r="E75" s="84"/>
      <c r="F75" s="58"/>
      <c r="G75" s="58"/>
      <c r="H75" s="58"/>
      <c r="I75" s="58"/>
      <c r="J75" s="58"/>
      <c r="K75" s="58"/>
      <c r="L75" s="59">
        <f t="shared" si="12"/>
        <v>0</v>
      </c>
      <c r="M75" s="58"/>
      <c r="N75" s="58"/>
      <c r="O75" s="58"/>
      <c r="P75" s="58"/>
      <c r="Q75" s="60" t="e">
        <f t="shared" si="13"/>
        <v>#DIV/0!</v>
      </c>
      <c r="R75" s="61">
        <f t="shared" si="14"/>
        <v>0.43387671059875982</v>
      </c>
      <c r="S75" s="68"/>
      <c r="T75" s="97"/>
      <c r="U75" s="62">
        <f t="shared" si="15"/>
        <v>2021.2824107652905</v>
      </c>
      <c r="V75" s="45"/>
      <c r="W75" s="45"/>
      <c r="X75" s="45"/>
      <c r="Y75" s="45"/>
      <c r="Z75" s="45"/>
      <c r="AA75" s="45"/>
      <c r="AY75" s="66">
        <f t="shared" si="16"/>
        <v>70.8</v>
      </c>
      <c r="AZ75" s="66">
        <f t="shared" si="17"/>
        <v>900</v>
      </c>
      <c r="BA75" s="66">
        <f t="shared" si="18"/>
        <v>1000</v>
      </c>
      <c r="BB75" s="22">
        <f t="shared" si="19"/>
        <v>5.0000000000000001E-3</v>
      </c>
    </row>
    <row r="76" spans="2:54" x14ac:dyDescent="0.45">
      <c r="B76" s="45" t="s">
        <v>525</v>
      </c>
      <c r="C76" s="90"/>
      <c r="D76" s="56"/>
      <c r="E76" s="80"/>
      <c r="F76" s="58"/>
      <c r="G76" s="58"/>
      <c r="H76" s="58"/>
      <c r="I76" s="58"/>
      <c r="J76" s="58"/>
      <c r="K76" s="58"/>
      <c r="L76" s="59">
        <f t="shared" si="12"/>
        <v>0</v>
      </c>
      <c r="M76" s="58"/>
      <c r="N76" s="58"/>
      <c r="O76" s="58"/>
      <c r="P76" s="58"/>
      <c r="Q76" s="60" t="e">
        <f t="shared" si="13"/>
        <v>#DIV/0!</v>
      </c>
      <c r="R76" s="61">
        <f t="shared" si="14"/>
        <v>0.43387671059875982</v>
      </c>
      <c r="S76" s="68"/>
      <c r="T76" s="97"/>
      <c r="U76" s="62">
        <f t="shared" si="15"/>
        <v>2021.2824107652905</v>
      </c>
      <c r="V76" s="45"/>
      <c r="W76" s="45"/>
      <c r="X76" s="45"/>
      <c r="Y76" s="45"/>
      <c r="Z76" s="45"/>
      <c r="AA76" s="45"/>
      <c r="AY76" s="66">
        <f t="shared" si="16"/>
        <v>70.8</v>
      </c>
      <c r="AZ76" s="66">
        <f t="shared" si="17"/>
        <v>900</v>
      </c>
      <c r="BA76" s="66">
        <f t="shared" si="18"/>
        <v>1000</v>
      </c>
      <c r="BB76" s="22">
        <f t="shared" si="19"/>
        <v>5.0000000000000001E-3</v>
      </c>
    </row>
    <row r="77" spans="2:54" x14ac:dyDescent="0.45">
      <c r="B77" s="45" t="s">
        <v>526</v>
      </c>
      <c r="C77" s="90"/>
      <c r="D77" s="56"/>
      <c r="E77" s="57"/>
      <c r="F77" s="58"/>
      <c r="G77" s="58"/>
      <c r="H77" s="58"/>
      <c r="I77" s="58"/>
      <c r="J77" s="58"/>
      <c r="K77" s="58"/>
      <c r="L77" s="59">
        <f t="shared" si="12"/>
        <v>0</v>
      </c>
      <c r="M77" s="58"/>
      <c r="N77" s="58"/>
      <c r="O77" s="58"/>
      <c r="P77" s="58"/>
      <c r="Q77" s="60" t="e">
        <f t="shared" si="13"/>
        <v>#DIV/0!</v>
      </c>
      <c r="R77" s="61">
        <f t="shared" si="14"/>
        <v>0.43387671059875982</v>
      </c>
      <c r="S77" s="68"/>
      <c r="T77" s="97"/>
      <c r="U77" s="62">
        <f t="shared" si="15"/>
        <v>2021.2824107652905</v>
      </c>
      <c r="V77" s="45"/>
      <c r="W77" s="45"/>
      <c r="X77" s="45"/>
      <c r="Y77" s="45"/>
      <c r="Z77" s="45"/>
      <c r="AA77" s="45"/>
      <c r="AY77" s="66">
        <f t="shared" si="16"/>
        <v>70.8</v>
      </c>
      <c r="AZ77" s="66">
        <f t="shared" si="17"/>
        <v>900</v>
      </c>
      <c r="BA77" s="66">
        <f t="shared" si="18"/>
        <v>1000</v>
      </c>
      <c r="BB77" s="22">
        <f t="shared" si="19"/>
        <v>5.0000000000000001E-3</v>
      </c>
    </row>
    <row r="78" spans="2:54" x14ac:dyDescent="0.45">
      <c r="B78" s="45" t="s">
        <v>527</v>
      </c>
      <c r="C78" s="90"/>
      <c r="D78" s="56"/>
      <c r="E78" s="80"/>
      <c r="F78" s="58"/>
      <c r="G78" s="58"/>
      <c r="H78" s="58"/>
      <c r="I78" s="58"/>
      <c r="J78" s="58"/>
      <c r="K78" s="58"/>
      <c r="L78" s="59">
        <f t="shared" si="12"/>
        <v>0</v>
      </c>
      <c r="M78" s="58"/>
      <c r="N78" s="58"/>
      <c r="O78" s="58"/>
      <c r="P78" s="58"/>
      <c r="Q78" s="60" t="e">
        <f t="shared" si="13"/>
        <v>#DIV/0!</v>
      </c>
      <c r="R78" s="61">
        <f t="shared" si="14"/>
        <v>0.43387671059875982</v>
      </c>
      <c r="S78" s="68"/>
      <c r="T78" s="97"/>
      <c r="U78" s="62">
        <f t="shared" si="15"/>
        <v>2021.2824107652905</v>
      </c>
      <c r="V78" s="45"/>
      <c r="W78" s="45"/>
      <c r="X78" s="45"/>
      <c r="Y78" s="45"/>
      <c r="Z78" s="45"/>
      <c r="AA78" s="45"/>
      <c r="AY78" s="66">
        <f t="shared" si="16"/>
        <v>70.8</v>
      </c>
      <c r="AZ78" s="66">
        <f t="shared" si="17"/>
        <v>900</v>
      </c>
      <c r="BA78" s="66">
        <f t="shared" si="18"/>
        <v>1000</v>
      </c>
      <c r="BB78" s="22">
        <f t="shared" si="19"/>
        <v>5.0000000000000001E-3</v>
      </c>
    </row>
    <row r="79" spans="2:54" x14ac:dyDescent="0.45">
      <c r="B79" s="45" t="s">
        <v>528</v>
      </c>
      <c r="C79" s="90"/>
      <c r="D79" s="56"/>
      <c r="E79" s="84"/>
      <c r="F79" s="58"/>
      <c r="G79" s="58"/>
      <c r="H79" s="58"/>
      <c r="I79" s="58"/>
      <c r="J79" s="58"/>
      <c r="K79" s="58"/>
      <c r="L79" s="59">
        <f t="shared" si="12"/>
        <v>0</v>
      </c>
      <c r="M79" s="58"/>
      <c r="N79" s="58"/>
      <c r="O79" s="58"/>
      <c r="P79" s="58"/>
      <c r="Q79" s="60" t="e">
        <f t="shared" si="13"/>
        <v>#DIV/0!</v>
      </c>
      <c r="R79" s="61">
        <f t="shared" si="14"/>
        <v>0.43387671059875982</v>
      </c>
      <c r="S79" s="68"/>
      <c r="T79" s="97"/>
      <c r="U79" s="62">
        <f t="shared" si="15"/>
        <v>2021.2824107652905</v>
      </c>
      <c r="V79" s="45"/>
      <c r="W79" s="45"/>
      <c r="X79" s="45"/>
      <c r="Y79" s="45"/>
      <c r="Z79" s="45"/>
      <c r="AA79" s="45"/>
      <c r="AY79" s="66">
        <f t="shared" si="16"/>
        <v>70.8</v>
      </c>
      <c r="AZ79" s="66">
        <f t="shared" si="17"/>
        <v>900</v>
      </c>
      <c r="BA79" s="66">
        <f t="shared" si="18"/>
        <v>1000</v>
      </c>
      <c r="BB79" s="22">
        <f t="shared" si="19"/>
        <v>5.0000000000000001E-3</v>
      </c>
    </row>
    <row r="80" spans="2:54" x14ac:dyDescent="0.45">
      <c r="B80" s="45" t="s">
        <v>529</v>
      </c>
      <c r="C80" s="90"/>
      <c r="D80" s="56"/>
      <c r="E80" s="57"/>
      <c r="F80" s="58"/>
      <c r="G80" s="58"/>
      <c r="H80" s="58"/>
      <c r="I80" s="58"/>
      <c r="J80" s="58"/>
      <c r="K80" s="58"/>
      <c r="L80" s="59">
        <f t="shared" si="12"/>
        <v>0</v>
      </c>
      <c r="M80" s="58"/>
      <c r="N80" s="58"/>
      <c r="O80" s="58"/>
      <c r="P80" s="58"/>
      <c r="Q80" s="60" t="e">
        <f t="shared" si="13"/>
        <v>#DIV/0!</v>
      </c>
      <c r="R80" s="61">
        <f t="shared" si="14"/>
        <v>0.43387671059875982</v>
      </c>
      <c r="S80" s="68"/>
      <c r="T80" s="97"/>
      <c r="U80" s="62">
        <f t="shared" si="15"/>
        <v>2021.2824107652905</v>
      </c>
      <c r="V80" s="45"/>
      <c r="W80" s="45"/>
      <c r="X80" s="45"/>
      <c r="Y80" s="45"/>
      <c r="Z80" s="45"/>
      <c r="AA80" s="45"/>
      <c r="AY80" s="66">
        <f t="shared" si="16"/>
        <v>70.8</v>
      </c>
      <c r="AZ80" s="66">
        <f t="shared" si="17"/>
        <v>900</v>
      </c>
      <c r="BA80" s="66">
        <f t="shared" si="18"/>
        <v>1000</v>
      </c>
      <c r="BB80" s="22">
        <f t="shared" si="19"/>
        <v>5.0000000000000001E-3</v>
      </c>
    </row>
    <row r="81" spans="2:54" x14ac:dyDescent="0.45">
      <c r="B81" s="45" t="s">
        <v>530</v>
      </c>
      <c r="C81" s="90"/>
      <c r="D81" s="56"/>
      <c r="E81" s="80"/>
      <c r="F81" s="58"/>
      <c r="G81" s="58"/>
      <c r="H81" s="58"/>
      <c r="I81" s="58"/>
      <c r="J81" s="58"/>
      <c r="K81" s="58"/>
      <c r="L81" s="59">
        <f t="shared" si="12"/>
        <v>0</v>
      </c>
      <c r="M81" s="58"/>
      <c r="N81" s="58"/>
      <c r="O81" s="58"/>
      <c r="P81" s="58"/>
      <c r="Q81" s="60" t="e">
        <f t="shared" si="13"/>
        <v>#DIV/0!</v>
      </c>
      <c r="R81" s="61">
        <f t="shared" si="14"/>
        <v>0.43387671059875982</v>
      </c>
      <c r="S81" s="68"/>
      <c r="T81" s="97"/>
      <c r="U81" s="62">
        <f t="shared" si="15"/>
        <v>2021.2824107652905</v>
      </c>
      <c r="V81" s="45"/>
      <c r="W81" s="45"/>
      <c r="X81" s="45"/>
      <c r="Y81" s="45"/>
      <c r="Z81" s="45"/>
      <c r="AA81" s="45"/>
      <c r="AY81" s="66">
        <f t="shared" si="16"/>
        <v>70.8</v>
      </c>
      <c r="AZ81" s="66">
        <f t="shared" si="17"/>
        <v>900</v>
      </c>
      <c r="BA81" s="66">
        <f t="shared" si="18"/>
        <v>1000</v>
      </c>
      <c r="BB81" s="22">
        <f t="shared" si="19"/>
        <v>5.0000000000000001E-3</v>
      </c>
    </row>
    <row r="82" spans="2:54" x14ac:dyDescent="0.45">
      <c r="B82" s="45" t="s">
        <v>531</v>
      </c>
      <c r="C82" s="90"/>
      <c r="D82" s="56"/>
      <c r="E82" s="84"/>
      <c r="F82" s="58"/>
      <c r="G82" s="58"/>
      <c r="H82" s="58"/>
      <c r="I82" s="58"/>
      <c r="J82" s="58"/>
      <c r="K82" s="58"/>
      <c r="L82" s="59">
        <f t="shared" si="12"/>
        <v>0</v>
      </c>
      <c r="M82" s="58"/>
      <c r="N82" s="58"/>
      <c r="O82" s="58"/>
      <c r="P82" s="58"/>
      <c r="Q82" s="60" t="e">
        <f t="shared" si="13"/>
        <v>#DIV/0!</v>
      </c>
      <c r="R82" s="61">
        <f t="shared" si="14"/>
        <v>0.43387671059875982</v>
      </c>
      <c r="S82" s="68"/>
      <c r="T82" s="97"/>
      <c r="U82" s="62">
        <f t="shared" si="15"/>
        <v>2021.2824107652905</v>
      </c>
      <c r="V82" s="45"/>
      <c r="W82" s="45"/>
      <c r="X82" s="45"/>
      <c r="Y82" s="45"/>
      <c r="Z82" s="45"/>
      <c r="AA82" s="45"/>
      <c r="AY82" s="66">
        <f t="shared" si="16"/>
        <v>70.8</v>
      </c>
      <c r="AZ82" s="66">
        <f t="shared" si="17"/>
        <v>900</v>
      </c>
      <c r="BA82" s="66">
        <f t="shared" si="18"/>
        <v>1000</v>
      </c>
      <c r="BB82" s="22">
        <f t="shared" si="19"/>
        <v>5.0000000000000001E-3</v>
      </c>
    </row>
    <row r="83" spans="2:54" ht="16" customHeight="1" x14ac:dyDescent="0.45">
      <c r="B83" s="45" t="s">
        <v>532</v>
      </c>
      <c r="C83" s="90"/>
      <c r="D83" s="56"/>
      <c r="E83" s="57"/>
      <c r="F83" s="58"/>
      <c r="G83" s="58"/>
      <c r="H83" s="58"/>
      <c r="I83" s="58"/>
      <c r="J83" s="58"/>
      <c r="K83" s="58"/>
      <c r="L83" s="59">
        <f t="shared" si="12"/>
        <v>0</v>
      </c>
      <c r="M83" s="58"/>
      <c r="N83" s="58"/>
      <c r="O83" s="58"/>
      <c r="P83" s="58"/>
      <c r="Q83" s="60" t="e">
        <f t="shared" si="13"/>
        <v>#DIV/0!</v>
      </c>
      <c r="R83" s="61">
        <f t="shared" si="14"/>
        <v>0.43387671059875982</v>
      </c>
      <c r="S83" s="68"/>
      <c r="T83" s="97"/>
      <c r="U83" s="62">
        <f t="shared" si="15"/>
        <v>2021.2824107652905</v>
      </c>
      <c r="V83" s="45"/>
      <c r="W83" s="45"/>
      <c r="X83" s="45"/>
      <c r="Y83" s="45"/>
      <c r="Z83" s="45"/>
      <c r="AA83" s="45"/>
      <c r="AY83" s="66">
        <f t="shared" si="16"/>
        <v>70.8</v>
      </c>
      <c r="AZ83" s="66">
        <f t="shared" si="17"/>
        <v>900</v>
      </c>
      <c r="BA83" s="66">
        <f t="shared" si="18"/>
        <v>1000</v>
      </c>
      <c r="BB83" s="22">
        <f t="shared" si="19"/>
        <v>5.0000000000000001E-3</v>
      </c>
    </row>
    <row r="84" spans="2:54" ht="16" customHeight="1" x14ac:dyDescent="0.45">
      <c r="B84" s="45" t="s">
        <v>533</v>
      </c>
      <c r="C84" s="90"/>
      <c r="D84" s="56"/>
      <c r="E84" s="84"/>
      <c r="F84" s="58"/>
      <c r="G84" s="58"/>
      <c r="H84" s="58"/>
      <c r="I84" s="58"/>
      <c r="J84" s="58"/>
      <c r="K84" s="58"/>
      <c r="L84" s="59">
        <f t="shared" ref="L84:L147" si="20">1/2*((F84*I84+H84*K84+J84*G84)-(G84*H84+I84*J84+K84*F84))/0.1582*100</f>
        <v>0</v>
      </c>
      <c r="M84" s="58"/>
      <c r="N84" s="58"/>
      <c r="O84" s="58"/>
      <c r="P84" s="58"/>
      <c r="Q84" s="60" t="e">
        <f t="shared" ref="Q84:Q147" si="21">O84/P84</f>
        <v>#DIV/0!</v>
      </c>
      <c r="R84" s="61">
        <f t="shared" ref="R84:R147" si="22">SQRT(POWER(M84-$M$12,2)+POWER(N84-$N$12,2))</f>
        <v>0.43387671059875982</v>
      </c>
      <c r="S84" s="68"/>
      <c r="T84" s="97"/>
      <c r="U84" s="62">
        <f t="shared" ref="U84:U147" si="23">(-449*((M84-0.332)/(N84-0.1858))^3)+(3525*((M84-0.332)/(N84-0.1858))^2)+(-6823.3*(M84-0.332)/(N84-0.1858))+5520.33</f>
        <v>2021.2824107652905</v>
      </c>
      <c r="V84" s="45"/>
      <c r="W84" s="45"/>
      <c r="X84" s="45"/>
      <c r="Y84" s="45"/>
      <c r="Z84" s="45"/>
      <c r="AA84" s="45"/>
      <c r="AY84" s="66">
        <f t="shared" si="16"/>
        <v>70.8</v>
      </c>
      <c r="AZ84" s="66">
        <f t="shared" si="17"/>
        <v>900</v>
      </c>
      <c r="BA84" s="66">
        <f t="shared" si="18"/>
        <v>1000</v>
      </c>
      <c r="BB84" s="22">
        <f t="shared" si="19"/>
        <v>5.0000000000000001E-3</v>
      </c>
    </row>
    <row r="85" spans="2:54" ht="16" customHeight="1" x14ac:dyDescent="0.45">
      <c r="B85" s="45" t="s">
        <v>534</v>
      </c>
      <c r="C85" s="90"/>
      <c r="D85" s="56"/>
      <c r="E85" s="57"/>
      <c r="F85" s="58"/>
      <c r="G85" s="58"/>
      <c r="H85" s="58"/>
      <c r="I85" s="58"/>
      <c r="J85" s="58"/>
      <c r="K85" s="58"/>
      <c r="L85" s="59">
        <f t="shared" si="20"/>
        <v>0</v>
      </c>
      <c r="M85" s="58"/>
      <c r="N85" s="58"/>
      <c r="O85" s="58"/>
      <c r="P85" s="58"/>
      <c r="Q85" s="60" t="e">
        <f t="shared" si="21"/>
        <v>#DIV/0!</v>
      </c>
      <c r="R85" s="61">
        <f t="shared" si="22"/>
        <v>0.43387671059875982</v>
      </c>
      <c r="S85" s="68"/>
      <c r="T85" s="97"/>
      <c r="U85" s="62">
        <f t="shared" si="23"/>
        <v>2021.2824107652905</v>
      </c>
      <c r="V85" s="45"/>
      <c r="W85" s="45"/>
      <c r="X85" s="45"/>
      <c r="Y85" s="45"/>
      <c r="Z85" s="45"/>
      <c r="AA85" s="45"/>
      <c r="AY85" s="66">
        <f t="shared" si="16"/>
        <v>70.8</v>
      </c>
      <c r="AZ85" s="66">
        <f t="shared" si="17"/>
        <v>900</v>
      </c>
      <c r="BA85" s="66">
        <f t="shared" si="18"/>
        <v>1000</v>
      </c>
      <c r="BB85" s="22">
        <f t="shared" si="19"/>
        <v>5.0000000000000001E-3</v>
      </c>
    </row>
    <row r="86" spans="2:54" ht="16" customHeight="1" x14ac:dyDescent="0.45">
      <c r="B86" s="45" t="s">
        <v>535</v>
      </c>
      <c r="C86" s="90"/>
      <c r="D86" s="56"/>
      <c r="E86" s="80"/>
      <c r="F86" s="58"/>
      <c r="G86" s="58"/>
      <c r="H86" s="58"/>
      <c r="I86" s="58"/>
      <c r="J86" s="58"/>
      <c r="K86" s="58"/>
      <c r="L86" s="59">
        <f t="shared" si="20"/>
        <v>0</v>
      </c>
      <c r="M86" s="58"/>
      <c r="N86" s="58"/>
      <c r="O86" s="58"/>
      <c r="P86" s="58"/>
      <c r="Q86" s="60" t="e">
        <f t="shared" si="21"/>
        <v>#DIV/0!</v>
      </c>
      <c r="R86" s="61">
        <f t="shared" si="22"/>
        <v>0.43387671059875982</v>
      </c>
      <c r="S86" s="68"/>
      <c r="T86" s="97"/>
      <c r="U86" s="62">
        <f t="shared" si="23"/>
        <v>2021.2824107652905</v>
      </c>
      <c r="V86" s="45"/>
      <c r="W86" s="45"/>
      <c r="X86" s="45"/>
      <c r="Y86" s="45"/>
      <c r="Z86" s="45"/>
      <c r="AA86" s="45"/>
      <c r="AY86" s="66">
        <f t="shared" si="16"/>
        <v>70.8</v>
      </c>
      <c r="AZ86" s="66">
        <f t="shared" si="17"/>
        <v>900</v>
      </c>
      <c r="BA86" s="66">
        <f t="shared" si="18"/>
        <v>1000</v>
      </c>
      <c r="BB86" s="22">
        <f t="shared" si="19"/>
        <v>5.0000000000000001E-3</v>
      </c>
    </row>
    <row r="87" spans="2:54" x14ac:dyDescent="0.45">
      <c r="B87" s="45" t="s">
        <v>536</v>
      </c>
      <c r="C87" s="90"/>
      <c r="D87" s="56"/>
      <c r="E87" s="57"/>
      <c r="F87" s="58"/>
      <c r="G87" s="58"/>
      <c r="H87" s="58"/>
      <c r="I87" s="58"/>
      <c r="J87" s="58"/>
      <c r="K87" s="58"/>
      <c r="L87" s="59">
        <f t="shared" si="20"/>
        <v>0</v>
      </c>
      <c r="M87" s="58"/>
      <c r="N87" s="58"/>
      <c r="O87" s="58"/>
      <c r="P87" s="58"/>
      <c r="Q87" s="60" t="e">
        <f t="shared" si="21"/>
        <v>#DIV/0!</v>
      </c>
      <c r="R87" s="61">
        <f t="shared" si="22"/>
        <v>0.43387671059875982</v>
      </c>
      <c r="S87" s="68"/>
      <c r="T87" s="97"/>
      <c r="U87" s="62">
        <f t="shared" si="23"/>
        <v>2021.2824107652905</v>
      </c>
      <c r="V87" s="45"/>
      <c r="W87" s="45"/>
      <c r="X87" s="45"/>
      <c r="Y87" s="45"/>
      <c r="Z87" s="45"/>
      <c r="AA87" s="45"/>
      <c r="AY87" s="66">
        <f t="shared" ref="AY87:AY96" si="24">$L$11</f>
        <v>70.8</v>
      </c>
      <c r="AZ87" s="66">
        <f t="shared" ref="AZ87:AZ96" si="25">$O$11</f>
        <v>900</v>
      </c>
      <c r="BA87" s="66">
        <f t="shared" ref="BA87:BA96" si="26">$Q$11</f>
        <v>1000</v>
      </c>
      <c r="BB87" s="22">
        <f t="shared" ref="BB87:BB96" si="27">$R$13</f>
        <v>5.0000000000000001E-3</v>
      </c>
    </row>
    <row r="88" spans="2:54" x14ac:dyDescent="0.45">
      <c r="B88" s="45" t="s">
        <v>537</v>
      </c>
      <c r="C88" s="90"/>
      <c r="D88" s="56"/>
      <c r="E88" s="80"/>
      <c r="F88" s="58"/>
      <c r="G88" s="58"/>
      <c r="H88" s="58"/>
      <c r="I88" s="58"/>
      <c r="J88" s="58"/>
      <c r="K88" s="58"/>
      <c r="L88" s="59">
        <f t="shared" si="20"/>
        <v>0</v>
      </c>
      <c r="M88" s="58"/>
      <c r="N88" s="58"/>
      <c r="O88" s="58"/>
      <c r="P88" s="58"/>
      <c r="Q88" s="60" t="e">
        <f t="shared" si="21"/>
        <v>#DIV/0!</v>
      </c>
      <c r="R88" s="61">
        <f t="shared" si="22"/>
        <v>0.43387671059875982</v>
      </c>
      <c r="S88" s="68"/>
      <c r="T88" s="97"/>
      <c r="U88" s="62">
        <f t="shared" si="23"/>
        <v>2021.2824107652905</v>
      </c>
      <c r="V88" s="45"/>
      <c r="W88" s="45"/>
      <c r="X88" s="45"/>
      <c r="Y88" s="45"/>
      <c r="Z88" s="45"/>
      <c r="AA88" s="45"/>
      <c r="AY88" s="66">
        <f t="shared" si="24"/>
        <v>70.8</v>
      </c>
      <c r="AZ88" s="66">
        <f t="shared" si="25"/>
        <v>900</v>
      </c>
      <c r="BA88" s="66">
        <f t="shared" si="26"/>
        <v>1000</v>
      </c>
      <c r="BB88" s="22">
        <f t="shared" si="27"/>
        <v>5.0000000000000001E-3</v>
      </c>
    </row>
    <row r="89" spans="2:54" x14ac:dyDescent="0.45">
      <c r="B89" s="45" t="s">
        <v>538</v>
      </c>
      <c r="C89" s="90"/>
      <c r="D89" s="56"/>
      <c r="E89" s="84"/>
      <c r="F89" s="58"/>
      <c r="G89" s="58"/>
      <c r="H89" s="58"/>
      <c r="I89" s="58"/>
      <c r="J89" s="58"/>
      <c r="K89" s="58"/>
      <c r="L89" s="59">
        <f t="shared" si="20"/>
        <v>0</v>
      </c>
      <c r="M89" s="58"/>
      <c r="N89" s="58"/>
      <c r="O89" s="58"/>
      <c r="P89" s="58"/>
      <c r="Q89" s="60" t="e">
        <f t="shared" si="21"/>
        <v>#DIV/0!</v>
      </c>
      <c r="R89" s="61">
        <f t="shared" si="22"/>
        <v>0.43387671059875982</v>
      </c>
      <c r="S89" s="68"/>
      <c r="T89" s="97"/>
      <c r="U89" s="62">
        <f t="shared" si="23"/>
        <v>2021.2824107652905</v>
      </c>
      <c r="V89" s="45"/>
      <c r="W89" s="45"/>
      <c r="X89" s="45"/>
      <c r="Y89" s="45"/>
      <c r="Z89" s="45"/>
      <c r="AA89" s="45"/>
      <c r="AY89" s="66">
        <f t="shared" si="24"/>
        <v>70.8</v>
      </c>
      <c r="AZ89" s="66">
        <f t="shared" si="25"/>
        <v>900</v>
      </c>
      <c r="BA89" s="66">
        <f t="shared" si="26"/>
        <v>1000</v>
      </c>
      <c r="BB89" s="22">
        <f t="shared" si="27"/>
        <v>5.0000000000000001E-3</v>
      </c>
    </row>
    <row r="90" spans="2:54" x14ac:dyDescent="0.45">
      <c r="B90" s="45" t="s">
        <v>539</v>
      </c>
      <c r="C90" s="90"/>
      <c r="D90" s="56"/>
      <c r="E90" s="57"/>
      <c r="F90" s="58"/>
      <c r="G90" s="58"/>
      <c r="H90" s="58"/>
      <c r="I90" s="58"/>
      <c r="J90" s="58"/>
      <c r="K90" s="58"/>
      <c r="L90" s="59">
        <f t="shared" si="20"/>
        <v>0</v>
      </c>
      <c r="M90" s="58"/>
      <c r="N90" s="58"/>
      <c r="O90" s="58"/>
      <c r="P90" s="58"/>
      <c r="Q90" s="60" t="e">
        <f t="shared" si="21"/>
        <v>#DIV/0!</v>
      </c>
      <c r="R90" s="61">
        <f t="shared" si="22"/>
        <v>0.43387671059875982</v>
      </c>
      <c r="S90" s="68"/>
      <c r="T90" s="97"/>
      <c r="U90" s="62">
        <f t="shared" si="23"/>
        <v>2021.2824107652905</v>
      </c>
      <c r="V90" s="45"/>
      <c r="W90" s="45"/>
      <c r="X90" s="45"/>
      <c r="Y90" s="45"/>
      <c r="Z90" s="45"/>
      <c r="AA90" s="45"/>
      <c r="AY90" s="66">
        <f t="shared" si="24"/>
        <v>70.8</v>
      </c>
      <c r="AZ90" s="66">
        <f t="shared" si="25"/>
        <v>900</v>
      </c>
      <c r="BA90" s="66">
        <f t="shared" si="26"/>
        <v>1000</v>
      </c>
      <c r="BB90" s="22">
        <f t="shared" si="27"/>
        <v>5.0000000000000001E-3</v>
      </c>
    </row>
    <row r="91" spans="2:54" x14ac:dyDescent="0.45">
      <c r="B91" s="45" t="s">
        <v>540</v>
      </c>
      <c r="C91" s="90"/>
      <c r="D91" s="56"/>
      <c r="E91" s="80"/>
      <c r="F91" s="58"/>
      <c r="G91" s="58"/>
      <c r="H91" s="58"/>
      <c r="I91" s="58"/>
      <c r="J91" s="58"/>
      <c r="K91" s="58"/>
      <c r="L91" s="59">
        <f t="shared" si="20"/>
        <v>0</v>
      </c>
      <c r="M91" s="58"/>
      <c r="N91" s="58"/>
      <c r="O91" s="58"/>
      <c r="P91" s="58"/>
      <c r="Q91" s="60" t="e">
        <f t="shared" si="21"/>
        <v>#DIV/0!</v>
      </c>
      <c r="R91" s="61">
        <f t="shared" si="22"/>
        <v>0.43387671059875982</v>
      </c>
      <c r="S91" s="68"/>
      <c r="T91" s="97"/>
      <c r="U91" s="62">
        <f t="shared" si="23"/>
        <v>2021.2824107652905</v>
      </c>
      <c r="V91" s="45"/>
      <c r="W91" s="45"/>
      <c r="X91" s="45"/>
      <c r="Y91" s="45"/>
      <c r="Z91" s="45"/>
      <c r="AA91" s="45"/>
      <c r="AY91" s="66">
        <f t="shared" si="24"/>
        <v>70.8</v>
      </c>
      <c r="AZ91" s="66">
        <f t="shared" si="25"/>
        <v>900</v>
      </c>
      <c r="BA91" s="66">
        <f t="shared" si="26"/>
        <v>1000</v>
      </c>
      <c r="BB91" s="22">
        <f t="shared" si="27"/>
        <v>5.0000000000000001E-3</v>
      </c>
    </row>
    <row r="92" spans="2:54" x14ac:dyDescent="0.45">
      <c r="B92" s="45" t="s">
        <v>541</v>
      </c>
      <c r="C92" s="90"/>
      <c r="D92" s="56"/>
      <c r="E92" s="84"/>
      <c r="F92" s="58"/>
      <c r="G92" s="58"/>
      <c r="H92" s="58"/>
      <c r="I92" s="58"/>
      <c r="J92" s="58"/>
      <c r="K92" s="58"/>
      <c r="L92" s="59">
        <f t="shared" si="20"/>
        <v>0</v>
      </c>
      <c r="M92" s="58"/>
      <c r="N92" s="58"/>
      <c r="O92" s="58"/>
      <c r="P92" s="58"/>
      <c r="Q92" s="60" t="e">
        <f t="shared" si="21"/>
        <v>#DIV/0!</v>
      </c>
      <c r="R92" s="61">
        <f t="shared" si="22"/>
        <v>0.43387671059875982</v>
      </c>
      <c r="S92" s="68"/>
      <c r="T92" s="97"/>
      <c r="U92" s="62">
        <f t="shared" si="23"/>
        <v>2021.2824107652905</v>
      </c>
      <c r="V92" s="45"/>
      <c r="W92" s="45"/>
      <c r="X92" s="45"/>
      <c r="Y92" s="45"/>
      <c r="Z92" s="45"/>
      <c r="AA92" s="45"/>
      <c r="AY92" s="66">
        <f t="shared" si="24"/>
        <v>70.8</v>
      </c>
      <c r="AZ92" s="66">
        <f t="shared" si="25"/>
        <v>900</v>
      </c>
      <c r="BA92" s="66">
        <f t="shared" si="26"/>
        <v>1000</v>
      </c>
      <c r="BB92" s="22">
        <f t="shared" si="27"/>
        <v>5.0000000000000001E-3</v>
      </c>
    </row>
    <row r="93" spans="2:54" x14ac:dyDescent="0.45">
      <c r="B93" s="45" t="s">
        <v>542</v>
      </c>
      <c r="C93" s="90"/>
      <c r="D93" s="56"/>
      <c r="E93" s="57"/>
      <c r="F93" s="58"/>
      <c r="G93" s="58"/>
      <c r="H93" s="58"/>
      <c r="I93" s="58"/>
      <c r="J93" s="58"/>
      <c r="K93" s="58"/>
      <c r="L93" s="59">
        <f t="shared" si="20"/>
        <v>0</v>
      </c>
      <c r="M93" s="58"/>
      <c r="N93" s="58"/>
      <c r="O93" s="58"/>
      <c r="P93" s="58"/>
      <c r="Q93" s="60" t="e">
        <f t="shared" si="21"/>
        <v>#DIV/0!</v>
      </c>
      <c r="R93" s="61">
        <f t="shared" si="22"/>
        <v>0.43387671059875982</v>
      </c>
      <c r="S93" s="68"/>
      <c r="T93" s="97"/>
      <c r="U93" s="62">
        <f t="shared" si="23"/>
        <v>2021.2824107652905</v>
      </c>
      <c r="V93" s="45"/>
      <c r="W93" s="45"/>
      <c r="X93" s="45"/>
      <c r="Y93" s="45"/>
      <c r="Z93" s="45"/>
      <c r="AA93" s="45"/>
      <c r="AY93" s="66">
        <f t="shared" si="24"/>
        <v>70.8</v>
      </c>
      <c r="AZ93" s="66">
        <f t="shared" si="25"/>
        <v>900</v>
      </c>
      <c r="BA93" s="66">
        <f t="shared" si="26"/>
        <v>1000</v>
      </c>
      <c r="BB93" s="22">
        <f t="shared" si="27"/>
        <v>5.0000000000000001E-3</v>
      </c>
    </row>
    <row r="94" spans="2:54" x14ac:dyDescent="0.45">
      <c r="B94" s="45" t="s">
        <v>543</v>
      </c>
      <c r="C94" s="90"/>
      <c r="D94" s="56"/>
      <c r="E94" s="80"/>
      <c r="F94" s="58"/>
      <c r="G94" s="58"/>
      <c r="H94" s="58"/>
      <c r="I94" s="58"/>
      <c r="J94" s="58"/>
      <c r="K94" s="58"/>
      <c r="L94" s="59">
        <f t="shared" si="20"/>
        <v>0</v>
      </c>
      <c r="M94" s="58"/>
      <c r="N94" s="58"/>
      <c r="O94" s="58"/>
      <c r="P94" s="58"/>
      <c r="Q94" s="60" t="e">
        <f t="shared" si="21"/>
        <v>#DIV/0!</v>
      </c>
      <c r="R94" s="61">
        <f t="shared" si="22"/>
        <v>0.43387671059875982</v>
      </c>
      <c r="S94" s="68"/>
      <c r="T94" s="97"/>
      <c r="U94" s="62">
        <f t="shared" si="23"/>
        <v>2021.2824107652905</v>
      </c>
      <c r="V94" s="45"/>
      <c r="W94" s="45"/>
      <c r="X94" s="45"/>
      <c r="Y94" s="45"/>
      <c r="Z94" s="45"/>
      <c r="AA94" s="45"/>
      <c r="AY94" s="66">
        <f t="shared" si="24"/>
        <v>70.8</v>
      </c>
      <c r="AZ94" s="66">
        <f t="shared" si="25"/>
        <v>900</v>
      </c>
      <c r="BA94" s="66">
        <f t="shared" si="26"/>
        <v>1000</v>
      </c>
      <c r="BB94" s="22">
        <f t="shared" si="27"/>
        <v>5.0000000000000001E-3</v>
      </c>
    </row>
    <row r="95" spans="2:54" x14ac:dyDescent="0.45">
      <c r="B95" s="45" t="s">
        <v>544</v>
      </c>
      <c r="C95" s="90"/>
      <c r="D95" s="56"/>
      <c r="E95" s="84"/>
      <c r="F95" s="58"/>
      <c r="G95" s="58"/>
      <c r="H95" s="58"/>
      <c r="I95" s="58"/>
      <c r="J95" s="58"/>
      <c r="K95" s="58"/>
      <c r="L95" s="59">
        <f t="shared" si="20"/>
        <v>0</v>
      </c>
      <c r="M95" s="58"/>
      <c r="N95" s="58"/>
      <c r="O95" s="58"/>
      <c r="P95" s="58"/>
      <c r="Q95" s="60" t="e">
        <f t="shared" si="21"/>
        <v>#DIV/0!</v>
      </c>
      <c r="R95" s="61">
        <f t="shared" si="22"/>
        <v>0.43387671059875982</v>
      </c>
      <c r="S95" s="68"/>
      <c r="T95" s="97"/>
      <c r="U95" s="62">
        <f t="shared" si="23"/>
        <v>2021.2824107652905</v>
      </c>
      <c r="V95" s="45"/>
      <c r="W95" s="45"/>
      <c r="X95" s="45"/>
      <c r="Y95" s="45"/>
      <c r="Z95" s="45"/>
      <c r="AA95" s="45"/>
      <c r="AY95" s="66">
        <f t="shared" si="24"/>
        <v>70.8</v>
      </c>
      <c r="AZ95" s="66">
        <f t="shared" si="25"/>
        <v>900</v>
      </c>
      <c r="BA95" s="66">
        <f t="shared" si="26"/>
        <v>1000</v>
      </c>
      <c r="BB95" s="22">
        <f t="shared" si="27"/>
        <v>5.0000000000000001E-3</v>
      </c>
    </row>
    <row r="96" spans="2:54" x14ac:dyDescent="0.45">
      <c r="B96" s="45" t="s">
        <v>545</v>
      </c>
      <c r="C96" s="90"/>
      <c r="D96" s="56"/>
      <c r="E96" s="57"/>
      <c r="F96" s="58"/>
      <c r="G96" s="58"/>
      <c r="H96" s="58"/>
      <c r="I96" s="58"/>
      <c r="J96" s="58"/>
      <c r="K96" s="58"/>
      <c r="L96" s="59">
        <f t="shared" si="20"/>
        <v>0</v>
      </c>
      <c r="M96" s="58"/>
      <c r="N96" s="58"/>
      <c r="O96" s="58"/>
      <c r="P96" s="58"/>
      <c r="Q96" s="60" t="e">
        <f t="shared" si="21"/>
        <v>#DIV/0!</v>
      </c>
      <c r="R96" s="61">
        <f t="shared" si="22"/>
        <v>0.43387671059875982</v>
      </c>
      <c r="S96" s="68"/>
      <c r="T96" s="97"/>
      <c r="U96" s="62">
        <f t="shared" si="23"/>
        <v>2021.2824107652905</v>
      </c>
      <c r="V96" s="45"/>
      <c r="W96" s="45"/>
      <c r="X96" s="45"/>
      <c r="Y96" s="45"/>
      <c r="Z96" s="45"/>
      <c r="AA96" s="45"/>
      <c r="AY96" s="66">
        <f t="shared" si="24"/>
        <v>70.8</v>
      </c>
      <c r="AZ96" s="66">
        <f t="shared" si="25"/>
        <v>900</v>
      </c>
      <c r="BA96" s="66">
        <f t="shared" si="26"/>
        <v>1000</v>
      </c>
      <c r="BB96" s="22">
        <f t="shared" si="27"/>
        <v>5.0000000000000001E-3</v>
      </c>
    </row>
    <row r="97" spans="2:54" x14ac:dyDescent="0.45">
      <c r="B97" s="45" t="s">
        <v>546</v>
      </c>
      <c r="C97" s="90"/>
      <c r="D97" s="56"/>
      <c r="E97" s="84"/>
      <c r="F97" s="58"/>
      <c r="G97" s="58"/>
      <c r="H97" s="58"/>
      <c r="I97" s="58"/>
      <c r="J97" s="58"/>
      <c r="K97" s="58"/>
      <c r="L97" s="59">
        <f t="shared" si="20"/>
        <v>0</v>
      </c>
      <c r="M97" s="58"/>
      <c r="N97" s="58"/>
      <c r="O97" s="58"/>
      <c r="P97" s="58"/>
      <c r="Q97" s="60" t="e">
        <f t="shared" si="21"/>
        <v>#DIV/0!</v>
      </c>
      <c r="R97" s="61">
        <f t="shared" si="22"/>
        <v>0.43387671059875982</v>
      </c>
      <c r="S97" s="68"/>
      <c r="T97" s="97"/>
      <c r="U97" s="62">
        <f t="shared" si="23"/>
        <v>2021.2824107652905</v>
      </c>
      <c r="V97" s="45"/>
      <c r="W97" s="45"/>
      <c r="X97" s="45"/>
      <c r="Y97" s="45"/>
      <c r="Z97" s="45"/>
      <c r="AA97" s="45"/>
      <c r="AY97" s="66"/>
      <c r="AZ97" s="66"/>
      <c r="BA97" s="66"/>
      <c r="BB97" s="22"/>
    </row>
    <row r="98" spans="2:54" x14ac:dyDescent="0.45">
      <c r="B98" s="45" t="s">
        <v>547</v>
      </c>
      <c r="C98" s="90"/>
      <c r="D98" s="56"/>
      <c r="E98" s="80"/>
      <c r="F98" s="58"/>
      <c r="G98" s="58"/>
      <c r="H98" s="58"/>
      <c r="I98" s="58"/>
      <c r="J98" s="58"/>
      <c r="K98" s="58"/>
      <c r="L98" s="59">
        <f t="shared" si="20"/>
        <v>0</v>
      </c>
      <c r="M98" s="58"/>
      <c r="N98" s="58"/>
      <c r="O98" s="58"/>
      <c r="P98" s="58"/>
      <c r="Q98" s="60" t="e">
        <f t="shared" si="21"/>
        <v>#DIV/0!</v>
      </c>
      <c r="R98" s="61">
        <f t="shared" si="22"/>
        <v>0.43387671059875982</v>
      </c>
      <c r="S98" s="68"/>
      <c r="T98" s="97"/>
      <c r="U98" s="62">
        <f t="shared" si="23"/>
        <v>2021.2824107652905</v>
      </c>
      <c r="V98" s="45"/>
      <c r="W98" s="45"/>
      <c r="X98" s="45"/>
      <c r="Y98" s="45"/>
      <c r="Z98" s="45"/>
      <c r="AA98" s="45"/>
      <c r="AY98" s="66"/>
      <c r="AZ98" s="66"/>
      <c r="BA98" s="66"/>
      <c r="BB98" s="22"/>
    </row>
    <row r="99" spans="2:54" ht="16" customHeight="1" x14ac:dyDescent="0.45">
      <c r="B99" s="45" t="s">
        <v>548</v>
      </c>
      <c r="C99" s="90"/>
      <c r="D99" s="56"/>
      <c r="E99" s="84"/>
      <c r="F99" s="58"/>
      <c r="G99" s="58"/>
      <c r="H99" s="58"/>
      <c r="I99" s="58"/>
      <c r="J99" s="58"/>
      <c r="K99" s="58"/>
      <c r="L99" s="59">
        <f t="shared" si="20"/>
        <v>0</v>
      </c>
      <c r="M99" s="58"/>
      <c r="N99" s="58"/>
      <c r="O99" s="58"/>
      <c r="P99" s="58"/>
      <c r="Q99" s="60" t="e">
        <f t="shared" si="21"/>
        <v>#DIV/0!</v>
      </c>
      <c r="R99" s="61">
        <f t="shared" si="22"/>
        <v>0.43387671059875982</v>
      </c>
      <c r="S99" s="68"/>
      <c r="T99" s="97"/>
      <c r="U99" s="62">
        <f t="shared" si="23"/>
        <v>2021.2824107652905</v>
      </c>
      <c r="V99" s="45"/>
      <c r="W99" s="45"/>
      <c r="X99" s="45"/>
      <c r="Y99" s="45"/>
      <c r="Z99" s="45"/>
      <c r="AA99" s="45"/>
      <c r="AY99" s="66"/>
      <c r="AZ99" s="66"/>
      <c r="BA99" s="66"/>
      <c r="BB99" s="22"/>
    </row>
    <row r="100" spans="2:54" ht="16" customHeight="1" x14ac:dyDescent="0.45">
      <c r="B100" s="45" t="s">
        <v>549</v>
      </c>
      <c r="C100" s="90"/>
      <c r="D100" s="56"/>
      <c r="E100" s="84"/>
      <c r="F100" s="58"/>
      <c r="G100" s="58"/>
      <c r="H100" s="58"/>
      <c r="I100" s="58"/>
      <c r="J100" s="58"/>
      <c r="K100" s="58"/>
      <c r="L100" s="59">
        <f t="shared" si="20"/>
        <v>0</v>
      </c>
      <c r="M100" s="58"/>
      <c r="N100" s="58"/>
      <c r="O100" s="58"/>
      <c r="P100" s="58"/>
      <c r="Q100" s="60" t="e">
        <f t="shared" si="21"/>
        <v>#DIV/0!</v>
      </c>
      <c r="R100" s="61">
        <f t="shared" si="22"/>
        <v>0.43387671059875982</v>
      </c>
      <c r="S100" s="68"/>
      <c r="T100" s="97"/>
      <c r="U100" s="62">
        <f t="shared" si="23"/>
        <v>2021.2824107652905</v>
      </c>
      <c r="V100" s="45"/>
      <c r="W100" s="45"/>
      <c r="X100" s="45"/>
      <c r="Y100" s="45"/>
      <c r="Z100" s="45"/>
      <c r="AA100" s="45"/>
      <c r="AY100" s="66"/>
      <c r="AZ100" s="66"/>
      <c r="BA100" s="66"/>
      <c r="BB100" s="22"/>
    </row>
    <row r="101" spans="2:54" ht="16" customHeight="1" x14ac:dyDescent="0.45">
      <c r="B101" s="45" t="s">
        <v>550</v>
      </c>
      <c r="C101" s="90"/>
      <c r="D101" s="56"/>
      <c r="E101" s="57"/>
      <c r="F101" s="58"/>
      <c r="G101" s="58"/>
      <c r="H101" s="58"/>
      <c r="I101" s="58"/>
      <c r="J101" s="58"/>
      <c r="K101" s="58"/>
      <c r="L101" s="59">
        <f t="shared" si="20"/>
        <v>0</v>
      </c>
      <c r="M101" s="58"/>
      <c r="N101" s="58"/>
      <c r="O101" s="58"/>
      <c r="P101" s="58"/>
      <c r="Q101" s="60" t="e">
        <f t="shared" si="21"/>
        <v>#DIV/0!</v>
      </c>
      <c r="R101" s="61">
        <f t="shared" si="22"/>
        <v>0.43387671059875982</v>
      </c>
      <c r="S101" s="68"/>
      <c r="T101" s="97"/>
      <c r="U101" s="62">
        <f t="shared" si="23"/>
        <v>2021.2824107652905</v>
      </c>
      <c r="V101" s="45"/>
      <c r="W101" s="45"/>
      <c r="X101" s="45"/>
      <c r="Y101" s="45"/>
      <c r="Z101" s="45"/>
      <c r="AA101" s="45"/>
      <c r="AY101" s="66"/>
      <c r="AZ101" s="66"/>
      <c r="BA101" s="66"/>
      <c r="BB101" s="22"/>
    </row>
    <row r="102" spans="2:54" x14ac:dyDescent="0.45">
      <c r="B102" s="45" t="s">
        <v>551</v>
      </c>
      <c r="C102" s="90"/>
      <c r="D102" s="56"/>
      <c r="E102" s="80"/>
      <c r="F102" s="58"/>
      <c r="G102" s="58"/>
      <c r="H102" s="58"/>
      <c r="I102" s="58"/>
      <c r="J102" s="58"/>
      <c r="K102" s="58"/>
      <c r="L102" s="59">
        <f t="shared" si="20"/>
        <v>0</v>
      </c>
      <c r="M102" s="58"/>
      <c r="N102" s="58"/>
      <c r="O102" s="58"/>
      <c r="P102" s="58"/>
      <c r="Q102" s="60" t="e">
        <f t="shared" si="21"/>
        <v>#DIV/0!</v>
      </c>
      <c r="R102" s="61">
        <f t="shared" si="22"/>
        <v>0.43387671059875982</v>
      </c>
      <c r="S102" s="68"/>
      <c r="T102" s="97"/>
      <c r="U102" s="62">
        <f t="shared" si="23"/>
        <v>2021.2824107652905</v>
      </c>
      <c r="V102" s="45"/>
      <c r="W102" s="45"/>
      <c r="X102" s="45"/>
      <c r="Y102" s="45"/>
      <c r="Z102" s="45"/>
      <c r="AA102" s="45"/>
      <c r="AY102" s="66"/>
      <c r="AZ102" s="66"/>
      <c r="BA102" s="66"/>
      <c r="BB102" s="22"/>
    </row>
    <row r="103" spans="2:54" x14ac:dyDescent="0.45">
      <c r="B103" s="45" t="s">
        <v>552</v>
      </c>
      <c r="C103" s="90"/>
      <c r="D103" s="56"/>
      <c r="E103" s="84"/>
      <c r="F103" s="58"/>
      <c r="G103" s="58"/>
      <c r="H103" s="58"/>
      <c r="I103" s="58"/>
      <c r="J103" s="58"/>
      <c r="K103" s="58"/>
      <c r="L103" s="59">
        <f t="shared" si="20"/>
        <v>0</v>
      </c>
      <c r="M103" s="58"/>
      <c r="N103" s="58"/>
      <c r="O103" s="58"/>
      <c r="P103" s="58"/>
      <c r="Q103" s="60" t="e">
        <f t="shared" si="21"/>
        <v>#DIV/0!</v>
      </c>
      <c r="R103" s="61">
        <f t="shared" si="22"/>
        <v>0.43387671059875982</v>
      </c>
      <c r="S103" s="68"/>
      <c r="T103" s="97"/>
      <c r="U103" s="62">
        <f t="shared" si="23"/>
        <v>2021.2824107652905</v>
      </c>
      <c r="V103" s="45"/>
      <c r="W103" s="45"/>
      <c r="X103" s="45"/>
      <c r="Y103" s="45"/>
      <c r="Z103" s="45"/>
      <c r="AA103" s="45"/>
      <c r="AY103" s="66"/>
      <c r="AZ103" s="66"/>
      <c r="BA103" s="66"/>
      <c r="BB103" s="22"/>
    </row>
    <row r="104" spans="2:54" x14ac:dyDescent="0.45">
      <c r="B104" s="45" t="s">
        <v>553</v>
      </c>
      <c r="C104" s="90"/>
      <c r="D104" s="56"/>
      <c r="E104" s="57"/>
      <c r="F104" s="58"/>
      <c r="G104" s="58"/>
      <c r="H104" s="58"/>
      <c r="I104" s="58"/>
      <c r="J104" s="58"/>
      <c r="K104" s="58"/>
      <c r="L104" s="59">
        <f t="shared" si="20"/>
        <v>0</v>
      </c>
      <c r="M104" s="58"/>
      <c r="N104" s="58"/>
      <c r="O104" s="58"/>
      <c r="P104" s="58"/>
      <c r="Q104" s="60" t="e">
        <f t="shared" si="21"/>
        <v>#DIV/0!</v>
      </c>
      <c r="R104" s="61">
        <f t="shared" si="22"/>
        <v>0.43387671059875982</v>
      </c>
      <c r="S104" s="68"/>
      <c r="T104" s="97"/>
      <c r="U104" s="62">
        <f t="shared" si="23"/>
        <v>2021.2824107652905</v>
      </c>
      <c r="V104" s="45"/>
      <c r="W104" s="45"/>
      <c r="X104" s="45"/>
      <c r="Y104" s="45"/>
      <c r="Z104" s="45"/>
      <c r="AA104" s="45"/>
      <c r="AY104" s="66"/>
      <c r="AZ104" s="66"/>
      <c r="BA104" s="66"/>
      <c r="BB104" s="22"/>
    </row>
    <row r="105" spans="2:54" x14ac:dyDescent="0.45">
      <c r="B105" s="45" t="s">
        <v>554</v>
      </c>
      <c r="C105" s="90"/>
      <c r="D105" s="56"/>
      <c r="E105" s="80"/>
      <c r="F105" s="58"/>
      <c r="G105" s="58"/>
      <c r="H105" s="58"/>
      <c r="I105" s="58"/>
      <c r="J105" s="58"/>
      <c r="K105" s="58"/>
      <c r="L105" s="59">
        <f t="shared" si="20"/>
        <v>0</v>
      </c>
      <c r="M105" s="58"/>
      <c r="N105" s="58"/>
      <c r="O105" s="58"/>
      <c r="P105" s="58"/>
      <c r="Q105" s="60" t="e">
        <f t="shared" si="21"/>
        <v>#DIV/0!</v>
      </c>
      <c r="R105" s="61">
        <f t="shared" si="22"/>
        <v>0.43387671059875982</v>
      </c>
      <c r="S105" s="68"/>
      <c r="T105" s="97"/>
      <c r="U105" s="62">
        <f t="shared" si="23"/>
        <v>2021.2824107652905</v>
      </c>
      <c r="V105" s="45"/>
      <c r="W105" s="45"/>
      <c r="X105" s="45"/>
      <c r="Y105" s="45"/>
      <c r="Z105" s="45"/>
      <c r="AA105" s="45"/>
      <c r="AY105" s="66"/>
      <c r="AZ105" s="66"/>
      <c r="BA105" s="66"/>
      <c r="BB105" s="22"/>
    </row>
    <row r="106" spans="2:54" x14ac:dyDescent="0.45">
      <c r="B106" s="45" t="s">
        <v>555</v>
      </c>
      <c r="C106" s="90"/>
      <c r="D106" s="56"/>
      <c r="E106" s="57"/>
      <c r="F106" s="58"/>
      <c r="G106" s="58"/>
      <c r="H106" s="58"/>
      <c r="I106" s="58"/>
      <c r="J106" s="58"/>
      <c r="K106" s="58"/>
      <c r="L106" s="59">
        <f t="shared" si="20"/>
        <v>0</v>
      </c>
      <c r="M106" s="58"/>
      <c r="N106" s="58"/>
      <c r="O106" s="58"/>
      <c r="P106" s="58"/>
      <c r="Q106" s="60" t="e">
        <f t="shared" si="21"/>
        <v>#DIV/0!</v>
      </c>
      <c r="R106" s="61">
        <f t="shared" si="22"/>
        <v>0.43387671059875982</v>
      </c>
      <c r="S106" s="68"/>
      <c r="T106" s="97"/>
      <c r="U106" s="62">
        <f t="shared" si="23"/>
        <v>2021.2824107652905</v>
      </c>
      <c r="V106" s="45"/>
      <c r="W106" s="45"/>
      <c r="X106" s="45"/>
      <c r="Y106" s="45"/>
      <c r="Z106" s="45"/>
      <c r="AA106" s="45"/>
      <c r="AY106" s="66"/>
      <c r="AZ106" s="66"/>
      <c r="BA106" s="66"/>
      <c r="BB106" s="22"/>
    </row>
    <row r="107" spans="2:54" x14ac:dyDescent="0.45">
      <c r="B107" s="45" t="s">
        <v>556</v>
      </c>
      <c r="C107" s="90"/>
      <c r="D107" s="56"/>
      <c r="E107" s="80"/>
      <c r="F107" s="58"/>
      <c r="G107" s="58"/>
      <c r="H107" s="58"/>
      <c r="I107" s="58"/>
      <c r="J107" s="58"/>
      <c r="K107" s="58"/>
      <c r="L107" s="59">
        <f t="shared" si="20"/>
        <v>0</v>
      </c>
      <c r="M107" s="58"/>
      <c r="N107" s="58"/>
      <c r="O107" s="58"/>
      <c r="P107" s="58"/>
      <c r="Q107" s="60" t="e">
        <f t="shared" si="21"/>
        <v>#DIV/0!</v>
      </c>
      <c r="R107" s="61">
        <f t="shared" si="22"/>
        <v>0.43387671059875982</v>
      </c>
      <c r="S107" s="68"/>
      <c r="T107" s="97"/>
      <c r="U107" s="62">
        <f t="shared" si="23"/>
        <v>2021.2824107652905</v>
      </c>
      <c r="V107" s="45"/>
      <c r="W107" s="45"/>
      <c r="X107" s="45"/>
      <c r="Y107" s="45"/>
      <c r="Z107" s="45"/>
      <c r="AA107" s="45"/>
      <c r="AY107" s="66"/>
      <c r="AZ107" s="66"/>
      <c r="BA107" s="66"/>
      <c r="BB107" s="22"/>
    </row>
    <row r="108" spans="2:54" x14ac:dyDescent="0.45">
      <c r="B108" s="45" t="s">
        <v>557</v>
      </c>
      <c r="C108" s="90"/>
      <c r="D108" s="56"/>
      <c r="E108" s="84"/>
      <c r="F108" s="58"/>
      <c r="G108" s="58"/>
      <c r="H108" s="58"/>
      <c r="I108" s="58"/>
      <c r="J108" s="58"/>
      <c r="K108" s="58"/>
      <c r="L108" s="59">
        <f t="shared" si="20"/>
        <v>0</v>
      </c>
      <c r="M108" s="58"/>
      <c r="N108" s="58"/>
      <c r="O108" s="58"/>
      <c r="P108" s="58"/>
      <c r="Q108" s="60" t="e">
        <f t="shared" si="21"/>
        <v>#DIV/0!</v>
      </c>
      <c r="R108" s="61">
        <f t="shared" si="22"/>
        <v>0.43387671059875982</v>
      </c>
      <c r="S108" s="68"/>
      <c r="T108" s="97"/>
      <c r="U108" s="62">
        <f t="shared" si="23"/>
        <v>2021.2824107652905</v>
      </c>
      <c r="V108" s="45"/>
      <c r="W108" s="45"/>
      <c r="X108" s="45"/>
      <c r="Y108" s="45"/>
      <c r="Z108" s="45"/>
      <c r="AA108" s="45"/>
      <c r="AY108" s="66"/>
      <c r="AZ108" s="66"/>
      <c r="BA108" s="66"/>
      <c r="BB108" s="22"/>
    </row>
    <row r="109" spans="2:54" x14ac:dyDescent="0.45">
      <c r="B109" s="45" t="s">
        <v>558</v>
      </c>
      <c r="C109" s="90"/>
      <c r="D109" s="56"/>
      <c r="E109" s="57"/>
      <c r="F109" s="58"/>
      <c r="G109" s="58"/>
      <c r="H109" s="58"/>
      <c r="I109" s="58"/>
      <c r="J109" s="58"/>
      <c r="K109" s="58"/>
      <c r="L109" s="59">
        <f t="shared" si="20"/>
        <v>0</v>
      </c>
      <c r="M109" s="58"/>
      <c r="N109" s="58"/>
      <c r="O109" s="58"/>
      <c r="P109" s="58"/>
      <c r="Q109" s="60" t="e">
        <f t="shared" si="21"/>
        <v>#DIV/0!</v>
      </c>
      <c r="R109" s="61">
        <f t="shared" si="22"/>
        <v>0.43387671059875982</v>
      </c>
      <c r="S109" s="68"/>
      <c r="T109" s="97"/>
      <c r="U109" s="62">
        <f t="shared" si="23"/>
        <v>2021.2824107652905</v>
      </c>
      <c r="V109" s="45"/>
      <c r="W109" s="45"/>
      <c r="X109" s="45"/>
      <c r="Y109" s="45"/>
      <c r="Z109" s="45"/>
      <c r="AA109" s="45"/>
      <c r="AY109" s="66"/>
      <c r="AZ109" s="66"/>
      <c r="BA109" s="66"/>
      <c r="BB109" s="22"/>
    </row>
    <row r="110" spans="2:54" x14ac:dyDescent="0.45">
      <c r="B110" s="45" t="s">
        <v>82</v>
      </c>
      <c r="C110" s="90"/>
      <c r="D110" s="56"/>
      <c r="E110" s="57"/>
      <c r="F110" s="58"/>
      <c r="G110" s="58"/>
      <c r="H110" s="58"/>
      <c r="I110" s="58"/>
      <c r="J110" s="58"/>
      <c r="K110" s="58"/>
      <c r="L110" s="59">
        <f t="shared" si="20"/>
        <v>0</v>
      </c>
      <c r="M110" s="58"/>
      <c r="N110" s="58"/>
      <c r="O110" s="58"/>
      <c r="P110" s="58"/>
      <c r="Q110" s="60" t="e">
        <f t="shared" si="21"/>
        <v>#DIV/0!</v>
      </c>
      <c r="R110" s="61">
        <f t="shared" si="22"/>
        <v>0.43387671059875982</v>
      </c>
      <c r="S110" s="68"/>
      <c r="T110" s="97"/>
      <c r="U110" s="62">
        <f t="shared" si="23"/>
        <v>2021.2824107652905</v>
      </c>
      <c r="V110" s="45"/>
      <c r="W110" s="45"/>
      <c r="X110" s="45"/>
      <c r="Y110" s="45"/>
      <c r="Z110" s="45"/>
      <c r="AA110" s="45"/>
      <c r="AY110" s="66"/>
      <c r="AZ110" s="66"/>
      <c r="BA110" s="66"/>
      <c r="BB110" s="22"/>
    </row>
    <row r="111" spans="2:54" x14ac:dyDescent="0.45">
      <c r="B111" s="45" t="s">
        <v>83</v>
      </c>
      <c r="C111" s="90"/>
      <c r="D111" s="56"/>
      <c r="E111" s="80"/>
      <c r="F111" s="58"/>
      <c r="G111" s="58"/>
      <c r="H111" s="58"/>
      <c r="I111" s="58"/>
      <c r="J111" s="58"/>
      <c r="K111" s="58"/>
      <c r="L111" s="59">
        <f t="shared" si="20"/>
        <v>0</v>
      </c>
      <c r="M111" s="58"/>
      <c r="N111" s="58"/>
      <c r="O111" s="58"/>
      <c r="P111" s="58"/>
      <c r="Q111" s="60" t="e">
        <f t="shared" si="21"/>
        <v>#DIV/0!</v>
      </c>
      <c r="R111" s="61">
        <f t="shared" si="22"/>
        <v>0.43387671059875982</v>
      </c>
      <c r="S111" s="68"/>
      <c r="T111" s="97"/>
      <c r="U111" s="62">
        <f t="shared" si="23"/>
        <v>2021.2824107652905</v>
      </c>
      <c r="V111" s="45"/>
      <c r="W111" s="45"/>
      <c r="X111" s="45"/>
      <c r="Y111" s="45"/>
      <c r="Z111" s="45"/>
      <c r="AA111" s="45"/>
      <c r="AY111" s="66"/>
      <c r="AZ111" s="66"/>
      <c r="BA111" s="66"/>
      <c r="BB111" s="22"/>
    </row>
    <row r="112" spans="2:54" x14ac:dyDescent="0.45">
      <c r="B112" s="45" t="s">
        <v>84</v>
      </c>
      <c r="C112" s="90"/>
      <c r="D112" s="56"/>
      <c r="E112" s="84"/>
      <c r="F112" s="58"/>
      <c r="G112" s="58"/>
      <c r="H112" s="58"/>
      <c r="I112" s="58"/>
      <c r="J112" s="58"/>
      <c r="K112" s="58"/>
      <c r="L112" s="59">
        <f t="shared" si="20"/>
        <v>0</v>
      </c>
      <c r="M112" s="58"/>
      <c r="N112" s="58"/>
      <c r="O112" s="58"/>
      <c r="P112" s="58"/>
      <c r="Q112" s="60" t="e">
        <f t="shared" si="21"/>
        <v>#DIV/0!</v>
      </c>
      <c r="R112" s="61">
        <f t="shared" si="22"/>
        <v>0.43387671059875982</v>
      </c>
      <c r="S112" s="68"/>
      <c r="T112" s="97"/>
      <c r="U112" s="62">
        <f t="shared" si="23"/>
        <v>2021.2824107652905</v>
      </c>
      <c r="V112" s="45"/>
      <c r="W112" s="45"/>
      <c r="X112" s="45"/>
      <c r="Y112" s="45"/>
      <c r="Z112" s="45"/>
      <c r="AA112" s="45"/>
      <c r="AY112" s="66"/>
      <c r="AZ112" s="66"/>
      <c r="BA112" s="66"/>
      <c r="BB112" s="22"/>
    </row>
    <row r="113" spans="2:54" x14ac:dyDescent="0.45">
      <c r="B113" s="45" t="s">
        <v>85</v>
      </c>
      <c r="C113" s="90"/>
      <c r="D113" s="56"/>
      <c r="E113" s="57"/>
      <c r="F113" s="58"/>
      <c r="G113" s="58"/>
      <c r="H113" s="58"/>
      <c r="I113" s="58"/>
      <c r="J113" s="58"/>
      <c r="K113" s="58"/>
      <c r="L113" s="59">
        <f t="shared" si="20"/>
        <v>0</v>
      </c>
      <c r="M113" s="58"/>
      <c r="N113" s="58"/>
      <c r="O113" s="58"/>
      <c r="P113" s="58"/>
      <c r="Q113" s="60" t="e">
        <f t="shared" si="21"/>
        <v>#DIV/0!</v>
      </c>
      <c r="R113" s="61">
        <f t="shared" si="22"/>
        <v>0.43387671059875982</v>
      </c>
      <c r="S113" s="68"/>
      <c r="T113" s="97"/>
      <c r="U113" s="62">
        <f t="shared" si="23"/>
        <v>2021.2824107652905</v>
      </c>
      <c r="V113" s="45"/>
      <c r="W113" s="45"/>
      <c r="X113" s="45"/>
      <c r="Y113" s="45"/>
      <c r="Z113" s="45"/>
      <c r="AA113" s="45"/>
      <c r="AY113" s="66"/>
      <c r="AZ113" s="66"/>
      <c r="BA113" s="66"/>
      <c r="BB113" s="22"/>
    </row>
    <row r="114" spans="2:54" ht="16" customHeight="1" x14ac:dyDescent="0.45">
      <c r="B114" s="45" t="s">
        <v>86</v>
      </c>
      <c r="C114" s="90"/>
      <c r="D114" s="56"/>
      <c r="E114" s="84"/>
      <c r="F114" s="58"/>
      <c r="G114" s="58"/>
      <c r="H114" s="58"/>
      <c r="I114" s="58"/>
      <c r="J114" s="58"/>
      <c r="K114" s="58"/>
      <c r="L114" s="59">
        <f t="shared" si="20"/>
        <v>0</v>
      </c>
      <c r="M114" s="58"/>
      <c r="N114" s="58"/>
      <c r="O114" s="58"/>
      <c r="P114" s="58"/>
      <c r="Q114" s="60" t="e">
        <f t="shared" si="21"/>
        <v>#DIV/0!</v>
      </c>
      <c r="R114" s="61">
        <f t="shared" si="22"/>
        <v>0.43387671059875982</v>
      </c>
      <c r="S114" s="68"/>
      <c r="T114" s="97"/>
      <c r="U114" s="62">
        <f t="shared" si="23"/>
        <v>2021.2824107652905</v>
      </c>
      <c r="V114" s="45"/>
      <c r="W114" s="45"/>
      <c r="X114" s="45"/>
      <c r="Y114" s="45"/>
      <c r="Z114" s="45"/>
      <c r="AA114" s="45"/>
      <c r="AY114" s="66"/>
      <c r="AZ114" s="66"/>
      <c r="BA114" s="66"/>
      <c r="BB114" s="22"/>
    </row>
    <row r="115" spans="2:54" ht="16" customHeight="1" x14ac:dyDescent="0.45">
      <c r="B115" s="45" t="s">
        <v>87</v>
      </c>
      <c r="C115" s="90"/>
      <c r="D115" s="56"/>
      <c r="E115" s="57"/>
      <c r="F115" s="58"/>
      <c r="G115" s="58"/>
      <c r="H115" s="58"/>
      <c r="I115" s="58"/>
      <c r="J115" s="58"/>
      <c r="K115" s="58"/>
      <c r="L115" s="59">
        <f t="shared" si="20"/>
        <v>0</v>
      </c>
      <c r="M115" s="58"/>
      <c r="N115" s="58"/>
      <c r="O115" s="58"/>
      <c r="P115" s="58"/>
      <c r="Q115" s="60" t="e">
        <f t="shared" si="21"/>
        <v>#DIV/0!</v>
      </c>
      <c r="R115" s="61">
        <f t="shared" si="22"/>
        <v>0.43387671059875982</v>
      </c>
      <c r="S115" s="68"/>
      <c r="T115" s="97"/>
      <c r="U115" s="62">
        <f t="shared" si="23"/>
        <v>2021.2824107652905</v>
      </c>
      <c r="V115" s="45"/>
      <c r="W115" s="45"/>
      <c r="X115" s="45"/>
      <c r="Y115" s="45"/>
      <c r="Z115" s="45"/>
      <c r="AA115" s="45"/>
      <c r="AY115" s="66"/>
      <c r="AZ115" s="66"/>
      <c r="BA115" s="66"/>
      <c r="BB115" s="22"/>
    </row>
    <row r="116" spans="2:54" ht="16" customHeight="1" x14ac:dyDescent="0.45">
      <c r="B116" s="45" t="s">
        <v>88</v>
      </c>
      <c r="C116" s="90"/>
      <c r="D116" s="56"/>
      <c r="E116" s="80"/>
      <c r="F116" s="58"/>
      <c r="G116" s="58"/>
      <c r="H116" s="58"/>
      <c r="I116" s="58"/>
      <c r="J116" s="58"/>
      <c r="K116" s="58"/>
      <c r="L116" s="59">
        <f t="shared" si="20"/>
        <v>0</v>
      </c>
      <c r="M116" s="58"/>
      <c r="N116" s="58"/>
      <c r="O116" s="58"/>
      <c r="P116" s="58"/>
      <c r="Q116" s="60" t="e">
        <f t="shared" si="21"/>
        <v>#DIV/0!</v>
      </c>
      <c r="R116" s="61">
        <f t="shared" si="22"/>
        <v>0.43387671059875982</v>
      </c>
      <c r="S116" s="68"/>
      <c r="T116" s="97"/>
      <c r="U116" s="62">
        <f t="shared" si="23"/>
        <v>2021.2824107652905</v>
      </c>
      <c r="V116" s="45"/>
      <c r="W116" s="45"/>
      <c r="X116" s="45"/>
      <c r="Y116" s="45"/>
      <c r="Z116" s="45"/>
      <c r="AA116" s="45"/>
      <c r="AY116" s="66"/>
      <c r="AZ116" s="66"/>
      <c r="BA116" s="66"/>
      <c r="BB116" s="22"/>
    </row>
    <row r="117" spans="2:54" ht="16" customHeight="1" x14ac:dyDescent="0.45">
      <c r="B117" s="45" t="s">
        <v>89</v>
      </c>
      <c r="C117" s="90"/>
      <c r="D117" s="56"/>
      <c r="E117" s="84"/>
      <c r="F117" s="58"/>
      <c r="G117" s="58"/>
      <c r="H117" s="58"/>
      <c r="I117" s="58"/>
      <c r="J117" s="58"/>
      <c r="K117" s="58"/>
      <c r="L117" s="59">
        <f t="shared" si="20"/>
        <v>0</v>
      </c>
      <c r="M117" s="58"/>
      <c r="N117" s="58"/>
      <c r="O117" s="58"/>
      <c r="P117" s="58"/>
      <c r="Q117" s="60" t="e">
        <f t="shared" si="21"/>
        <v>#DIV/0!</v>
      </c>
      <c r="R117" s="61">
        <f t="shared" si="22"/>
        <v>0.43387671059875982</v>
      </c>
      <c r="S117" s="68"/>
      <c r="T117" s="97"/>
      <c r="U117" s="62">
        <f t="shared" si="23"/>
        <v>2021.2824107652905</v>
      </c>
      <c r="V117" s="45"/>
      <c r="W117" s="45"/>
      <c r="X117" s="45"/>
      <c r="Y117" s="45"/>
      <c r="Z117" s="45"/>
      <c r="AA117" s="45"/>
      <c r="AY117" s="66"/>
      <c r="AZ117" s="66"/>
      <c r="BA117" s="66"/>
      <c r="BB117" s="22"/>
    </row>
    <row r="118" spans="2:54" x14ac:dyDescent="0.45">
      <c r="B118" s="45" t="s">
        <v>90</v>
      </c>
      <c r="C118" s="90"/>
      <c r="D118" s="56"/>
      <c r="E118" s="57"/>
      <c r="F118" s="58"/>
      <c r="G118" s="58"/>
      <c r="H118" s="58"/>
      <c r="I118" s="58"/>
      <c r="J118" s="58"/>
      <c r="K118" s="58"/>
      <c r="L118" s="59">
        <f t="shared" si="20"/>
        <v>0</v>
      </c>
      <c r="M118" s="58"/>
      <c r="N118" s="58"/>
      <c r="O118" s="58"/>
      <c r="P118" s="58"/>
      <c r="Q118" s="60" t="e">
        <f t="shared" si="21"/>
        <v>#DIV/0!</v>
      </c>
      <c r="R118" s="61">
        <f t="shared" si="22"/>
        <v>0.43387671059875982</v>
      </c>
      <c r="S118" s="68"/>
      <c r="T118" s="97"/>
      <c r="U118" s="62">
        <f t="shared" si="23"/>
        <v>2021.2824107652905</v>
      </c>
      <c r="V118" s="45"/>
      <c r="W118" s="45"/>
      <c r="X118" s="45"/>
      <c r="Y118" s="45"/>
      <c r="Z118" s="45"/>
      <c r="AA118" s="45"/>
      <c r="AY118" s="66"/>
      <c r="AZ118" s="66"/>
      <c r="BA118" s="66"/>
      <c r="BB118" s="22"/>
    </row>
    <row r="119" spans="2:54" x14ac:dyDescent="0.45">
      <c r="B119" s="45" t="s">
        <v>91</v>
      </c>
      <c r="C119" s="90"/>
      <c r="D119" s="56"/>
      <c r="E119" s="80"/>
      <c r="F119" s="58"/>
      <c r="G119" s="58"/>
      <c r="H119" s="58"/>
      <c r="I119" s="58"/>
      <c r="J119" s="58"/>
      <c r="K119" s="58"/>
      <c r="L119" s="59">
        <f t="shared" si="20"/>
        <v>0</v>
      </c>
      <c r="M119" s="58"/>
      <c r="N119" s="58"/>
      <c r="O119" s="58"/>
      <c r="P119" s="58"/>
      <c r="Q119" s="60" t="e">
        <f t="shared" si="21"/>
        <v>#DIV/0!</v>
      </c>
      <c r="R119" s="61">
        <f t="shared" si="22"/>
        <v>0.43387671059875982</v>
      </c>
      <c r="S119" s="68"/>
      <c r="T119" s="97"/>
      <c r="U119" s="62">
        <f t="shared" si="23"/>
        <v>2021.2824107652905</v>
      </c>
      <c r="V119" s="45"/>
      <c r="W119" s="45"/>
      <c r="X119" s="45"/>
      <c r="Y119" s="45"/>
      <c r="Z119" s="45"/>
      <c r="AA119" s="45"/>
      <c r="AY119" s="66"/>
      <c r="AZ119" s="66"/>
      <c r="BA119" s="66"/>
      <c r="BB119" s="22"/>
    </row>
    <row r="120" spans="2:54" x14ac:dyDescent="0.45">
      <c r="B120" s="45" t="s">
        <v>92</v>
      </c>
      <c r="C120" s="90"/>
      <c r="D120" s="56"/>
      <c r="E120" s="84"/>
      <c r="F120" s="58"/>
      <c r="G120" s="58"/>
      <c r="H120" s="58"/>
      <c r="I120" s="58"/>
      <c r="J120" s="58"/>
      <c r="K120" s="58"/>
      <c r="L120" s="59">
        <f t="shared" si="20"/>
        <v>0</v>
      </c>
      <c r="M120" s="58"/>
      <c r="N120" s="58"/>
      <c r="O120" s="58"/>
      <c r="P120" s="58"/>
      <c r="Q120" s="60" t="e">
        <f t="shared" si="21"/>
        <v>#DIV/0!</v>
      </c>
      <c r="R120" s="61">
        <f t="shared" si="22"/>
        <v>0.43387671059875982</v>
      </c>
      <c r="S120" s="68"/>
      <c r="T120" s="97"/>
      <c r="U120" s="62">
        <f t="shared" si="23"/>
        <v>2021.2824107652905</v>
      </c>
      <c r="V120" s="45"/>
      <c r="W120" s="45"/>
      <c r="X120" s="45"/>
      <c r="Y120" s="45"/>
      <c r="Z120" s="45"/>
      <c r="AA120" s="45"/>
      <c r="AY120" s="66"/>
      <c r="AZ120" s="66"/>
      <c r="BA120" s="66"/>
      <c r="BB120" s="22"/>
    </row>
    <row r="121" spans="2:54" x14ac:dyDescent="0.45">
      <c r="B121" s="45" t="s">
        <v>93</v>
      </c>
      <c r="C121" s="90"/>
      <c r="D121" s="56"/>
      <c r="E121" s="57"/>
      <c r="F121" s="58"/>
      <c r="G121" s="58"/>
      <c r="H121" s="58"/>
      <c r="I121" s="58"/>
      <c r="J121" s="58"/>
      <c r="K121" s="58"/>
      <c r="L121" s="59">
        <f t="shared" si="20"/>
        <v>0</v>
      </c>
      <c r="M121" s="58"/>
      <c r="N121" s="58"/>
      <c r="O121" s="58"/>
      <c r="P121" s="58"/>
      <c r="Q121" s="60" t="e">
        <f t="shared" si="21"/>
        <v>#DIV/0!</v>
      </c>
      <c r="R121" s="61">
        <f t="shared" si="22"/>
        <v>0.43387671059875982</v>
      </c>
      <c r="S121" s="68"/>
      <c r="T121" s="97"/>
      <c r="U121" s="62">
        <f t="shared" si="23"/>
        <v>2021.2824107652905</v>
      </c>
      <c r="V121" s="45"/>
      <c r="W121" s="45"/>
      <c r="X121" s="45"/>
      <c r="Y121" s="45"/>
      <c r="Z121" s="45"/>
      <c r="AA121" s="45"/>
      <c r="AY121" s="66"/>
      <c r="AZ121" s="66"/>
      <c r="BA121" s="66"/>
      <c r="BB121" s="22"/>
    </row>
    <row r="122" spans="2:54" x14ac:dyDescent="0.45">
      <c r="B122" s="45" t="s">
        <v>94</v>
      </c>
      <c r="C122" s="90"/>
      <c r="D122" s="56"/>
      <c r="E122" s="80"/>
      <c r="F122" s="58"/>
      <c r="G122" s="58"/>
      <c r="H122" s="58"/>
      <c r="I122" s="58"/>
      <c r="J122" s="58"/>
      <c r="K122" s="58"/>
      <c r="L122" s="59">
        <f t="shared" si="20"/>
        <v>0</v>
      </c>
      <c r="M122" s="58"/>
      <c r="N122" s="58"/>
      <c r="O122" s="58"/>
      <c r="P122" s="58"/>
      <c r="Q122" s="60" t="e">
        <f t="shared" si="21"/>
        <v>#DIV/0!</v>
      </c>
      <c r="R122" s="61">
        <f t="shared" si="22"/>
        <v>0.43387671059875982</v>
      </c>
      <c r="S122" s="68"/>
      <c r="T122" s="97"/>
      <c r="U122" s="62">
        <f t="shared" si="23"/>
        <v>2021.2824107652905</v>
      </c>
      <c r="V122" s="45"/>
      <c r="W122" s="45"/>
      <c r="X122" s="45"/>
      <c r="Y122" s="45"/>
      <c r="Z122" s="45"/>
      <c r="AA122" s="45"/>
      <c r="AY122" s="66"/>
      <c r="AZ122" s="66"/>
      <c r="BA122" s="66"/>
      <c r="BB122" s="22"/>
    </row>
    <row r="123" spans="2:54" x14ac:dyDescent="0.45">
      <c r="B123" s="45" t="s">
        <v>95</v>
      </c>
      <c r="C123" s="90"/>
      <c r="D123" s="56"/>
      <c r="E123" s="84"/>
      <c r="F123" s="58"/>
      <c r="G123" s="58"/>
      <c r="H123" s="58"/>
      <c r="I123" s="58"/>
      <c r="J123" s="58"/>
      <c r="K123" s="58"/>
      <c r="L123" s="59">
        <f t="shared" si="20"/>
        <v>0</v>
      </c>
      <c r="M123" s="58"/>
      <c r="N123" s="58"/>
      <c r="O123" s="58"/>
      <c r="P123" s="58"/>
      <c r="Q123" s="60" t="e">
        <f t="shared" si="21"/>
        <v>#DIV/0!</v>
      </c>
      <c r="R123" s="61">
        <f t="shared" si="22"/>
        <v>0.43387671059875982</v>
      </c>
      <c r="S123" s="68"/>
      <c r="T123" s="97"/>
      <c r="U123" s="62">
        <f t="shared" si="23"/>
        <v>2021.2824107652905</v>
      </c>
      <c r="V123" s="45"/>
      <c r="W123" s="45"/>
      <c r="X123" s="45"/>
      <c r="Y123" s="45"/>
      <c r="Z123" s="45"/>
      <c r="AA123" s="45"/>
      <c r="AY123" s="66"/>
      <c r="AZ123" s="66"/>
      <c r="BA123" s="66"/>
      <c r="BB123" s="22"/>
    </row>
    <row r="124" spans="2:54" x14ac:dyDescent="0.45">
      <c r="B124" s="45" t="s">
        <v>96</v>
      </c>
      <c r="C124" s="90"/>
      <c r="D124" s="56"/>
      <c r="E124" s="57"/>
      <c r="F124" s="58"/>
      <c r="G124" s="58"/>
      <c r="H124" s="58"/>
      <c r="I124" s="58"/>
      <c r="J124" s="58"/>
      <c r="K124" s="58"/>
      <c r="L124" s="59">
        <f t="shared" si="20"/>
        <v>0</v>
      </c>
      <c r="M124" s="58"/>
      <c r="N124" s="58"/>
      <c r="O124" s="58"/>
      <c r="P124" s="58"/>
      <c r="Q124" s="60" t="e">
        <f t="shared" si="21"/>
        <v>#DIV/0!</v>
      </c>
      <c r="R124" s="61">
        <f t="shared" si="22"/>
        <v>0.43387671059875982</v>
      </c>
      <c r="S124" s="68"/>
      <c r="T124" s="97"/>
      <c r="U124" s="62">
        <f t="shared" si="23"/>
        <v>2021.2824107652905</v>
      </c>
      <c r="V124" s="45"/>
      <c r="W124" s="45"/>
      <c r="X124" s="45"/>
      <c r="Y124" s="45"/>
      <c r="Z124" s="45"/>
      <c r="AA124" s="45"/>
      <c r="AY124" s="66"/>
      <c r="AZ124" s="66"/>
      <c r="BA124" s="66"/>
      <c r="BB124" s="22"/>
    </row>
    <row r="125" spans="2:54" x14ac:dyDescent="0.45">
      <c r="B125" s="45" t="s">
        <v>97</v>
      </c>
      <c r="C125" s="90"/>
      <c r="D125" s="56"/>
      <c r="E125" s="80"/>
      <c r="F125" s="58"/>
      <c r="G125" s="58"/>
      <c r="H125" s="58"/>
      <c r="I125" s="58"/>
      <c r="J125" s="58"/>
      <c r="K125" s="58"/>
      <c r="L125" s="59">
        <f t="shared" si="20"/>
        <v>0</v>
      </c>
      <c r="M125" s="58"/>
      <c r="N125" s="58"/>
      <c r="O125" s="58"/>
      <c r="P125" s="58"/>
      <c r="Q125" s="60" t="e">
        <f t="shared" si="21"/>
        <v>#DIV/0!</v>
      </c>
      <c r="R125" s="61">
        <f t="shared" si="22"/>
        <v>0.43387671059875982</v>
      </c>
      <c r="S125" s="68"/>
      <c r="T125" s="97"/>
      <c r="U125" s="62">
        <f t="shared" si="23"/>
        <v>2021.2824107652905</v>
      </c>
      <c r="V125" s="45"/>
      <c r="W125" s="45"/>
      <c r="X125" s="45"/>
      <c r="Y125" s="45"/>
      <c r="Z125" s="45"/>
      <c r="AA125" s="45"/>
      <c r="AY125" s="66"/>
      <c r="AZ125" s="66"/>
      <c r="BA125" s="66"/>
      <c r="BB125" s="22"/>
    </row>
    <row r="126" spans="2:54" ht="16" customHeight="1" x14ac:dyDescent="0.45">
      <c r="B126" s="45" t="s">
        <v>98</v>
      </c>
      <c r="C126" s="90"/>
      <c r="D126" s="56"/>
      <c r="E126" s="84"/>
      <c r="F126" s="58"/>
      <c r="G126" s="58"/>
      <c r="H126" s="58"/>
      <c r="I126" s="58"/>
      <c r="J126" s="58"/>
      <c r="K126" s="58"/>
      <c r="L126" s="59">
        <f t="shared" si="20"/>
        <v>0</v>
      </c>
      <c r="M126" s="58"/>
      <c r="N126" s="58"/>
      <c r="O126" s="58"/>
      <c r="P126" s="58"/>
      <c r="Q126" s="60" t="e">
        <f t="shared" si="21"/>
        <v>#DIV/0!</v>
      </c>
      <c r="R126" s="61">
        <f t="shared" si="22"/>
        <v>0.43387671059875982</v>
      </c>
      <c r="S126" s="68"/>
      <c r="T126" s="97"/>
      <c r="U126" s="62">
        <f t="shared" si="23"/>
        <v>2021.2824107652905</v>
      </c>
      <c r="V126" s="45"/>
      <c r="W126" s="45"/>
      <c r="X126" s="45"/>
      <c r="Y126" s="45"/>
      <c r="Z126" s="45"/>
      <c r="AA126" s="45"/>
      <c r="AY126" s="66"/>
      <c r="AZ126" s="66"/>
      <c r="BA126" s="66"/>
      <c r="BB126" s="22"/>
    </row>
    <row r="127" spans="2:54" ht="16" customHeight="1" x14ac:dyDescent="0.45">
      <c r="B127" s="45" t="s">
        <v>99</v>
      </c>
      <c r="C127" s="90"/>
      <c r="D127" s="56"/>
      <c r="E127" s="57"/>
      <c r="F127" s="58"/>
      <c r="G127" s="58"/>
      <c r="H127" s="58"/>
      <c r="I127" s="58"/>
      <c r="J127" s="58"/>
      <c r="K127" s="58"/>
      <c r="L127" s="59">
        <f t="shared" si="20"/>
        <v>0</v>
      </c>
      <c r="M127" s="58"/>
      <c r="N127" s="58"/>
      <c r="O127" s="58"/>
      <c r="P127" s="58"/>
      <c r="Q127" s="60" t="e">
        <f t="shared" si="21"/>
        <v>#DIV/0!</v>
      </c>
      <c r="R127" s="61">
        <f t="shared" si="22"/>
        <v>0.43387671059875982</v>
      </c>
      <c r="S127" s="68"/>
      <c r="T127" s="97"/>
      <c r="U127" s="62">
        <f t="shared" si="23"/>
        <v>2021.2824107652905</v>
      </c>
      <c r="V127" s="45"/>
      <c r="W127" s="45"/>
      <c r="X127" s="45"/>
      <c r="Y127" s="45"/>
      <c r="Z127" s="45"/>
      <c r="AA127" s="45"/>
      <c r="AY127" s="66"/>
      <c r="AZ127" s="66"/>
      <c r="BA127" s="66"/>
      <c r="BB127" s="22"/>
    </row>
    <row r="128" spans="2:54" ht="16" customHeight="1" x14ac:dyDescent="0.45">
      <c r="B128" s="45" t="s">
        <v>100</v>
      </c>
      <c r="C128" s="90"/>
      <c r="D128" s="56"/>
      <c r="E128" s="80"/>
      <c r="F128" s="58"/>
      <c r="G128" s="58"/>
      <c r="H128" s="58"/>
      <c r="I128" s="58"/>
      <c r="J128" s="58"/>
      <c r="K128" s="58"/>
      <c r="L128" s="59">
        <f t="shared" si="20"/>
        <v>0</v>
      </c>
      <c r="M128" s="58"/>
      <c r="N128" s="58"/>
      <c r="O128" s="58"/>
      <c r="P128" s="58"/>
      <c r="Q128" s="60" t="e">
        <f t="shared" si="21"/>
        <v>#DIV/0!</v>
      </c>
      <c r="R128" s="61">
        <f t="shared" si="22"/>
        <v>0.43387671059875982</v>
      </c>
      <c r="S128" s="68"/>
      <c r="T128" s="97"/>
      <c r="U128" s="62">
        <f t="shared" si="23"/>
        <v>2021.2824107652905</v>
      </c>
      <c r="V128" s="45"/>
      <c r="W128" s="45"/>
      <c r="X128" s="45"/>
      <c r="Y128" s="45"/>
      <c r="Z128" s="45"/>
      <c r="AA128" s="45"/>
      <c r="AY128" s="66"/>
      <c r="AZ128" s="66"/>
      <c r="BA128" s="66"/>
      <c r="BB128" s="22"/>
    </row>
    <row r="129" spans="2:54" ht="16" customHeight="1" x14ac:dyDescent="0.45">
      <c r="B129" s="45" t="s">
        <v>101</v>
      </c>
      <c r="C129" s="90"/>
      <c r="D129" s="56"/>
      <c r="E129" s="84"/>
      <c r="F129" s="58"/>
      <c r="G129" s="58"/>
      <c r="H129" s="58"/>
      <c r="I129" s="58"/>
      <c r="J129" s="58"/>
      <c r="K129" s="58"/>
      <c r="L129" s="59">
        <f t="shared" si="20"/>
        <v>0</v>
      </c>
      <c r="M129" s="58"/>
      <c r="N129" s="58"/>
      <c r="O129" s="58"/>
      <c r="P129" s="58"/>
      <c r="Q129" s="60" t="e">
        <f t="shared" si="21"/>
        <v>#DIV/0!</v>
      </c>
      <c r="R129" s="61">
        <f t="shared" si="22"/>
        <v>0.43387671059875982</v>
      </c>
      <c r="S129" s="68"/>
      <c r="T129" s="97"/>
      <c r="U129" s="62">
        <f t="shared" si="23"/>
        <v>2021.2824107652905</v>
      </c>
      <c r="V129" s="45"/>
      <c r="W129" s="45"/>
      <c r="X129" s="45"/>
      <c r="Y129" s="45"/>
      <c r="Z129" s="45"/>
      <c r="AA129" s="45"/>
      <c r="AY129" s="66"/>
      <c r="AZ129" s="66"/>
      <c r="BA129" s="66"/>
      <c r="BB129" s="22"/>
    </row>
    <row r="130" spans="2:54" x14ac:dyDescent="0.45">
      <c r="B130" s="45" t="s">
        <v>102</v>
      </c>
      <c r="C130" s="90"/>
      <c r="D130" s="56"/>
      <c r="E130" s="80"/>
      <c r="F130" s="58"/>
      <c r="G130" s="58"/>
      <c r="H130" s="58"/>
      <c r="I130" s="58"/>
      <c r="J130" s="58"/>
      <c r="K130" s="58"/>
      <c r="L130" s="59">
        <f t="shared" si="20"/>
        <v>0</v>
      </c>
      <c r="M130" s="58"/>
      <c r="N130" s="58"/>
      <c r="O130" s="58"/>
      <c r="P130" s="58"/>
      <c r="Q130" s="60" t="e">
        <f t="shared" si="21"/>
        <v>#DIV/0!</v>
      </c>
      <c r="R130" s="61">
        <f t="shared" si="22"/>
        <v>0.43387671059875982</v>
      </c>
      <c r="S130" s="68"/>
      <c r="T130" s="97"/>
      <c r="U130" s="62">
        <f t="shared" si="23"/>
        <v>2021.2824107652905</v>
      </c>
      <c r="V130" s="45"/>
      <c r="W130" s="45"/>
      <c r="X130" s="45"/>
      <c r="Y130" s="45"/>
      <c r="Z130" s="45"/>
      <c r="AA130" s="45"/>
      <c r="AY130" s="66"/>
      <c r="AZ130" s="66"/>
      <c r="BA130" s="66"/>
      <c r="BB130" s="22"/>
    </row>
    <row r="131" spans="2:54" x14ac:dyDescent="0.45">
      <c r="B131" s="45" t="s">
        <v>103</v>
      </c>
      <c r="C131" s="90"/>
      <c r="D131" s="56"/>
      <c r="E131" s="84"/>
      <c r="F131" s="58"/>
      <c r="G131" s="58"/>
      <c r="H131" s="58"/>
      <c r="I131" s="58"/>
      <c r="J131" s="58"/>
      <c r="K131" s="58"/>
      <c r="L131" s="59">
        <f t="shared" si="20"/>
        <v>0</v>
      </c>
      <c r="M131" s="58"/>
      <c r="N131" s="58"/>
      <c r="O131" s="58"/>
      <c r="P131" s="58"/>
      <c r="Q131" s="60" t="e">
        <f t="shared" si="21"/>
        <v>#DIV/0!</v>
      </c>
      <c r="R131" s="61">
        <f t="shared" si="22"/>
        <v>0.43387671059875982</v>
      </c>
      <c r="S131" s="68"/>
      <c r="T131" s="97"/>
      <c r="U131" s="62">
        <f t="shared" si="23"/>
        <v>2021.2824107652905</v>
      </c>
      <c r="V131" s="45"/>
      <c r="W131" s="45"/>
      <c r="X131" s="45"/>
      <c r="Y131" s="45"/>
      <c r="Z131" s="45"/>
      <c r="AA131" s="45"/>
      <c r="AY131" s="66"/>
      <c r="AZ131" s="66"/>
      <c r="BA131" s="66"/>
      <c r="BB131" s="22"/>
    </row>
    <row r="132" spans="2:54" x14ac:dyDescent="0.45">
      <c r="B132" s="45" t="s">
        <v>104</v>
      </c>
      <c r="C132" s="90"/>
      <c r="D132" s="56"/>
      <c r="E132" s="80"/>
      <c r="F132" s="58"/>
      <c r="G132" s="58"/>
      <c r="H132" s="58"/>
      <c r="I132" s="58"/>
      <c r="J132" s="58"/>
      <c r="K132" s="58"/>
      <c r="L132" s="59">
        <f t="shared" si="20"/>
        <v>0</v>
      </c>
      <c r="M132" s="58"/>
      <c r="N132" s="58"/>
      <c r="O132" s="58"/>
      <c r="P132" s="58"/>
      <c r="Q132" s="60" t="e">
        <f t="shared" si="21"/>
        <v>#DIV/0!</v>
      </c>
      <c r="R132" s="61">
        <f t="shared" si="22"/>
        <v>0.43387671059875982</v>
      </c>
      <c r="S132" s="68"/>
      <c r="T132" s="97"/>
      <c r="U132" s="62">
        <f t="shared" si="23"/>
        <v>2021.2824107652905</v>
      </c>
      <c r="V132" s="45"/>
      <c r="W132" s="45"/>
      <c r="X132" s="45"/>
      <c r="Y132" s="45"/>
      <c r="Z132" s="45"/>
      <c r="AA132" s="45"/>
      <c r="AY132" s="66"/>
      <c r="AZ132" s="66"/>
      <c r="BA132" s="66"/>
      <c r="BB132" s="22"/>
    </row>
    <row r="133" spans="2:54" x14ac:dyDescent="0.45">
      <c r="B133" s="45" t="s">
        <v>105</v>
      </c>
      <c r="C133" s="90"/>
      <c r="D133" s="56"/>
      <c r="E133" s="84"/>
      <c r="F133" s="58"/>
      <c r="G133" s="58"/>
      <c r="H133" s="58"/>
      <c r="I133" s="58"/>
      <c r="J133" s="58"/>
      <c r="K133" s="58"/>
      <c r="L133" s="59">
        <f t="shared" si="20"/>
        <v>0</v>
      </c>
      <c r="M133" s="58"/>
      <c r="N133" s="58"/>
      <c r="O133" s="58"/>
      <c r="P133" s="58"/>
      <c r="Q133" s="60" t="e">
        <f t="shared" si="21"/>
        <v>#DIV/0!</v>
      </c>
      <c r="R133" s="61">
        <f t="shared" si="22"/>
        <v>0.43387671059875982</v>
      </c>
      <c r="S133" s="68"/>
      <c r="T133" s="97"/>
      <c r="U133" s="62">
        <f t="shared" si="23"/>
        <v>2021.2824107652905</v>
      </c>
      <c r="V133" s="45"/>
      <c r="W133" s="45"/>
      <c r="X133" s="45"/>
      <c r="Y133" s="45"/>
      <c r="Z133" s="45"/>
      <c r="AA133" s="45"/>
      <c r="AY133" s="66"/>
      <c r="AZ133" s="66"/>
      <c r="BA133" s="66"/>
      <c r="BB133" s="22"/>
    </row>
    <row r="134" spans="2:54" x14ac:dyDescent="0.45">
      <c r="B134" s="45" t="s">
        <v>106</v>
      </c>
      <c r="C134" s="90"/>
      <c r="D134" s="56"/>
      <c r="E134" s="84"/>
      <c r="F134" s="58"/>
      <c r="G134" s="58"/>
      <c r="H134" s="58"/>
      <c r="I134" s="58"/>
      <c r="J134" s="58"/>
      <c r="K134" s="58"/>
      <c r="L134" s="59">
        <f t="shared" si="20"/>
        <v>0</v>
      </c>
      <c r="M134" s="58"/>
      <c r="N134" s="58"/>
      <c r="O134" s="58"/>
      <c r="P134" s="58"/>
      <c r="Q134" s="60" t="e">
        <f t="shared" si="21"/>
        <v>#DIV/0!</v>
      </c>
      <c r="R134" s="61">
        <f t="shared" si="22"/>
        <v>0.43387671059875982</v>
      </c>
      <c r="S134" s="68"/>
      <c r="T134" s="97"/>
      <c r="U134" s="62">
        <f t="shared" si="23"/>
        <v>2021.2824107652905</v>
      </c>
      <c r="V134" s="45"/>
      <c r="W134" s="45"/>
      <c r="X134" s="45"/>
      <c r="Y134" s="45"/>
      <c r="Z134" s="45"/>
      <c r="AA134" s="45"/>
      <c r="AY134" s="66"/>
      <c r="AZ134" s="66"/>
      <c r="BA134" s="66"/>
      <c r="BB134" s="22"/>
    </row>
    <row r="135" spans="2:54" x14ac:dyDescent="0.45">
      <c r="B135" s="45" t="s">
        <v>107</v>
      </c>
      <c r="C135" s="90"/>
      <c r="D135" s="56"/>
      <c r="E135" s="57"/>
      <c r="F135" s="58"/>
      <c r="G135" s="58"/>
      <c r="H135" s="58"/>
      <c r="I135" s="58"/>
      <c r="J135" s="58"/>
      <c r="K135" s="58"/>
      <c r="L135" s="59">
        <f t="shared" si="20"/>
        <v>0</v>
      </c>
      <c r="M135" s="58"/>
      <c r="N135" s="58"/>
      <c r="O135" s="58"/>
      <c r="P135" s="58"/>
      <c r="Q135" s="60" t="e">
        <f t="shared" si="21"/>
        <v>#DIV/0!</v>
      </c>
      <c r="R135" s="61">
        <f t="shared" si="22"/>
        <v>0.43387671059875982</v>
      </c>
      <c r="S135" s="68"/>
      <c r="T135" s="97"/>
      <c r="U135" s="62">
        <f t="shared" si="23"/>
        <v>2021.2824107652905</v>
      </c>
      <c r="V135" s="45"/>
      <c r="W135" s="45"/>
      <c r="X135" s="45"/>
      <c r="Y135" s="45"/>
      <c r="Z135" s="45"/>
      <c r="AA135" s="45"/>
      <c r="AY135" s="66"/>
      <c r="AZ135" s="66"/>
      <c r="BA135" s="66"/>
      <c r="BB135" s="22"/>
    </row>
    <row r="136" spans="2:54" x14ac:dyDescent="0.45">
      <c r="B136" s="45" t="s">
        <v>108</v>
      </c>
      <c r="C136" s="90"/>
      <c r="D136" s="56"/>
      <c r="E136" s="84"/>
      <c r="F136" s="58"/>
      <c r="G136" s="58"/>
      <c r="H136" s="58"/>
      <c r="I136" s="58"/>
      <c r="J136" s="58"/>
      <c r="K136" s="58"/>
      <c r="L136" s="59">
        <f t="shared" si="20"/>
        <v>0</v>
      </c>
      <c r="M136" s="58"/>
      <c r="N136" s="58"/>
      <c r="O136" s="58"/>
      <c r="P136" s="58"/>
      <c r="Q136" s="60" t="e">
        <f t="shared" si="21"/>
        <v>#DIV/0!</v>
      </c>
      <c r="R136" s="61">
        <f t="shared" si="22"/>
        <v>0.43387671059875982</v>
      </c>
      <c r="S136" s="68"/>
      <c r="T136" s="97"/>
      <c r="U136" s="62">
        <f t="shared" si="23"/>
        <v>2021.2824107652905</v>
      </c>
      <c r="V136" s="45"/>
      <c r="W136" s="45"/>
      <c r="X136" s="45"/>
      <c r="Y136" s="45"/>
      <c r="Z136" s="45"/>
      <c r="AA136" s="45"/>
      <c r="AY136" s="66"/>
      <c r="AZ136" s="66"/>
      <c r="BA136" s="66"/>
      <c r="BB136" s="22"/>
    </row>
    <row r="137" spans="2:54" x14ac:dyDescent="0.45">
      <c r="B137" s="45" t="s">
        <v>109</v>
      </c>
      <c r="C137" s="90"/>
      <c r="D137" s="56"/>
      <c r="E137" s="57"/>
      <c r="F137" s="58"/>
      <c r="G137" s="58"/>
      <c r="H137" s="58"/>
      <c r="I137" s="58"/>
      <c r="J137" s="58"/>
      <c r="K137" s="58"/>
      <c r="L137" s="59">
        <f t="shared" si="20"/>
        <v>0</v>
      </c>
      <c r="M137" s="58"/>
      <c r="N137" s="58"/>
      <c r="O137" s="58"/>
      <c r="P137" s="58"/>
      <c r="Q137" s="60" t="e">
        <f t="shared" si="21"/>
        <v>#DIV/0!</v>
      </c>
      <c r="R137" s="61">
        <f t="shared" si="22"/>
        <v>0.43387671059875982</v>
      </c>
      <c r="S137" s="68"/>
      <c r="T137" s="97"/>
      <c r="U137" s="62">
        <f t="shared" si="23"/>
        <v>2021.2824107652905</v>
      </c>
      <c r="V137" s="45"/>
      <c r="W137" s="45"/>
      <c r="X137" s="45"/>
      <c r="Y137" s="45"/>
      <c r="Z137" s="45"/>
      <c r="AA137" s="45"/>
      <c r="AY137" s="66"/>
      <c r="AZ137" s="66"/>
      <c r="BA137" s="66"/>
      <c r="BB137" s="22"/>
    </row>
    <row r="138" spans="2:54" x14ac:dyDescent="0.45">
      <c r="B138" s="45" t="s">
        <v>110</v>
      </c>
      <c r="C138" s="90"/>
      <c r="D138" s="56"/>
      <c r="E138" s="80"/>
      <c r="F138" s="58"/>
      <c r="G138" s="58"/>
      <c r="H138" s="58"/>
      <c r="I138" s="58"/>
      <c r="J138" s="58"/>
      <c r="K138" s="58"/>
      <c r="L138" s="59">
        <f t="shared" si="20"/>
        <v>0</v>
      </c>
      <c r="M138" s="58"/>
      <c r="N138" s="58"/>
      <c r="O138" s="58"/>
      <c r="P138" s="58"/>
      <c r="Q138" s="60" t="e">
        <f t="shared" si="21"/>
        <v>#DIV/0!</v>
      </c>
      <c r="R138" s="61">
        <f t="shared" si="22"/>
        <v>0.43387671059875982</v>
      </c>
      <c r="S138" s="68"/>
      <c r="T138" s="97"/>
      <c r="U138" s="62">
        <f t="shared" si="23"/>
        <v>2021.2824107652905</v>
      </c>
      <c r="V138" s="45"/>
      <c r="W138" s="45"/>
      <c r="X138" s="45"/>
      <c r="Y138" s="45"/>
      <c r="Z138" s="45"/>
      <c r="AA138" s="45"/>
      <c r="AY138" s="66"/>
      <c r="AZ138" s="66"/>
      <c r="BA138" s="66"/>
      <c r="BB138" s="22"/>
    </row>
    <row r="139" spans="2:54" x14ac:dyDescent="0.45">
      <c r="B139" s="45" t="s">
        <v>111</v>
      </c>
      <c r="C139" s="90"/>
      <c r="D139" s="56"/>
      <c r="E139" s="57"/>
      <c r="F139" s="58"/>
      <c r="G139" s="58"/>
      <c r="H139" s="58"/>
      <c r="I139" s="58"/>
      <c r="J139" s="58"/>
      <c r="K139" s="58"/>
      <c r="L139" s="59">
        <f t="shared" si="20"/>
        <v>0</v>
      </c>
      <c r="M139" s="58"/>
      <c r="N139" s="58"/>
      <c r="O139" s="58"/>
      <c r="P139" s="58"/>
      <c r="Q139" s="60" t="e">
        <f t="shared" si="21"/>
        <v>#DIV/0!</v>
      </c>
      <c r="R139" s="61">
        <f t="shared" si="22"/>
        <v>0.43387671059875982</v>
      </c>
      <c r="S139" s="68"/>
      <c r="T139" s="97"/>
      <c r="U139" s="62">
        <f t="shared" si="23"/>
        <v>2021.2824107652905</v>
      </c>
      <c r="V139" s="45"/>
      <c r="W139" s="45"/>
      <c r="X139" s="45"/>
      <c r="Y139" s="45"/>
      <c r="Z139" s="45"/>
      <c r="AA139" s="45"/>
      <c r="AY139" s="66"/>
      <c r="AZ139" s="66"/>
      <c r="BA139" s="66"/>
      <c r="BB139" s="22"/>
    </row>
    <row r="140" spans="2:54" x14ac:dyDescent="0.45">
      <c r="B140" s="45" t="s">
        <v>112</v>
      </c>
      <c r="C140" s="90"/>
      <c r="D140" s="56"/>
      <c r="E140" s="80"/>
      <c r="F140" s="58"/>
      <c r="G140" s="58"/>
      <c r="H140" s="58"/>
      <c r="I140" s="58"/>
      <c r="J140" s="58"/>
      <c r="K140" s="58"/>
      <c r="L140" s="59">
        <f t="shared" si="20"/>
        <v>0</v>
      </c>
      <c r="M140" s="58"/>
      <c r="N140" s="58"/>
      <c r="O140" s="58"/>
      <c r="P140" s="58"/>
      <c r="Q140" s="60" t="e">
        <f t="shared" si="21"/>
        <v>#DIV/0!</v>
      </c>
      <c r="R140" s="61">
        <f t="shared" si="22"/>
        <v>0.43387671059875982</v>
      </c>
      <c r="S140" s="68"/>
      <c r="T140" s="97"/>
      <c r="U140" s="62">
        <f t="shared" si="23"/>
        <v>2021.2824107652905</v>
      </c>
      <c r="V140" s="45"/>
      <c r="W140" s="45"/>
      <c r="X140" s="45"/>
      <c r="Y140" s="45"/>
      <c r="Z140" s="45"/>
      <c r="AA140" s="45"/>
      <c r="AY140" s="66"/>
      <c r="AZ140" s="66"/>
      <c r="BA140" s="66"/>
      <c r="BB140" s="22"/>
    </row>
    <row r="141" spans="2:54" x14ac:dyDescent="0.45">
      <c r="B141" s="45" t="s">
        <v>113</v>
      </c>
      <c r="C141" s="90"/>
      <c r="D141" s="56"/>
      <c r="E141" s="84"/>
      <c r="F141" s="58"/>
      <c r="G141" s="58"/>
      <c r="H141" s="58"/>
      <c r="I141" s="58"/>
      <c r="J141" s="58"/>
      <c r="K141" s="58"/>
      <c r="L141" s="59">
        <f t="shared" si="20"/>
        <v>0</v>
      </c>
      <c r="M141" s="58"/>
      <c r="N141" s="58"/>
      <c r="O141" s="58"/>
      <c r="P141" s="58"/>
      <c r="Q141" s="60" t="e">
        <f t="shared" si="21"/>
        <v>#DIV/0!</v>
      </c>
      <c r="R141" s="61">
        <f t="shared" si="22"/>
        <v>0.43387671059875982</v>
      </c>
      <c r="S141" s="68"/>
      <c r="T141" s="97"/>
      <c r="U141" s="62">
        <f t="shared" si="23"/>
        <v>2021.2824107652905</v>
      </c>
      <c r="V141" s="45"/>
      <c r="W141" s="45"/>
      <c r="X141" s="45"/>
      <c r="Y141" s="45"/>
      <c r="Z141" s="45"/>
      <c r="AA141" s="45"/>
      <c r="AY141" s="66"/>
      <c r="AZ141" s="66"/>
      <c r="BA141" s="66"/>
      <c r="BB141" s="22"/>
    </row>
    <row r="142" spans="2:54" ht="16" customHeight="1" x14ac:dyDescent="0.45">
      <c r="B142" s="45" t="s">
        <v>114</v>
      </c>
      <c r="C142" s="90"/>
      <c r="D142" s="56"/>
      <c r="E142" s="80"/>
      <c r="F142" s="58"/>
      <c r="G142" s="58"/>
      <c r="H142" s="58"/>
      <c r="I142" s="58"/>
      <c r="J142" s="58"/>
      <c r="K142" s="58"/>
      <c r="L142" s="59">
        <f t="shared" si="20"/>
        <v>0</v>
      </c>
      <c r="M142" s="58"/>
      <c r="N142" s="58"/>
      <c r="O142" s="58"/>
      <c r="P142" s="58"/>
      <c r="Q142" s="60" t="e">
        <f t="shared" si="21"/>
        <v>#DIV/0!</v>
      </c>
      <c r="R142" s="61">
        <f t="shared" si="22"/>
        <v>0.43387671059875982</v>
      </c>
      <c r="S142" s="68"/>
      <c r="T142" s="97"/>
      <c r="U142" s="62">
        <f t="shared" si="23"/>
        <v>2021.2824107652905</v>
      </c>
      <c r="V142" s="45"/>
      <c r="W142" s="45"/>
      <c r="X142" s="45"/>
      <c r="Y142" s="45"/>
      <c r="Z142" s="45"/>
      <c r="AA142" s="45"/>
      <c r="AY142" s="66"/>
      <c r="AZ142" s="66"/>
      <c r="BA142" s="66"/>
      <c r="BB142" s="22"/>
    </row>
    <row r="143" spans="2:54" ht="16" customHeight="1" x14ac:dyDescent="0.45">
      <c r="B143" s="45" t="s">
        <v>115</v>
      </c>
      <c r="C143" s="90"/>
      <c r="D143" s="56"/>
      <c r="E143" s="84"/>
      <c r="F143" s="58"/>
      <c r="G143" s="58"/>
      <c r="H143" s="58"/>
      <c r="I143" s="58"/>
      <c r="J143" s="58"/>
      <c r="K143" s="58"/>
      <c r="L143" s="59">
        <f t="shared" si="20"/>
        <v>0</v>
      </c>
      <c r="M143" s="58"/>
      <c r="N143" s="58"/>
      <c r="O143" s="58"/>
      <c r="P143" s="58"/>
      <c r="Q143" s="60" t="e">
        <f t="shared" si="21"/>
        <v>#DIV/0!</v>
      </c>
      <c r="R143" s="61">
        <f t="shared" si="22"/>
        <v>0.43387671059875982</v>
      </c>
      <c r="S143" s="68"/>
      <c r="T143" s="97"/>
      <c r="U143" s="62">
        <f t="shared" si="23"/>
        <v>2021.2824107652905</v>
      </c>
      <c r="V143" s="45"/>
      <c r="W143" s="45"/>
      <c r="X143" s="45"/>
      <c r="Y143" s="45"/>
      <c r="Z143" s="45"/>
      <c r="AA143" s="45"/>
      <c r="AY143" s="66"/>
      <c r="AZ143" s="66"/>
      <c r="BA143" s="66"/>
      <c r="BB143" s="22"/>
    </row>
    <row r="144" spans="2:54" ht="16" customHeight="1" x14ac:dyDescent="0.45">
      <c r="B144" s="45" t="s">
        <v>116</v>
      </c>
      <c r="C144" s="90"/>
      <c r="D144" s="56"/>
      <c r="E144" s="57"/>
      <c r="F144" s="58"/>
      <c r="G144" s="58"/>
      <c r="H144" s="58"/>
      <c r="I144" s="58"/>
      <c r="J144" s="58"/>
      <c r="K144" s="58"/>
      <c r="L144" s="59">
        <f t="shared" si="20"/>
        <v>0</v>
      </c>
      <c r="M144" s="58"/>
      <c r="N144" s="58"/>
      <c r="O144" s="58"/>
      <c r="P144" s="58"/>
      <c r="Q144" s="60" t="e">
        <f t="shared" si="21"/>
        <v>#DIV/0!</v>
      </c>
      <c r="R144" s="61">
        <f t="shared" si="22"/>
        <v>0.43387671059875982</v>
      </c>
      <c r="S144" s="68"/>
      <c r="T144" s="97"/>
      <c r="U144" s="62">
        <f t="shared" si="23"/>
        <v>2021.2824107652905</v>
      </c>
      <c r="V144" s="45"/>
      <c r="W144" s="45"/>
      <c r="X144" s="45"/>
      <c r="Y144" s="45"/>
      <c r="Z144" s="45"/>
      <c r="AA144" s="45"/>
      <c r="AY144" s="66"/>
      <c r="AZ144" s="66"/>
      <c r="BA144" s="66"/>
      <c r="BB144" s="22"/>
    </row>
    <row r="145" spans="2:54" ht="16" customHeight="1" x14ac:dyDescent="0.45">
      <c r="B145" s="45" t="s">
        <v>117</v>
      </c>
      <c r="C145" s="90"/>
      <c r="D145" s="56"/>
      <c r="E145" s="84"/>
      <c r="F145" s="58"/>
      <c r="G145" s="58"/>
      <c r="H145" s="58"/>
      <c r="I145" s="58"/>
      <c r="J145" s="58"/>
      <c r="K145" s="58"/>
      <c r="L145" s="59">
        <f t="shared" si="20"/>
        <v>0</v>
      </c>
      <c r="M145" s="58"/>
      <c r="N145" s="58"/>
      <c r="O145" s="58"/>
      <c r="P145" s="58"/>
      <c r="Q145" s="60" t="e">
        <f t="shared" si="21"/>
        <v>#DIV/0!</v>
      </c>
      <c r="R145" s="61">
        <f t="shared" si="22"/>
        <v>0.43387671059875982</v>
      </c>
      <c r="S145" s="68"/>
      <c r="T145" s="97"/>
      <c r="U145" s="62">
        <f t="shared" si="23"/>
        <v>2021.2824107652905</v>
      </c>
      <c r="V145" s="45"/>
      <c r="W145" s="45"/>
      <c r="X145" s="45"/>
      <c r="Y145" s="45"/>
      <c r="Z145" s="45"/>
      <c r="AA145" s="45"/>
      <c r="AY145" s="66"/>
      <c r="AZ145" s="66"/>
      <c r="BA145" s="66"/>
      <c r="BB145" s="22"/>
    </row>
    <row r="146" spans="2:54" x14ac:dyDescent="0.45">
      <c r="B146" s="45" t="s">
        <v>118</v>
      </c>
      <c r="C146" s="90"/>
      <c r="D146" s="56"/>
      <c r="E146" s="57"/>
      <c r="F146" s="58"/>
      <c r="G146" s="58"/>
      <c r="H146" s="58"/>
      <c r="I146" s="58"/>
      <c r="J146" s="58"/>
      <c r="K146" s="58"/>
      <c r="L146" s="59">
        <f t="shared" si="20"/>
        <v>0</v>
      </c>
      <c r="M146" s="58"/>
      <c r="N146" s="58"/>
      <c r="O146" s="58"/>
      <c r="P146" s="58"/>
      <c r="Q146" s="60" t="e">
        <f t="shared" si="21"/>
        <v>#DIV/0!</v>
      </c>
      <c r="R146" s="61">
        <f t="shared" si="22"/>
        <v>0.43387671059875982</v>
      </c>
      <c r="S146" s="68"/>
      <c r="T146" s="97"/>
      <c r="U146" s="62">
        <f t="shared" si="23"/>
        <v>2021.2824107652905</v>
      </c>
      <c r="V146" s="45"/>
      <c r="W146" s="45"/>
      <c r="X146" s="45"/>
      <c r="Y146" s="45"/>
      <c r="Z146" s="45"/>
      <c r="AA146" s="45"/>
      <c r="AY146" s="66"/>
      <c r="AZ146" s="66"/>
      <c r="BA146" s="66"/>
      <c r="BB146" s="22"/>
    </row>
    <row r="147" spans="2:54" x14ac:dyDescent="0.45">
      <c r="B147" s="45" t="s">
        <v>119</v>
      </c>
      <c r="C147" s="90"/>
      <c r="D147" s="56"/>
      <c r="E147" s="80"/>
      <c r="F147" s="58"/>
      <c r="G147" s="58"/>
      <c r="H147" s="58"/>
      <c r="I147" s="58"/>
      <c r="J147" s="58"/>
      <c r="K147" s="58"/>
      <c r="L147" s="59">
        <f t="shared" si="20"/>
        <v>0</v>
      </c>
      <c r="M147" s="58"/>
      <c r="N147" s="58"/>
      <c r="O147" s="58"/>
      <c r="P147" s="58"/>
      <c r="Q147" s="60" t="e">
        <f t="shared" si="21"/>
        <v>#DIV/0!</v>
      </c>
      <c r="R147" s="61">
        <f t="shared" si="22"/>
        <v>0.43387671059875982</v>
      </c>
      <c r="S147" s="68"/>
      <c r="T147" s="97"/>
      <c r="U147" s="62">
        <f t="shared" si="23"/>
        <v>2021.2824107652905</v>
      </c>
      <c r="V147" s="45"/>
      <c r="W147" s="45"/>
      <c r="X147" s="45"/>
      <c r="Y147" s="45"/>
      <c r="Z147" s="45"/>
      <c r="AA147" s="45"/>
      <c r="AY147" s="66"/>
      <c r="AZ147" s="66"/>
      <c r="BA147" s="66"/>
      <c r="BB147" s="22"/>
    </row>
    <row r="148" spans="2:54" x14ac:dyDescent="0.45">
      <c r="B148" s="45" t="s">
        <v>120</v>
      </c>
      <c r="C148" s="90"/>
      <c r="D148" s="56"/>
      <c r="E148" s="57"/>
      <c r="F148" s="58"/>
      <c r="G148" s="58"/>
      <c r="H148" s="58"/>
      <c r="I148" s="58"/>
      <c r="J148" s="58"/>
      <c r="K148" s="58"/>
      <c r="L148" s="59">
        <f t="shared" ref="L148:L211" si="28">1/2*((F148*I148+H148*K148+J148*G148)-(G148*H148+I148*J148+K148*F148))/0.1582*100</f>
        <v>0</v>
      </c>
      <c r="M148" s="58"/>
      <c r="N148" s="58"/>
      <c r="O148" s="58"/>
      <c r="P148" s="58"/>
      <c r="Q148" s="60" t="e">
        <f t="shared" ref="Q148:Q211" si="29">O148/P148</f>
        <v>#DIV/0!</v>
      </c>
      <c r="R148" s="61">
        <f t="shared" ref="R148:R211" si="30">SQRT(POWER(M148-$M$12,2)+POWER(N148-$N$12,2))</f>
        <v>0.43387671059875982</v>
      </c>
      <c r="S148" s="68"/>
      <c r="T148" s="97"/>
      <c r="U148" s="62">
        <f t="shared" ref="U148:U211" si="31">(-449*((M148-0.332)/(N148-0.1858))^3)+(3525*((M148-0.332)/(N148-0.1858))^2)+(-6823.3*(M148-0.332)/(N148-0.1858))+5520.33</f>
        <v>2021.2824107652905</v>
      </c>
      <c r="V148" s="45"/>
      <c r="W148" s="45"/>
      <c r="X148" s="45"/>
      <c r="Y148" s="45"/>
      <c r="Z148" s="45"/>
      <c r="AA148" s="45"/>
      <c r="AY148" s="66"/>
      <c r="AZ148" s="66"/>
      <c r="BA148" s="66"/>
      <c r="BB148" s="22"/>
    </row>
    <row r="149" spans="2:54" x14ac:dyDescent="0.45">
      <c r="B149" s="45" t="s">
        <v>121</v>
      </c>
      <c r="C149" s="90"/>
      <c r="D149" s="56"/>
      <c r="E149" s="84"/>
      <c r="F149" s="58"/>
      <c r="G149" s="58"/>
      <c r="H149" s="58"/>
      <c r="I149" s="58"/>
      <c r="J149" s="58"/>
      <c r="K149" s="58"/>
      <c r="L149" s="59">
        <f t="shared" si="28"/>
        <v>0</v>
      </c>
      <c r="M149" s="58"/>
      <c r="N149" s="58"/>
      <c r="O149" s="58"/>
      <c r="P149" s="58"/>
      <c r="Q149" s="60" t="e">
        <f t="shared" si="29"/>
        <v>#DIV/0!</v>
      </c>
      <c r="R149" s="61">
        <f t="shared" si="30"/>
        <v>0.43387671059875982</v>
      </c>
      <c r="S149" s="68"/>
      <c r="T149" s="97"/>
      <c r="U149" s="62">
        <f t="shared" si="31"/>
        <v>2021.2824107652905</v>
      </c>
      <c r="V149" s="45"/>
      <c r="W149" s="45"/>
      <c r="X149" s="45"/>
      <c r="Y149" s="45"/>
      <c r="Z149" s="45"/>
      <c r="AA149" s="45"/>
      <c r="AY149" s="66"/>
      <c r="AZ149" s="66"/>
      <c r="BA149" s="66"/>
      <c r="BB149" s="22"/>
    </row>
    <row r="150" spans="2:54" x14ac:dyDescent="0.45">
      <c r="B150" s="45" t="s">
        <v>122</v>
      </c>
      <c r="C150" s="90"/>
      <c r="D150" s="56"/>
      <c r="E150" s="80"/>
      <c r="F150" s="58"/>
      <c r="G150" s="58"/>
      <c r="H150" s="58"/>
      <c r="I150" s="58"/>
      <c r="J150" s="58"/>
      <c r="K150" s="58"/>
      <c r="L150" s="59">
        <f t="shared" si="28"/>
        <v>0</v>
      </c>
      <c r="M150" s="58"/>
      <c r="N150" s="58"/>
      <c r="O150" s="58"/>
      <c r="P150" s="58"/>
      <c r="Q150" s="60" t="e">
        <f t="shared" si="29"/>
        <v>#DIV/0!</v>
      </c>
      <c r="R150" s="61">
        <f t="shared" si="30"/>
        <v>0.43387671059875982</v>
      </c>
      <c r="S150" s="68"/>
      <c r="T150" s="97"/>
      <c r="U150" s="62">
        <f t="shared" si="31"/>
        <v>2021.2824107652905</v>
      </c>
      <c r="V150" s="45"/>
      <c r="W150" s="45"/>
      <c r="X150" s="45"/>
      <c r="Y150" s="45"/>
      <c r="Z150" s="45"/>
      <c r="AA150" s="45"/>
      <c r="AY150" s="66"/>
      <c r="AZ150" s="66"/>
      <c r="BA150" s="66"/>
      <c r="BB150" s="22"/>
    </row>
    <row r="151" spans="2:54" x14ac:dyDescent="0.45">
      <c r="B151" s="45" t="s">
        <v>123</v>
      </c>
      <c r="C151" s="90"/>
      <c r="D151" s="56"/>
      <c r="E151" s="84"/>
      <c r="F151" s="58"/>
      <c r="G151" s="58"/>
      <c r="H151" s="58"/>
      <c r="I151" s="58"/>
      <c r="J151" s="58"/>
      <c r="K151" s="58"/>
      <c r="L151" s="59">
        <f t="shared" si="28"/>
        <v>0</v>
      </c>
      <c r="M151" s="58"/>
      <c r="N151" s="58"/>
      <c r="O151" s="58"/>
      <c r="P151" s="58"/>
      <c r="Q151" s="60" t="e">
        <f t="shared" si="29"/>
        <v>#DIV/0!</v>
      </c>
      <c r="R151" s="61">
        <f t="shared" si="30"/>
        <v>0.43387671059875982</v>
      </c>
      <c r="S151" s="68"/>
      <c r="T151" s="97"/>
      <c r="U151" s="62">
        <f t="shared" si="31"/>
        <v>2021.2824107652905</v>
      </c>
      <c r="V151" s="45"/>
      <c r="W151" s="45"/>
      <c r="X151" s="45"/>
      <c r="Y151" s="45"/>
      <c r="Z151" s="45"/>
      <c r="AA151" s="45"/>
      <c r="AY151" s="66"/>
      <c r="AZ151" s="66"/>
      <c r="BA151" s="66"/>
      <c r="BB151" s="22"/>
    </row>
    <row r="152" spans="2:54" x14ac:dyDescent="0.45">
      <c r="B152" s="45" t="s">
        <v>124</v>
      </c>
      <c r="C152" s="90"/>
      <c r="D152" s="56"/>
      <c r="E152" s="80"/>
      <c r="F152" s="58"/>
      <c r="G152" s="58"/>
      <c r="H152" s="58"/>
      <c r="I152" s="58"/>
      <c r="J152" s="58"/>
      <c r="K152" s="58"/>
      <c r="L152" s="59">
        <f t="shared" si="28"/>
        <v>0</v>
      </c>
      <c r="M152" s="58"/>
      <c r="N152" s="58"/>
      <c r="O152" s="58"/>
      <c r="P152" s="58"/>
      <c r="Q152" s="60" t="e">
        <f t="shared" si="29"/>
        <v>#DIV/0!</v>
      </c>
      <c r="R152" s="61">
        <f t="shared" si="30"/>
        <v>0.43387671059875982</v>
      </c>
      <c r="S152" s="68"/>
      <c r="T152" s="97"/>
      <c r="U152" s="62">
        <f t="shared" si="31"/>
        <v>2021.2824107652905</v>
      </c>
      <c r="V152" s="45"/>
      <c r="W152" s="45"/>
      <c r="X152" s="45"/>
      <c r="Y152" s="45"/>
      <c r="Z152" s="45"/>
      <c r="AA152" s="45"/>
      <c r="AY152" s="66"/>
      <c r="AZ152" s="66"/>
      <c r="BA152" s="66"/>
      <c r="BB152" s="22"/>
    </row>
    <row r="153" spans="2:54" x14ac:dyDescent="0.45">
      <c r="B153" s="45" t="s">
        <v>125</v>
      </c>
      <c r="C153" s="90"/>
      <c r="D153" s="56"/>
      <c r="E153" s="84"/>
      <c r="F153" s="58"/>
      <c r="G153" s="58"/>
      <c r="H153" s="58"/>
      <c r="I153" s="58"/>
      <c r="J153" s="58"/>
      <c r="K153" s="58"/>
      <c r="L153" s="59">
        <f t="shared" si="28"/>
        <v>0</v>
      </c>
      <c r="M153" s="58"/>
      <c r="N153" s="58"/>
      <c r="O153" s="58"/>
      <c r="P153" s="58"/>
      <c r="Q153" s="60" t="e">
        <f t="shared" si="29"/>
        <v>#DIV/0!</v>
      </c>
      <c r="R153" s="61">
        <f t="shared" si="30"/>
        <v>0.43387671059875982</v>
      </c>
      <c r="S153" s="68"/>
      <c r="T153" s="97"/>
      <c r="U153" s="62">
        <f t="shared" si="31"/>
        <v>2021.2824107652905</v>
      </c>
      <c r="V153" s="45"/>
      <c r="W153" s="45"/>
      <c r="X153" s="45"/>
      <c r="Y153" s="45"/>
      <c r="Z153" s="45"/>
      <c r="AA153" s="45"/>
      <c r="AY153" s="66"/>
      <c r="AZ153" s="66"/>
      <c r="BA153" s="66"/>
      <c r="BB153" s="22"/>
    </row>
    <row r="154" spans="2:54" x14ac:dyDescent="0.45">
      <c r="B154" s="45" t="s">
        <v>126</v>
      </c>
      <c r="C154" s="90"/>
      <c r="D154" s="56"/>
      <c r="E154" s="57"/>
      <c r="F154" s="58"/>
      <c r="G154" s="58"/>
      <c r="H154" s="58"/>
      <c r="I154" s="58"/>
      <c r="J154" s="58"/>
      <c r="K154" s="58"/>
      <c r="L154" s="59">
        <f t="shared" si="28"/>
        <v>0</v>
      </c>
      <c r="M154" s="58"/>
      <c r="N154" s="58"/>
      <c r="O154" s="58"/>
      <c r="P154" s="58"/>
      <c r="Q154" s="60" t="e">
        <f t="shared" si="29"/>
        <v>#DIV/0!</v>
      </c>
      <c r="R154" s="61">
        <f t="shared" si="30"/>
        <v>0.43387671059875982</v>
      </c>
      <c r="S154" s="68"/>
      <c r="T154" s="97"/>
      <c r="U154" s="62">
        <f t="shared" si="31"/>
        <v>2021.2824107652905</v>
      </c>
      <c r="V154" s="45"/>
      <c r="W154" s="45"/>
      <c r="X154" s="45"/>
      <c r="Y154" s="45"/>
      <c r="Z154" s="45"/>
      <c r="AA154" s="45"/>
      <c r="AY154" s="66"/>
      <c r="AZ154" s="66"/>
      <c r="BA154" s="66"/>
      <c r="BB154" s="22"/>
    </row>
    <row r="155" spans="2:54" x14ac:dyDescent="0.45">
      <c r="B155" s="45" t="s">
        <v>127</v>
      </c>
      <c r="C155" s="90"/>
      <c r="D155" s="56"/>
      <c r="E155" s="80"/>
      <c r="F155" s="58"/>
      <c r="G155" s="58"/>
      <c r="H155" s="58"/>
      <c r="I155" s="58"/>
      <c r="J155" s="58"/>
      <c r="K155" s="58"/>
      <c r="L155" s="59">
        <f t="shared" si="28"/>
        <v>0</v>
      </c>
      <c r="M155" s="58"/>
      <c r="N155" s="58"/>
      <c r="O155" s="58"/>
      <c r="P155" s="58"/>
      <c r="Q155" s="60" t="e">
        <f t="shared" si="29"/>
        <v>#DIV/0!</v>
      </c>
      <c r="R155" s="61">
        <f t="shared" si="30"/>
        <v>0.43387671059875982</v>
      </c>
      <c r="S155" s="68"/>
      <c r="T155" s="97"/>
      <c r="U155" s="62">
        <f t="shared" si="31"/>
        <v>2021.2824107652905</v>
      </c>
      <c r="V155" s="45"/>
      <c r="W155" s="45"/>
      <c r="X155" s="45"/>
      <c r="Y155" s="45"/>
      <c r="Z155" s="45"/>
      <c r="AA155" s="45"/>
      <c r="AY155" s="66"/>
      <c r="AZ155" s="66"/>
      <c r="BA155" s="66"/>
      <c r="BB155" s="22"/>
    </row>
    <row r="156" spans="2:54" x14ac:dyDescent="0.45">
      <c r="B156" s="45" t="s">
        <v>128</v>
      </c>
      <c r="C156" s="90"/>
      <c r="D156" s="56"/>
      <c r="E156" s="84"/>
      <c r="F156" s="58"/>
      <c r="G156" s="58"/>
      <c r="H156" s="58"/>
      <c r="I156" s="58"/>
      <c r="J156" s="58"/>
      <c r="K156" s="58"/>
      <c r="L156" s="59">
        <f t="shared" si="28"/>
        <v>0</v>
      </c>
      <c r="M156" s="58"/>
      <c r="N156" s="58"/>
      <c r="O156" s="58"/>
      <c r="P156" s="58"/>
      <c r="Q156" s="60" t="e">
        <f t="shared" si="29"/>
        <v>#DIV/0!</v>
      </c>
      <c r="R156" s="61">
        <f t="shared" si="30"/>
        <v>0.43387671059875982</v>
      </c>
      <c r="S156" s="68"/>
      <c r="T156" s="97"/>
      <c r="U156" s="62">
        <f t="shared" si="31"/>
        <v>2021.2824107652905</v>
      </c>
      <c r="V156" s="45"/>
      <c r="W156" s="45"/>
      <c r="X156" s="45"/>
      <c r="Y156" s="45"/>
      <c r="Z156" s="45"/>
      <c r="AA156" s="45"/>
      <c r="AY156" s="66"/>
      <c r="AZ156" s="66"/>
      <c r="BA156" s="66"/>
      <c r="BB156" s="22"/>
    </row>
    <row r="157" spans="2:54" x14ac:dyDescent="0.45">
      <c r="B157" s="45" t="s">
        <v>129</v>
      </c>
      <c r="C157" s="90"/>
      <c r="D157" s="56"/>
      <c r="E157" s="57"/>
      <c r="F157" s="58"/>
      <c r="G157" s="58"/>
      <c r="H157" s="58"/>
      <c r="I157" s="58"/>
      <c r="J157" s="58"/>
      <c r="K157" s="58"/>
      <c r="L157" s="59">
        <f t="shared" si="28"/>
        <v>0</v>
      </c>
      <c r="M157" s="58"/>
      <c r="N157" s="58"/>
      <c r="O157" s="58"/>
      <c r="P157" s="58"/>
      <c r="Q157" s="60" t="e">
        <f t="shared" si="29"/>
        <v>#DIV/0!</v>
      </c>
      <c r="R157" s="61">
        <f t="shared" si="30"/>
        <v>0.43387671059875982</v>
      </c>
      <c r="S157" s="68"/>
      <c r="T157" s="97"/>
      <c r="U157" s="62">
        <f t="shared" si="31"/>
        <v>2021.2824107652905</v>
      </c>
      <c r="V157" s="45"/>
      <c r="W157" s="45"/>
      <c r="X157" s="45"/>
      <c r="Y157" s="45"/>
      <c r="Z157" s="45"/>
      <c r="AA157" s="45"/>
      <c r="AY157" s="66"/>
      <c r="AZ157" s="66"/>
      <c r="BA157" s="66"/>
      <c r="BB157" s="22"/>
    </row>
    <row r="158" spans="2:54" x14ac:dyDescent="0.45">
      <c r="B158" s="45" t="s">
        <v>130</v>
      </c>
      <c r="C158" s="90"/>
      <c r="D158" s="56"/>
      <c r="E158" s="80"/>
      <c r="F158" s="58"/>
      <c r="G158" s="58"/>
      <c r="H158" s="58"/>
      <c r="I158" s="58"/>
      <c r="J158" s="58"/>
      <c r="K158" s="58"/>
      <c r="L158" s="59">
        <f t="shared" si="28"/>
        <v>0</v>
      </c>
      <c r="M158" s="58"/>
      <c r="N158" s="58"/>
      <c r="O158" s="58"/>
      <c r="P158" s="58"/>
      <c r="Q158" s="60" t="e">
        <f t="shared" si="29"/>
        <v>#DIV/0!</v>
      </c>
      <c r="R158" s="61">
        <f t="shared" si="30"/>
        <v>0.43387671059875982</v>
      </c>
      <c r="S158" s="68"/>
      <c r="T158" s="97"/>
      <c r="U158" s="62">
        <f t="shared" si="31"/>
        <v>2021.2824107652905</v>
      </c>
      <c r="V158" s="45"/>
      <c r="W158" s="45"/>
      <c r="X158" s="45"/>
      <c r="Y158" s="45"/>
      <c r="Z158" s="45"/>
      <c r="AA158" s="45"/>
      <c r="AY158" s="66"/>
      <c r="AZ158" s="66"/>
      <c r="BA158" s="66"/>
      <c r="BB158" s="22"/>
    </row>
    <row r="159" spans="2:54" x14ac:dyDescent="0.45">
      <c r="B159" s="45" t="s">
        <v>131</v>
      </c>
      <c r="C159" s="90"/>
      <c r="D159" s="56"/>
      <c r="E159" s="84"/>
      <c r="F159" s="58"/>
      <c r="G159" s="58"/>
      <c r="H159" s="58"/>
      <c r="I159" s="58"/>
      <c r="J159" s="58"/>
      <c r="K159" s="58"/>
      <c r="L159" s="59">
        <f t="shared" si="28"/>
        <v>0</v>
      </c>
      <c r="M159" s="58"/>
      <c r="N159" s="58"/>
      <c r="O159" s="58"/>
      <c r="P159" s="58"/>
      <c r="Q159" s="60" t="e">
        <f t="shared" si="29"/>
        <v>#DIV/0!</v>
      </c>
      <c r="R159" s="61">
        <f t="shared" si="30"/>
        <v>0.43387671059875982</v>
      </c>
      <c r="S159" s="68"/>
      <c r="T159" s="97"/>
      <c r="U159" s="62">
        <f t="shared" si="31"/>
        <v>2021.2824107652905</v>
      </c>
      <c r="V159" s="45"/>
      <c r="W159" s="45"/>
      <c r="X159" s="45"/>
      <c r="Y159" s="45"/>
      <c r="Z159" s="45"/>
      <c r="AA159" s="45"/>
      <c r="AY159" s="66"/>
      <c r="AZ159" s="66"/>
      <c r="BA159" s="66"/>
      <c r="BB159" s="22"/>
    </row>
    <row r="160" spans="2:54" x14ac:dyDescent="0.45">
      <c r="B160" s="45" t="s">
        <v>132</v>
      </c>
      <c r="C160" s="90"/>
      <c r="D160" s="56"/>
      <c r="E160" s="57"/>
      <c r="F160" s="58"/>
      <c r="G160" s="58"/>
      <c r="H160" s="58"/>
      <c r="I160" s="58"/>
      <c r="J160" s="58"/>
      <c r="K160" s="58"/>
      <c r="L160" s="59">
        <f t="shared" si="28"/>
        <v>0</v>
      </c>
      <c r="M160" s="58"/>
      <c r="N160" s="58"/>
      <c r="O160" s="58"/>
      <c r="P160" s="58"/>
      <c r="Q160" s="60" t="e">
        <f t="shared" si="29"/>
        <v>#DIV/0!</v>
      </c>
      <c r="R160" s="61">
        <f t="shared" si="30"/>
        <v>0.43387671059875982</v>
      </c>
      <c r="S160" s="68"/>
      <c r="T160" s="97"/>
      <c r="U160" s="62">
        <f t="shared" si="31"/>
        <v>2021.2824107652905</v>
      </c>
      <c r="V160" s="45"/>
      <c r="W160" s="45"/>
      <c r="X160" s="45"/>
      <c r="Y160" s="45"/>
      <c r="Z160" s="45"/>
      <c r="AA160" s="45"/>
      <c r="AY160" s="66"/>
      <c r="AZ160" s="66"/>
      <c r="BA160" s="66"/>
      <c r="BB160" s="22"/>
    </row>
    <row r="161" spans="2:54" x14ac:dyDescent="0.45">
      <c r="B161" s="45" t="s">
        <v>133</v>
      </c>
      <c r="C161" s="90"/>
      <c r="D161" s="56"/>
      <c r="E161" s="80"/>
      <c r="F161" s="58"/>
      <c r="G161" s="58"/>
      <c r="H161" s="58"/>
      <c r="I161" s="58"/>
      <c r="J161" s="58"/>
      <c r="K161" s="58"/>
      <c r="L161" s="59">
        <f t="shared" si="28"/>
        <v>0</v>
      </c>
      <c r="M161" s="58"/>
      <c r="N161" s="58"/>
      <c r="O161" s="58"/>
      <c r="P161" s="58"/>
      <c r="Q161" s="60" t="e">
        <f t="shared" si="29"/>
        <v>#DIV/0!</v>
      </c>
      <c r="R161" s="61">
        <f t="shared" si="30"/>
        <v>0.43387671059875982</v>
      </c>
      <c r="S161" s="68"/>
      <c r="T161" s="97"/>
      <c r="U161" s="62">
        <f t="shared" si="31"/>
        <v>2021.2824107652905</v>
      </c>
      <c r="V161" s="45"/>
      <c r="W161" s="45"/>
      <c r="X161" s="45"/>
      <c r="Y161" s="45"/>
      <c r="Z161" s="45"/>
      <c r="AA161" s="45"/>
      <c r="AY161" s="66"/>
      <c r="AZ161" s="66"/>
      <c r="BA161" s="66"/>
      <c r="BB161" s="22"/>
    </row>
    <row r="162" spans="2:54" x14ac:dyDescent="0.45">
      <c r="B162" s="45" t="s">
        <v>134</v>
      </c>
      <c r="C162" s="90"/>
      <c r="D162" s="56"/>
      <c r="E162" s="57"/>
      <c r="F162" s="58"/>
      <c r="G162" s="58"/>
      <c r="H162" s="58"/>
      <c r="I162" s="58"/>
      <c r="J162" s="58"/>
      <c r="K162" s="58"/>
      <c r="L162" s="59">
        <f t="shared" si="28"/>
        <v>0</v>
      </c>
      <c r="M162" s="58"/>
      <c r="N162" s="58"/>
      <c r="O162" s="58"/>
      <c r="P162" s="58"/>
      <c r="Q162" s="60" t="e">
        <f t="shared" si="29"/>
        <v>#DIV/0!</v>
      </c>
      <c r="R162" s="61">
        <f t="shared" si="30"/>
        <v>0.43387671059875982</v>
      </c>
      <c r="S162" s="68"/>
      <c r="T162" s="97"/>
      <c r="U162" s="62">
        <f t="shared" si="31"/>
        <v>2021.2824107652905</v>
      </c>
      <c r="V162" s="45"/>
      <c r="W162" s="45"/>
      <c r="X162" s="45"/>
      <c r="Y162" s="45"/>
      <c r="Z162" s="45"/>
      <c r="AA162" s="45"/>
      <c r="AY162" s="66"/>
      <c r="AZ162" s="66"/>
      <c r="BA162" s="66"/>
      <c r="BB162" s="22"/>
    </row>
    <row r="163" spans="2:54" x14ac:dyDescent="0.45">
      <c r="B163" s="45" t="s">
        <v>135</v>
      </c>
      <c r="C163" s="90"/>
      <c r="D163" s="56"/>
      <c r="E163" s="80"/>
      <c r="F163" s="58"/>
      <c r="G163" s="58"/>
      <c r="H163" s="58"/>
      <c r="I163" s="58"/>
      <c r="J163" s="58"/>
      <c r="K163" s="58"/>
      <c r="L163" s="59">
        <f t="shared" si="28"/>
        <v>0</v>
      </c>
      <c r="M163" s="58"/>
      <c r="N163" s="58"/>
      <c r="O163" s="58"/>
      <c r="P163" s="58"/>
      <c r="Q163" s="60" t="e">
        <f t="shared" si="29"/>
        <v>#DIV/0!</v>
      </c>
      <c r="R163" s="61">
        <f t="shared" si="30"/>
        <v>0.43387671059875982</v>
      </c>
      <c r="S163" s="68"/>
      <c r="T163" s="97"/>
      <c r="U163" s="62">
        <f t="shared" si="31"/>
        <v>2021.2824107652905</v>
      </c>
      <c r="V163" s="45"/>
      <c r="W163" s="45"/>
      <c r="X163" s="45"/>
      <c r="Y163" s="45"/>
      <c r="Z163" s="45"/>
      <c r="AA163" s="45"/>
      <c r="AY163" s="66"/>
      <c r="AZ163" s="66"/>
      <c r="BA163" s="66"/>
      <c r="BB163" s="22"/>
    </row>
    <row r="164" spans="2:54" x14ac:dyDescent="0.45">
      <c r="B164" s="45" t="s">
        <v>136</v>
      </c>
      <c r="C164" s="90"/>
      <c r="D164" s="56"/>
      <c r="E164" s="84"/>
      <c r="F164" s="58"/>
      <c r="G164" s="58"/>
      <c r="H164" s="58"/>
      <c r="I164" s="58"/>
      <c r="J164" s="58"/>
      <c r="K164" s="58"/>
      <c r="L164" s="59">
        <f t="shared" si="28"/>
        <v>0</v>
      </c>
      <c r="M164" s="58"/>
      <c r="N164" s="58"/>
      <c r="O164" s="58"/>
      <c r="P164" s="58"/>
      <c r="Q164" s="60" t="e">
        <f t="shared" si="29"/>
        <v>#DIV/0!</v>
      </c>
      <c r="R164" s="61">
        <f t="shared" si="30"/>
        <v>0.43387671059875982</v>
      </c>
      <c r="S164" s="68"/>
      <c r="T164" s="97"/>
      <c r="U164" s="62">
        <f t="shared" si="31"/>
        <v>2021.2824107652905</v>
      </c>
      <c r="V164" s="45"/>
      <c r="W164" s="45"/>
      <c r="X164" s="45"/>
      <c r="Y164" s="45"/>
      <c r="Z164" s="45"/>
      <c r="AA164" s="45"/>
      <c r="AY164" s="66"/>
      <c r="AZ164" s="66"/>
      <c r="BA164" s="66"/>
      <c r="BB164" s="22"/>
    </row>
    <row r="165" spans="2:54" x14ac:dyDescent="0.45">
      <c r="B165" s="45" t="s">
        <v>137</v>
      </c>
      <c r="C165" s="90"/>
      <c r="D165" s="56"/>
      <c r="E165" s="57"/>
      <c r="F165" s="58"/>
      <c r="G165" s="58"/>
      <c r="H165" s="58"/>
      <c r="I165" s="58"/>
      <c r="J165" s="58"/>
      <c r="K165" s="58"/>
      <c r="L165" s="59">
        <f t="shared" si="28"/>
        <v>0</v>
      </c>
      <c r="M165" s="58"/>
      <c r="N165" s="58"/>
      <c r="O165" s="58"/>
      <c r="P165" s="58"/>
      <c r="Q165" s="60" t="e">
        <f t="shared" si="29"/>
        <v>#DIV/0!</v>
      </c>
      <c r="R165" s="61">
        <f t="shared" si="30"/>
        <v>0.43387671059875982</v>
      </c>
      <c r="S165" s="68"/>
      <c r="T165" s="97"/>
      <c r="U165" s="62">
        <f t="shared" si="31"/>
        <v>2021.2824107652905</v>
      </c>
      <c r="V165" s="45"/>
      <c r="W165" s="45"/>
      <c r="X165" s="45"/>
      <c r="Y165" s="45"/>
      <c r="Z165" s="45"/>
      <c r="AA165" s="45"/>
      <c r="AY165" s="66"/>
      <c r="AZ165" s="66"/>
      <c r="BA165" s="66"/>
      <c r="BB165" s="22"/>
    </row>
    <row r="166" spans="2:54" x14ac:dyDescent="0.45">
      <c r="B166" s="45" t="s">
        <v>138</v>
      </c>
      <c r="C166" s="90"/>
      <c r="D166" s="56"/>
      <c r="E166" s="80"/>
      <c r="F166" s="58"/>
      <c r="G166" s="58"/>
      <c r="H166" s="58"/>
      <c r="I166" s="58"/>
      <c r="J166" s="58"/>
      <c r="K166" s="58"/>
      <c r="L166" s="59">
        <f t="shared" si="28"/>
        <v>0</v>
      </c>
      <c r="M166" s="58"/>
      <c r="N166" s="58"/>
      <c r="O166" s="58"/>
      <c r="P166" s="58"/>
      <c r="Q166" s="60" t="e">
        <f t="shared" si="29"/>
        <v>#DIV/0!</v>
      </c>
      <c r="R166" s="61">
        <f t="shared" si="30"/>
        <v>0.43387671059875982</v>
      </c>
      <c r="S166" s="68"/>
      <c r="T166" s="97"/>
      <c r="U166" s="62">
        <f t="shared" si="31"/>
        <v>2021.2824107652905</v>
      </c>
      <c r="V166" s="45"/>
      <c r="W166" s="45"/>
      <c r="X166" s="45"/>
      <c r="Y166" s="45"/>
      <c r="Z166" s="45"/>
      <c r="AA166" s="45"/>
      <c r="AY166" s="66"/>
      <c r="AZ166" s="66"/>
      <c r="BA166" s="66"/>
      <c r="BB166" s="22"/>
    </row>
    <row r="167" spans="2:54" x14ac:dyDescent="0.45">
      <c r="B167" s="45" t="s">
        <v>139</v>
      </c>
      <c r="C167" s="90"/>
      <c r="D167" s="56"/>
      <c r="E167" s="57"/>
      <c r="F167" s="58"/>
      <c r="G167" s="58"/>
      <c r="H167" s="58"/>
      <c r="I167" s="58"/>
      <c r="J167" s="58"/>
      <c r="K167" s="58"/>
      <c r="L167" s="59">
        <f t="shared" si="28"/>
        <v>0</v>
      </c>
      <c r="M167" s="58"/>
      <c r="N167" s="58"/>
      <c r="O167" s="58"/>
      <c r="P167" s="58"/>
      <c r="Q167" s="60" t="e">
        <f t="shared" si="29"/>
        <v>#DIV/0!</v>
      </c>
      <c r="R167" s="61">
        <f t="shared" si="30"/>
        <v>0.43387671059875982</v>
      </c>
      <c r="S167" s="68"/>
      <c r="T167" s="97"/>
      <c r="U167" s="62">
        <f t="shared" si="31"/>
        <v>2021.2824107652905</v>
      </c>
      <c r="V167" s="45"/>
      <c r="W167" s="45"/>
      <c r="X167" s="45"/>
      <c r="Y167" s="45"/>
      <c r="Z167" s="45"/>
      <c r="AA167" s="45"/>
      <c r="AY167" s="66"/>
      <c r="AZ167" s="66"/>
      <c r="BA167" s="66"/>
      <c r="BB167" s="22"/>
    </row>
    <row r="168" spans="2:54" x14ac:dyDescent="0.45">
      <c r="B168" s="45" t="s">
        <v>140</v>
      </c>
      <c r="C168" s="90"/>
      <c r="D168" s="56"/>
      <c r="E168" s="84"/>
      <c r="F168" s="58"/>
      <c r="G168" s="58"/>
      <c r="H168" s="58"/>
      <c r="I168" s="58"/>
      <c r="J168" s="58"/>
      <c r="K168" s="58"/>
      <c r="L168" s="59">
        <f t="shared" si="28"/>
        <v>0</v>
      </c>
      <c r="M168" s="58"/>
      <c r="N168" s="58"/>
      <c r="O168" s="58"/>
      <c r="P168" s="58"/>
      <c r="Q168" s="60" t="e">
        <f t="shared" si="29"/>
        <v>#DIV/0!</v>
      </c>
      <c r="R168" s="61">
        <f t="shared" si="30"/>
        <v>0.43387671059875982</v>
      </c>
      <c r="S168" s="68"/>
      <c r="T168" s="97"/>
      <c r="U168" s="62">
        <f t="shared" si="31"/>
        <v>2021.2824107652905</v>
      </c>
      <c r="V168" s="45"/>
      <c r="W168" s="45"/>
      <c r="X168" s="45"/>
      <c r="Y168" s="45"/>
      <c r="Z168" s="45"/>
      <c r="AA168" s="45"/>
      <c r="AY168" s="66"/>
      <c r="AZ168" s="66"/>
      <c r="BA168" s="66"/>
      <c r="BB168" s="22"/>
    </row>
    <row r="169" spans="2:54" x14ac:dyDescent="0.45">
      <c r="B169" s="45" t="s">
        <v>141</v>
      </c>
      <c r="C169" s="90"/>
      <c r="D169" s="56"/>
      <c r="E169" s="57"/>
      <c r="F169" s="58"/>
      <c r="G169" s="58"/>
      <c r="H169" s="58"/>
      <c r="I169" s="58"/>
      <c r="J169" s="58"/>
      <c r="K169" s="58"/>
      <c r="L169" s="59">
        <f t="shared" si="28"/>
        <v>0</v>
      </c>
      <c r="M169" s="58"/>
      <c r="N169" s="58"/>
      <c r="O169" s="58"/>
      <c r="P169" s="58"/>
      <c r="Q169" s="60" t="e">
        <f t="shared" si="29"/>
        <v>#DIV/0!</v>
      </c>
      <c r="R169" s="61">
        <f t="shared" si="30"/>
        <v>0.43387671059875982</v>
      </c>
      <c r="S169" s="68"/>
      <c r="T169" s="97"/>
      <c r="U169" s="62">
        <f t="shared" si="31"/>
        <v>2021.2824107652905</v>
      </c>
      <c r="V169" s="45"/>
      <c r="W169" s="45"/>
      <c r="X169" s="45"/>
      <c r="Y169" s="45"/>
      <c r="Z169" s="45"/>
      <c r="AA169" s="45"/>
      <c r="AY169" s="66"/>
      <c r="AZ169" s="66"/>
      <c r="BA169" s="66"/>
      <c r="BB169" s="22"/>
    </row>
    <row r="170" spans="2:54" x14ac:dyDescent="0.45">
      <c r="B170" s="45" t="s">
        <v>142</v>
      </c>
      <c r="C170" s="90"/>
      <c r="D170" s="56"/>
      <c r="E170" s="80"/>
      <c r="F170" s="58"/>
      <c r="G170" s="58"/>
      <c r="H170" s="58"/>
      <c r="I170" s="58"/>
      <c r="J170" s="58"/>
      <c r="K170" s="58"/>
      <c r="L170" s="59">
        <f t="shared" si="28"/>
        <v>0</v>
      </c>
      <c r="M170" s="58"/>
      <c r="N170" s="58"/>
      <c r="O170" s="58"/>
      <c r="P170" s="58"/>
      <c r="Q170" s="60" t="e">
        <f t="shared" si="29"/>
        <v>#DIV/0!</v>
      </c>
      <c r="R170" s="61">
        <f t="shared" si="30"/>
        <v>0.43387671059875982</v>
      </c>
      <c r="S170" s="68"/>
      <c r="T170" s="97"/>
      <c r="U170" s="62">
        <f t="shared" si="31"/>
        <v>2021.2824107652905</v>
      </c>
      <c r="V170" s="45"/>
      <c r="W170" s="45"/>
      <c r="X170" s="45"/>
      <c r="Y170" s="45"/>
      <c r="Z170" s="45"/>
      <c r="AA170" s="45"/>
      <c r="AY170" s="66"/>
      <c r="AZ170" s="66"/>
      <c r="BA170" s="66"/>
      <c r="BB170" s="22"/>
    </row>
    <row r="171" spans="2:54" x14ac:dyDescent="0.45">
      <c r="B171" s="45" t="s">
        <v>143</v>
      </c>
      <c r="C171" s="90"/>
      <c r="D171" s="56"/>
      <c r="E171" s="84"/>
      <c r="F171" s="58"/>
      <c r="G171" s="58"/>
      <c r="H171" s="58"/>
      <c r="I171" s="58"/>
      <c r="J171" s="58"/>
      <c r="K171" s="58"/>
      <c r="L171" s="59">
        <f t="shared" si="28"/>
        <v>0</v>
      </c>
      <c r="M171" s="58"/>
      <c r="N171" s="58"/>
      <c r="O171" s="58"/>
      <c r="P171" s="58"/>
      <c r="Q171" s="60" t="e">
        <f t="shared" si="29"/>
        <v>#DIV/0!</v>
      </c>
      <c r="R171" s="61">
        <f t="shared" si="30"/>
        <v>0.43387671059875982</v>
      </c>
      <c r="S171" s="68"/>
      <c r="T171" s="97"/>
      <c r="U171" s="62">
        <f t="shared" si="31"/>
        <v>2021.2824107652905</v>
      </c>
      <c r="V171" s="45"/>
      <c r="W171" s="45"/>
      <c r="X171" s="45"/>
      <c r="Y171" s="45"/>
      <c r="Z171" s="45"/>
      <c r="AA171" s="45"/>
      <c r="AY171" s="66"/>
      <c r="AZ171" s="66"/>
      <c r="BA171" s="66"/>
      <c r="BB171" s="22"/>
    </row>
    <row r="172" spans="2:54" x14ac:dyDescent="0.45">
      <c r="B172" s="45" t="s">
        <v>144</v>
      </c>
      <c r="C172" s="90"/>
      <c r="D172" s="56"/>
      <c r="E172" s="57"/>
      <c r="F172" s="58"/>
      <c r="G172" s="58"/>
      <c r="H172" s="58"/>
      <c r="I172" s="58"/>
      <c r="J172" s="58"/>
      <c r="K172" s="58"/>
      <c r="L172" s="59">
        <f t="shared" si="28"/>
        <v>0</v>
      </c>
      <c r="M172" s="58"/>
      <c r="N172" s="58"/>
      <c r="O172" s="58"/>
      <c r="P172" s="58"/>
      <c r="Q172" s="60" t="e">
        <f t="shared" si="29"/>
        <v>#DIV/0!</v>
      </c>
      <c r="R172" s="61">
        <f t="shared" si="30"/>
        <v>0.43387671059875982</v>
      </c>
      <c r="S172" s="68"/>
      <c r="T172" s="97"/>
      <c r="U172" s="62">
        <f t="shared" si="31"/>
        <v>2021.2824107652905</v>
      </c>
      <c r="V172" s="45"/>
      <c r="W172" s="45"/>
      <c r="X172" s="45"/>
      <c r="Y172" s="45"/>
      <c r="Z172" s="45"/>
      <c r="AA172" s="45"/>
      <c r="AY172" s="66"/>
      <c r="AZ172" s="66"/>
      <c r="BA172" s="66"/>
      <c r="BB172" s="22"/>
    </row>
    <row r="173" spans="2:54" x14ac:dyDescent="0.45">
      <c r="B173" s="45" t="s">
        <v>145</v>
      </c>
      <c r="C173" s="90"/>
      <c r="D173" s="56"/>
      <c r="E173" s="84"/>
      <c r="F173" s="58"/>
      <c r="G173" s="58"/>
      <c r="H173" s="58"/>
      <c r="I173" s="58"/>
      <c r="J173" s="58"/>
      <c r="K173" s="58"/>
      <c r="L173" s="59">
        <f t="shared" si="28"/>
        <v>0</v>
      </c>
      <c r="M173" s="58"/>
      <c r="N173" s="58"/>
      <c r="O173" s="58"/>
      <c r="P173" s="58"/>
      <c r="Q173" s="60" t="e">
        <f t="shared" si="29"/>
        <v>#DIV/0!</v>
      </c>
      <c r="R173" s="61">
        <f t="shared" si="30"/>
        <v>0.43387671059875982</v>
      </c>
      <c r="S173" s="68"/>
      <c r="T173" s="97"/>
      <c r="U173" s="62">
        <f t="shared" si="31"/>
        <v>2021.2824107652905</v>
      </c>
      <c r="V173" s="45"/>
      <c r="W173" s="45"/>
      <c r="X173" s="45"/>
      <c r="Y173" s="45"/>
      <c r="Z173" s="45"/>
      <c r="AA173" s="45"/>
      <c r="AY173" s="66"/>
      <c r="AZ173" s="66"/>
      <c r="BA173" s="66"/>
      <c r="BB173" s="22"/>
    </row>
    <row r="174" spans="2:54" x14ac:dyDescent="0.45">
      <c r="B174" s="45" t="s">
        <v>146</v>
      </c>
      <c r="C174" s="90"/>
      <c r="D174" s="56"/>
      <c r="E174" s="57"/>
      <c r="F174" s="58"/>
      <c r="G174" s="58"/>
      <c r="H174" s="58"/>
      <c r="I174" s="58"/>
      <c r="J174" s="58"/>
      <c r="K174" s="58"/>
      <c r="L174" s="59">
        <f t="shared" si="28"/>
        <v>0</v>
      </c>
      <c r="M174" s="58"/>
      <c r="N174" s="58"/>
      <c r="O174" s="58"/>
      <c r="P174" s="58"/>
      <c r="Q174" s="60" t="e">
        <f t="shared" si="29"/>
        <v>#DIV/0!</v>
      </c>
      <c r="R174" s="61">
        <f t="shared" si="30"/>
        <v>0.43387671059875982</v>
      </c>
      <c r="S174" s="68"/>
      <c r="T174" s="97"/>
      <c r="U174" s="62">
        <f t="shared" si="31"/>
        <v>2021.2824107652905</v>
      </c>
      <c r="V174" s="45"/>
      <c r="W174" s="45"/>
      <c r="X174" s="45"/>
      <c r="Y174" s="45"/>
      <c r="Z174" s="45"/>
      <c r="AA174" s="45"/>
      <c r="AY174" s="66"/>
      <c r="AZ174" s="66"/>
      <c r="BA174" s="66"/>
      <c r="BB174" s="22"/>
    </row>
    <row r="175" spans="2:54" x14ac:dyDescent="0.45">
      <c r="B175" s="45" t="s">
        <v>147</v>
      </c>
      <c r="C175" s="90"/>
      <c r="D175" s="56"/>
      <c r="E175" s="84"/>
      <c r="F175" s="58"/>
      <c r="G175" s="58"/>
      <c r="H175" s="58"/>
      <c r="I175" s="58"/>
      <c r="J175" s="58"/>
      <c r="K175" s="58"/>
      <c r="L175" s="59">
        <f t="shared" si="28"/>
        <v>0</v>
      </c>
      <c r="M175" s="58"/>
      <c r="N175" s="58"/>
      <c r="O175" s="58"/>
      <c r="P175" s="58"/>
      <c r="Q175" s="60" t="e">
        <f t="shared" si="29"/>
        <v>#DIV/0!</v>
      </c>
      <c r="R175" s="61">
        <f t="shared" si="30"/>
        <v>0.43387671059875982</v>
      </c>
      <c r="S175" s="68"/>
      <c r="T175" s="97"/>
      <c r="U175" s="62">
        <f t="shared" si="31"/>
        <v>2021.2824107652905</v>
      </c>
      <c r="V175" s="45"/>
      <c r="W175" s="45"/>
      <c r="X175" s="45"/>
      <c r="Y175" s="45"/>
      <c r="Z175" s="45"/>
      <c r="AA175" s="45"/>
      <c r="AY175" s="66"/>
      <c r="AZ175" s="66"/>
      <c r="BA175" s="66"/>
      <c r="BB175" s="22"/>
    </row>
    <row r="176" spans="2:54" x14ac:dyDescent="0.45">
      <c r="B176" s="45" t="s">
        <v>148</v>
      </c>
      <c r="C176" s="90"/>
      <c r="D176" s="56"/>
      <c r="E176" s="57"/>
      <c r="F176" s="58"/>
      <c r="G176" s="58"/>
      <c r="H176" s="58"/>
      <c r="I176" s="58"/>
      <c r="J176" s="58"/>
      <c r="K176" s="58"/>
      <c r="L176" s="59">
        <f t="shared" si="28"/>
        <v>0</v>
      </c>
      <c r="M176" s="58"/>
      <c r="N176" s="58"/>
      <c r="O176" s="58"/>
      <c r="P176" s="58"/>
      <c r="Q176" s="60" t="e">
        <f t="shared" si="29"/>
        <v>#DIV/0!</v>
      </c>
      <c r="R176" s="61">
        <f t="shared" si="30"/>
        <v>0.43387671059875982</v>
      </c>
      <c r="S176" s="68"/>
      <c r="T176" s="97"/>
      <c r="U176" s="62">
        <f t="shared" si="31"/>
        <v>2021.2824107652905</v>
      </c>
      <c r="V176" s="45"/>
      <c r="W176" s="45"/>
      <c r="X176" s="45"/>
      <c r="Y176" s="45"/>
      <c r="Z176" s="45"/>
      <c r="AA176" s="45"/>
      <c r="AY176" s="66"/>
      <c r="AZ176" s="66"/>
      <c r="BA176" s="66"/>
      <c r="BB176" s="22"/>
    </row>
    <row r="177" spans="2:54" x14ac:dyDescent="0.45">
      <c r="B177" s="45" t="s">
        <v>561</v>
      </c>
      <c r="C177" s="90"/>
      <c r="D177" s="56"/>
      <c r="E177" s="80"/>
      <c r="F177" s="58"/>
      <c r="G177" s="58"/>
      <c r="H177" s="58"/>
      <c r="I177" s="58"/>
      <c r="J177" s="58"/>
      <c r="K177" s="58"/>
      <c r="L177" s="59">
        <f t="shared" si="28"/>
        <v>0</v>
      </c>
      <c r="M177" s="58"/>
      <c r="N177" s="58"/>
      <c r="O177" s="58"/>
      <c r="P177" s="58"/>
      <c r="Q177" s="60" t="e">
        <f t="shared" si="29"/>
        <v>#DIV/0!</v>
      </c>
      <c r="R177" s="61">
        <f t="shared" si="30"/>
        <v>0.43387671059875982</v>
      </c>
      <c r="S177" s="68"/>
      <c r="T177" s="97"/>
      <c r="U177" s="62">
        <f t="shared" si="31"/>
        <v>2021.2824107652905</v>
      </c>
      <c r="V177" s="45"/>
      <c r="W177" s="45"/>
      <c r="X177" s="45"/>
      <c r="Y177" s="45"/>
      <c r="Z177" s="45"/>
      <c r="AA177" s="45"/>
      <c r="AY177" s="66"/>
      <c r="AZ177" s="66"/>
      <c r="BA177" s="66"/>
      <c r="BB177" s="22"/>
    </row>
    <row r="178" spans="2:54" x14ac:dyDescent="0.45">
      <c r="B178" s="45" t="s">
        <v>562</v>
      </c>
      <c r="C178" s="90"/>
      <c r="D178" s="56"/>
      <c r="E178" s="84"/>
      <c r="F178" s="58"/>
      <c r="G178" s="58"/>
      <c r="H178" s="58"/>
      <c r="I178" s="58"/>
      <c r="J178" s="58"/>
      <c r="K178" s="58"/>
      <c r="L178" s="59">
        <f t="shared" si="28"/>
        <v>0</v>
      </c>
      <c r="M178" s="58"/>
      <c r="N178" s="58"/>
      <c r="O178" s="58"/>
      <c r="P178" s="58"/>
      <c r="Q178" s="60" t="e">
        <f t="shared" si="29"/>
        <v>#DIV/0!</v>
      </c>
      <c r="R178" s="61">
        <f t="shared" si="30"/>
        <v>0.43387671059875982</v>
      </c>
      <c r="S178" s="68"/>
      <c r="T178" s="97"/>
      <c r="U178" s="62">
        <f t="shared" si="31"/>
        <v>2021.2824107652905</v>
      </c>
      <c r="V178" s="45"/>
      <c r="W178" s="45"/>
      <c r="X178" s="45"/>
      <c r="Y178" s="45"/>
      <c r="Z178" s="45"/>
      <c r="AA178" s="45"/>
      <c r="AY178" s="66"/>
      <c r="AZ178" s="66"/>
      <c r="BA178" s="66"/>
      <c r="BB178" s="22"/>
    </row>
    <row r="179" spans="2:54" x14ac:dyDescent="0.45">
      <c r="B179" s="45" t="s">
        <v>563</v>
      </c>
      <c r="C179" s="90"/>
      <c r="D179" s="56"/>
      <c r="E179" s="57"/>
      <c r="F179" s="58"/>
      <c r="G179" s="58"/>
      <c r="H179" s="58"/>
      <c r="I179" s="58"/>
      <c r="J179" s="58"/>
      <c r="K179" s="58"/>
      <c r="L179" s="59">
        <f t="shared" si="28"/>
        <v>0</v>
      </c>
      <c r="M179" s="58"/>
      <c r="N179" s="58"/>
      <c r="O179" s="58"/>
      <c r="P179" s="58"/>
      <c r="Q179" s="60" t="e">
        <f t="shared" si="29"/>
        <v>#DIV/0!</v>
      </c>
      <c r="R179" s="61">
        <f t="shared" si="30"/>
        <v>0.43387671059875982</v>
      </c>
      <c r="S179" s="68"/>
      <c r="T179" s="97"/>
      <c r="U179" s="62">
        <f t="shared" si="31"/>
        <v>2021.2824107652905</v>
      </c>
      <c r="V179" s="45"/>
      <c r="W179" s="45"/>
      <c r="X179" s="45"/>
      <c r="Y179" s="45"/>
      <c r="Z179" s="45"/>
      <c r="AA179" s="45"/>
      <c r="AY179" s="66"/>
      <c r="AZ179" s="66"/>
      <c r="BA179" s="66"/>
      <c r="BB179" s="22"/>
    </row>
    <row r="180" spans="2:54" x14ac:dyDescent="0.45">
      <c r="B180" s="45" t="s">
        <v>564</v>
      </c>
      <c r="C180" s="90"/>
      <c r="D180" s="56"/>
      <c r="E180" s="80"/>
      <c r="F180" s="58"/>
      <c r="G180" s="58"/>
      <c r="H180" s="58"/>
      <c r="I180" s="58"/>
      <c r="J180" s="58"/>
      <c r="K180" s="58"/>
      <c r="L180" s="59">
        <f t="shared" si="28"/>
        <v>0</v>
      </c>
      <c r="M180" s="58"/>
      <c r="N180" s="58"/>
      <c r="O180" s="58"/>
      <c r="P180" s="58"/>
      <c r="Q180" s="60" t="e">
        <f t="shared" si="29"/>
        <v>#DIV/0!</v>
      </c>
      <c r="R180" s="61">
        <f t="shared" si="30"/>
        <v>0.43387671059875982</v>
      </c>
      <c r="S180" s="68"/>
      <c r="T180" s="97"/>
      <c r="U180" s="62">
        <f t="shared" si="31"/>
        <v>2021.2824107652905</v>
      </c>
      <c r="V180" s="45"/>
      <c r="W180" s="45"/>
      <c r="X180" s="45"/>
      <c r="Y180" s="45"/>
      <c r="Z180" s="45"/>
      <c r="AA180" s="45"/>
      <c r="AY180" s="66"/>
      <c r="AZ180" s="66"/>
      <c r="BA180" s="66"/>
      <c r="BB180" s="22"/>
    </row>
    <row r="181" spans="2:54" x14ac:dyDescent="0.45">
      <c r="B181" s="45" t="s">
        <v>565</v>
      </c>
      <c r="C181" s="90"/>
      <c r="D181" s="56"/>
      <c r="E181" s="84"/>
      <c r="F181" s="58"/>
      <c r="G181" s="58"/>
      <c r="H181" s="58"/>
      <c r="I181" s="58"/>
      <c r="J181" s="58"/>
      <c r="K181" s="58"/>
      <c r="L181" s="59">
        <f t="shared" si="28"/>
        <v>0</v>
      </c>
      <c r="M181" s="58"/>
      <c r="N181" s="58"/>
      <c r="O181" s="58"/>
      <c r="P181" s="58"/>
      <c r="Q181" s="60" t="e">
        <f t="shared" si="29"/>
        <v>#DIV/0!</v>
      </c>
      <c r="R181" s="61">
        <f t="shared" si="30"/>
        <v>0.43387671059875982</v>
      </c>
      <c r="S181" s="68"/>
      <c r="T181" s="97"/>
      <c r="U181" s="62">
        <f t="shared" si="31"/>
        <v>2021.2824107652905</v>
      </c>
      <c r="V181" s="45"/>
      <c r="W181" s="45"/>
      <c r="X181" s="45"/>
      <c r="Y181" s="45"/>
      <c r="Z181" s="45"/>
      <c r="AA181" s="45"/>
      <c r="AY181" s="66"/>
      <c r="AZ181" s="66"/>
      <c r="BA181" s="66"/>
      <c r="BB181" s="22"/>
    </row>
    <row r="182" spans="2:54" x14ac:dyDescent="0.45">
      <c r="B182" s="45" t="s">
        <v>566</v>
      </c>
      <c r="C182" s="90"/>
      <c r="D182" s="56"/>
      <c r="E182" s="57"/>
      <c r="F182" s="58"/>
      <c r="G182" s="58"/>
      <c r="H182" s="58"/>
      <c r="I182" s="58"/>
      <c r="J182" s="58"/>
      <c r="K182" s="58"/>
      <c r="L182" s="59">
        <f t="shared" si="28"/>
        <v>0</v>
      </c>
      <c r="M182" s="58"/>
      <c r="N182" s="58"/>
      <c r="O182" s="58"/>
      <c r="P182" s="58"/>
      <c r="Q182" s="60" t="e">
        <f t="shared" si="29"/>
        <v>#DIV/0!</v>
      </c>
      <c r="R182" s="61">
        <f t="shared" si="30"/>
        <v>0.43387671059875982</v>
      </c>
      <c r="S182" s="68"/>
      <c r="T182" s="97"/>
      <c r="U182" s="62">
        <f t="shared" si="31"/>
        <v>2021.2824107652905</v>
      </c>
      <c r="V182" s="45"/>
      <c r="W182" s="45"/>
      <c r="X182" s="45"/>
      <c r="Y182" s="45"/>
      <c r="Z182" s="45"/>
      <c r="AA182" s="45"/>
      <c r="AY182" s="66"/>
      <c r="AZ182" s="66"/>
      <c r="BA182" s="66"/>
      <c r="BB182" s="22"/>
    </row>
    <row r="183" spans="2:54" x14ac:dyDescent="0.45">
      <c r="B183" s="45" t="s">
        <v>567</v>
      </c>
      <c r="C183" s="90"/>
      <c r="D183" s="56"/>
      <c r="E183" s="80"/>
      <c r="F183" s="58"/>
      <c r="G183" s="58"/>
      <c r="H183" s="58"/>
      <c r="I183" s="58"/>
      <c r="J183" s="58"/>
      <c r="K183" s="58"/>
      <c r="L183" s="59">
        <f t="shared" si="28"/>
        <v>0</v>
      </c>
      <c r="M183" s="58"/>
      <c r="N183" s="58"/>
      <c r="O183" s="58"/>
      <c r="P183" s="58"/>
      <c r="Q183" s="60" t="e">
        <f t="shared" si="29"/>
        <v>#DIV/0!</v>
      </c>
      <c r="R183" s="61">
        <f t="shared" si="30"/>
        <v>0.43387671059875982</v>
      </c>
      <c r="S183" s="68"/>
      <c r="T183" s="97"/>
      <c r="U183" s="62">
        <f t="shared" si="31"/>
        <v>2021.2824107652905</v>
      </c>
      <c r="V183" s="45"/>
      <c r="W183" s="45"/>
      <c r="X183" s="45"/>
      <c r="Y183" s="45"/>
      <c r="Z183" s="45"/>
      <c r="AA183" s="45"/>
      <c r="AY183" s="66"/>
      <c r="AZ183" s="66"/>
      <c r="BA183" s="66"/>
      <c r="BB183" s="22"/>
    </row>
    <row r="184" spans="2:54" x14ac:dyDescent="0.45">
      <c r="B184" s="45" t="s">
        <v>568</v>
      </c>
      <c r="C184" s="90"/>
      <c r="D184" s="56"/>
      <c r="E184" s="80"/>
      <c r="F184" s="58"/>
      <c r="G184" s="58"/>
      <c r="H184" s="58"/>
      <c r="I184" s="58"/>
      <c r="J184" s="58"/>
      <c r="K184" s="58"/>
      <c r="L184" s="59">
        <f t="shared" si="28"/>
        <v>0</v>
      </c>
      <c r="M184" s="58"/>
      <c r="N184" s="58"/>
      <c r="O184" s="58"/>
      <c r="P184" s="58"/>
      <c r="Q184" s="60" t="e">
        <f t="shared" si="29"/>
        <v>#DIV/0!</v>
      </c>
      <c r="R184" s="61">
        <f t="shared" si="30"/>
        <v>0.43387671059875982</v>
      </c>
      <c r="S184" s="68"/>
      <c r="T184" s="97"/>
      <c r="U184" s="62">
        <f t="shared" si="31"/>
        <v>2021.2824107652905</v>
      </c>
      <c r="V184" s="45"/>
      <c r="W184" s="45"/>
      <c r="X184" s="45"/>
      <c r="Y184" s="45"/>
      <c r="Z184" s="45"/>
      <c r="AA184" s="45"/>
      <c r="AY184" s="66"/>
      <c r="AZ184" s="66"/>
      <c r="BA184" s="66"/>
      <c r="BB184" s="22"/>
    </row>
    <row r="185" spans="2:54" x14ac:dyDescent="0.45">
      <c r="B185" s="45" t="s">
        <v>569</v>
      </c>
      <c r="C185" s="90"/>
      <c r="D185" s="56"/>
      <c r="E185" s="84"/>
      <c r="F185" s="58"/>
      <c r="G185" s="58"/>
      <c r="H185" s="58"/>
      <c r="I185" s="58"/>
      <c r="J185" s="58"/>
      <c r="K185" s="58"/>
      <c r="L185" s="59">
        <f t="shared" si="28"/>
        <v>0</v>
      </c>
      <c r="M185" s="58"/>
      <c r="N185" s="58"/>
      <c r="O185" s="58"/>
      <c r="P185" s="58"/>
      <c r="Q185" s="60" t="e">
        <f t="shared" si="29"/>
        <v>#DIV/0!</v>
      </c>
      <c r="R185" s="61">
        <f t="shared" si="30"/>
        <v>0.43387671059875982</v>
      </c>
      <c r="S185" s="68"/>
      <c r="T185" s="97"/>
      <c r="U185" s="62">
        <f t="shared" si="31"/>
        <v>2021.2824107652905</v>
      </c>
      <c r="V185" s="45"/>
      <c r="W185" s="45"/>
      <c r="X185" s="45"/>
      <c r="Y185" s="45"/>
      <c r="Z185" s="45"/>
      <c r="AA185" s="45"/>
      <c r="AY185" s="66"/>
      <c r="AZ185" s="66"/>
      <c r="BA185" s="66"/>
      <c r="BB185" s="22"/>
    </row>
    <row r="186" spans="2:54" x14ac:dyDescent="0.45">
      <c r="B186" s="45" t="s">
        <v>570</v>
      </c>
      <c r="C186" s="90"/>
      <c r="D186" s="56"/>
      <c r="E186" s="57"/>
      <c r="F186" s="58"/>
      <c r="G186" s="58"/>
      <c r="H186" s="58"/>
      <c r="I186" s="58"/>
      <c r="J186" s="58"/>
      <c r="K186" s="58"/>
      <c r="L186" s="59">
        <f t="shared" si="28"/>
        <v>0</v>
      </c>
      <c r="M186" s="58"/>
      <c r="N186" s="58"/>
      <c r="O186" s="58"/>
      <c r="P186" s="58"/>
      <c r="Q186" s="60" t="e">
        <f t="shared" si="29"/>
        <v>#DIV/0!</v>
      </c>
      <c r="R186" s="61">
        <f t="shared" si="30"/>
        <v>0.43387671059875982</v>
      </c>
      <c r="S186" s="68"/>
      <c r="T186" s="97"/>
      <c r="U186" s="62">
        <f t="shared" si="31"/>
        <v>2021.2824107652905</v>
      </c>
      <c r="V186" s="45"/>
      <c r="W186" s="45"/>
      <c r="X186" s="45"/>
      <c r="Y186" s="45"/>
      <c r="Z186" s="45"/>
      <c r="AA186" s="45"/>
      <c r="AY186" s="66"/>
      <c r="AZ186" s="66"/>
      <c r="BA186" s="66"/>
      <c r="BB186" s="22"/>
    </row>
    <row r="187" spans="2:54" x14ac:dyDescent="0.45">
      <c r="B187" s="45" t="s">
        <v>571</v>
      </c>
      <c r="C187" s="90"/>
      <c r="D187" s="56"/>
      <c r="E187" s="57"/>
      <c r="F187" s="58"/>
      <c r="G187" s="58"/>
      <c r="H187" s="58"/>
      <c r="I187" s="58"/>
      <c r="J187" s="58"/>
      <c r="K187" s="58"/>
      <c r="L187" s="59">
        <f t="shared" si="28"/>
        <v>0</v>
      </c>
      <c r="M187" s="58"/>
      <c r="N187" s="58"/>
      <c r="O187" s="58"/>
      <c r="P187" s="58"/>
      <c r="Q187" s="60" t="e">
        <f t="shared" si="29"/>
        <v>#DIV/0!</v>
      </c>
      <c r="R187" s="61">
        <f t="shared" si="30"/>
        <v>0.43387671059875982</v>
      </c>
      <c r="S187" s="68"/>
      <c r="T187" s="97"/>
      <c r="U187" s="62">
        <f t="shared" si="31"/>
        <v>2021.2824107652905</v>
      </c>
      <c r="V187" s="45"/>
      <c r="W187" s="45"/>
      <c r="X187" s="45"/>
      <c r="Y187" s="45"/>
      <c r="Z187" s="45"/>
      <c r="AA187" s="45"/>
      <c r="AY187" s="66"/>
      <c r="AZ187" s="66"/>
      <c r="BA187" s="66"/>
      <c r="BB187" s="22"/>
    </row>
    <row r="188" spans="2:54" x14ac:dyDescent="0.45">
      <c r="B188" s="45" t="s">
        <v>572</v>
      </c>
      <c r="C188" s="90"/>
      <c r="D188" s="56"/>
      <c r="E188" s="80"/>
      <c r="F188" s="58"/>
      <c r="G188" s="58"/>
      <c r="H188" s="58"/>
      <c r="I188" s="58"/>
      <c r="J188" s="58"/>
      <c r="K188" s="58"/>
      <c r="L188" s="59">
        <f t="shared" si="28"/>
        <v>0</v>
      </c>
      <c r="M188" s="58"/>
      <c r="N188" s="58"/>
      <c r="O188" s="58"/>
      <c r="P188" s="58"/>
      <c r="Q188" s="60" t="e">
        <f t="shared" si="29"/>
        <v>#DIV/0!</v>
      </c>
      <c r="R188" s="61">
        <f t="shared" si="30"/>
        <v>0.43387671059875982</v>
      </c>
      <c r="S188" s="68"/>
      <c r="T188" s="97"/>
      <c r="U188" s="62">
        <f t="shared" si="31"/>
        <v>2021.2824107652905</v>
      </c>
      <c r="V188" s="45"/>
      <c r="W188" s="45"/>
      <c r="X188" s="45"/>
      <c r="Y188" s="45"/>
      <c r="Z188" s="45"/>
      <c r="AA188" s="45"/>
      <c r="AY188" s="66"/>
      <c r="AZ188" s="66"/>
      <c r="BA188" s="66"/>
      <c r="BB188" s="22"/>
    </row>
    <row r="189" spans="2:54" x14ac:dyDescent="0.45">
      <c r="B189" s="45" t="s">
        <v>573</v>
      </c>
      <c r="C189" s="90"/>
      <c r="D189" s="56"/>
      <c r="E189" s="84"/>
      <c r="F189" s="58"/>
      <c r="G189" s="58"/>
      <c r="H189" s="58"/>
      <c r="I189" s="58"/>
      <c r="J189" s="58"/>
      <c r="K189" s="58"/>
      <c r="L189" s="59">
        <f t="shared" si="28"/>
        <v>0</v>
      </c>
      <c r="M189" s="58"/>
      <c r="N189" s="58"/>
      <c r="O189" s="58"/>
      <c r="P189" s="58"/>
      <c r="Q189" s="60" t="e">
        <f t="shared" si="29"/>
        <v>#DIV/0!</v>
      </c>
      <c r="R189" s="61">
        <f t="shared" si="30"/>
        <v>0.43387671059875982</v>
      </c>
      <c r="S189" s="68"/>
      <c r="T189" s="97"/>
      <c r="U189" s="62">
        <f t="shared" si="31"/>
        <v>2021.2824107652905</v>
      </c>
      <c r="V189" s="45"/>
      <c r="W189" s="45"/>
      <c r="X189" s="45"/>
      <c r="Y189" s="45"/>
      <c r="Z189" s="45"/>
      <c r="AA189" s="45"/>
      <c r="AY189" s="66"/>
      <c r="AZ189" s="66"/>
      <c r="BA189" s="66"/>
      <c r="BB189" s="22"/>
    </row>
    <row r="190" spans="2:54" x14ac:dyDescent="0.45">
      <c r="B190" s="45" t="s">
        <v>574</v>
      </c>
      <c r="C190" s="90"/>
      <c r="D190" s="56"/>
      <c r="E190" s="57"/>
      <c r="F190" s="58"/>
      <c r="G190" s="58"/>
      <c r="H190" s="58"/>
      <c r="I190" s="58"/>
      <c r="J190" s="58"/>
      <c r="K190" s="58"/>
      <c r="L190" s="59">
        <f t="shared" si="28"/>
        <v>0</v>
      </c>
      <c r="M190" s="58"/>
      <c r="N190" s="58"/>
      <c r="O190" s="58"/>
      <c r="P190" s="58"/>
      <c r="Q190" s="60" t="e">
        <f t="shared" si="29"/>
        <v>#DIV/0!</v>
      </c>
      <c r="R190" s="61">
        <f t="shared" si="30"/>
        <v>0.43387671059875982</v>
      </c>
      <c r="S190" s="68"/>
      <c r="T190" s="97"/>
      <c r="U190" s="62">
        <f t="shared" si="31"/>
        <v>2021.2824107652905</v>
      </c>
      <c r="V190" s="45"/>
      <c r="W190" s="45"/>
      <c r="X190" s="45"/>
      <c r="Y190" s="45"/>
      <c r="Z190" s="45"/>
      <c r="AA190" s="45"/>
      <c r="AY190" s="66"/>
      <c r="AZ190" s="66"/>
      <c r="BA190" s="66"/>
      <c r="BB190" s="22"/>
    </row>
    <row r="191" spans="2:54" x14ac:dyDescent="0.45">
      <c r="B191" s="45" t="s">
        <v>575</v>
      </c>
      <c r="C191" s="90"/>
      <c r="D191" s="56"/>
      <c r="E191" s="80"/>
      <c r="F191" s="58"/>
      <c r="G191" s="58"/>
      <c r="H191" s="58"/>
      <c r="I191" s="58"/>
      <c r="J191" s="58"/>
      <c r="K191" s="58"/>
      <c r="L191" s="59">
        <f t="shared" si="28"/>
        <v>0</v>
      </c>
      <c r="M191" s="58"/>
      <c r="N191" s="58"/>
      <c r="O191" s="58"/>
      <c r="P191" s="58"/>
      <c r="Q191" s="60" t="e">
        <f t="shared" si="29"/>
        <v>#DIV/0!</v>
      </c>
      <c r="R191" s="61">
        <f t="shared" si="30"/>
        <v>0.43387671059875982</v>
      </c>
      <c r="S191" s="68"/>
      <c r="T191" s="97"/>
      <c r="U191" s="62">
        <f t="shared" si="31"/>
        <v>2021.2824107652905</v>
      </c>
      <c r="V191" s="45"/>
      <c r="W191" s="45"/>
      <c r="X191" s="45"/>
      <c r="Y191" s="45"/>
      <c r="Z191" s="45"/>
      <c r="AA191" s="45"/>
      <c r="AY191" s="66"/>
      <c r="AZ191" s="66"/>
      <c r="BA191" s="66"/>
      <c r="BB191" s="22"/>
    </row>
    <row r="192" spans="2:54" x14ac:dyDescent="0.45">
      <c r="B192" s="45" t="s">
        <v>576</v>
      </c>
      <c r="C192" s="90"/>
      <c r="D192" s="56"/>
      <c r="E192" s="57"/>
      <c r="F192" s="58"/>
      <c r="G192" s="58"/>
      <c r="H192" s="58"/>
      <c r="I192" s="58"/>
      <c r="J192" s="58"/>
      <c r="K192" s="58"/>
      <c r="L192" s="59">
        <f t="shared" si="28"/>
        <v>0</v>
      </c>
      <c r="M192" s="58"/>
      <c r="N192" s="58"/>
      <c r="O192" s="58"/>
      <c r="P192" s="58"/>
      <c r="Q192" s="60" t="e">
        <f t="shared" si="29"/>
        <v>#DIV/0!</v>
      </c>
      <c r="R192" s="61">
        <f t="shared" si="30"/>
        <v>0.43387671059875982</v>
      </c>
      <c r="S192" s="68"/>
      <c r="T192" s="97"/>
      <c r="U192" s="62">
        <f t="shared" si="31"/>
        <v>2021.2824107652905</v>
      </c>
      <c r="V192" s="45"/>
      <c r="W192" s="45"/>
      <c r="X192" s="45"/>
      <c r="Y192" s="45"/>
      <c r="Z192" s="45"/>
      <c r="AA192" s="45"/>
      <c r="AY192" s="66"/>
      <c r="AZ192" s="66"/>
      <c r="BA192" s="66"/>
      <c r="BB192" s="22"/>
    </row>
    <row r="193" spans="2:54" x14ac:dyDescent="0.45">
      <c r="B193" s="45" t="s">
        <v>577</v>
      </c>
      <c r="C193" s="90"/>
      <c r="D193" s="56"/>
      <c r="E193" s="80"/>
      <c r="F193" s="58"/>
      <c r="G193" s="58"/>
      <c r="H193" s="58"/>
      <c r="I193" s="58"/>
      <c r="J193" s="58"/>
      <c r="K193" s="58"/>
      <c r="L193" s="59">
        <f t="shared" si="28"/>
        <v>0</v>
      </c>
      <c r="M193" s="58"/>
      <c r="N193" s="58"/>
      <c r="O193" s="58"/>
      <c r="P193" s="58"/>
      <c r="Q193" s="60" t="e">
        <f t="shared" si="29"/>
        <v>#DIV/0!</v>
      </c>
      <c r="R193" s="61">
        <f t="shared" si="30"/>
        <v>0.43387671059875982</v>
      </c>
      <c r="S193" s="68"/>
      <c r="T193" s="97"/>
      <c r="U193" s="62">
        <f t="shared" si="31"/>
        <v>2021.2824107652905</v>
      </c>
      <c r="V193" s="45"/>
      <c r="W193" s="45"/>
      <c r="X193" s="45"/>
      <c r="Y193" s="45"/>
      <c r="Z193" s="45"/>
      <c r="AA193" s="45"/>
      <c r="AY193" s="66"/>
      <c r="AZ193" s="66"/>
      <c r="BA193" s="66"/>
      <c r="BB193" s="22"/>
    </row>
    <row r="194" spans="2:54" x14ac:dyDescent="0.45">
      <c r="B194" s="45" t="s">
        <v>578</v>
      </c>
      <c r="C194" s="90"/>
      <c r="D194" s="56"/>
      <c r="E194" s="84"/>
      <c r="F194" s="58"/>
      <c r="G194" s="58"/>
      <c r="H194" s="58"/>
      <c r="I194" s="58"/>
      <c r="J194" s="58"/>
      <c r="K194" s="58"/>
      <c r="L194" s="59">
        <f t="shared" si="28"/>
        <v>0</v>
      </c>
      <c r="M194" s="58"/>
      <c r="N194" s="58"/>
      <c r="O194" s="58"/>
      <c r="P194" s="58"/>
      <c r="Q194" s="60" t="e">
        <f t="shared" si="29"/>
        <v>#DIV/0!</v>
      </c>
      <c r="R194" s="61">
        <f t="shared" si="30"/>
        <v>0.43387671059875982</v>
      </c>
      <c r="S194" s="68"/>
      <c r="T194" s="97"/>
      <c r="U194" s="62">
        <f t="shared" si="31"/>
        <v>2021.2824107652905</v>
      </c>
      <c r="V194" s="45"/>
      <c r="W194" s="45"/>
      <c r="X194" s="45"/>
      <c r="Y194" s="45"/>
      <c r="Z194" s="45"/>
      <c r="AA194" s="45"/>
      <c r="AY194" s="66"/>
      <c r="AZ194" s="66"/>
      <c r="BA194" s="66"/>
      <c r="BB194" s="22"/>
    </row>
    <row r="195" spans="2:54" x14ac:dyDescent="0.45">
      <c r="B195" s="45" t="s">
        <v>579</v>
      </c>
      <c r="C195" s="90"/>
      <c r="D195" s="56"/>
      <c r="E195" s="57"/>
      <c r="F195" s="58"/>
      <c r="G195" s="58"/>
      <c r="H195" s="58"/>
      <c r="I195" s="58"/>
      <c r="J195" s="58"/>
      <c r="K195" s="58"/>
      <c r="L195" s="59">
        <f t="shared" si="28"/>
        <v>0</v>
      </c>
      <c r="M195" s="58"/>
      <c r="N195" s="58"/>
      <c r="O195" s="58"/>
      <c r="P195" s="58"/>
      <c r="Q195" s="60" t="e">
        <f t="shared" si="29"/>
        <v>#DIV/0!</v>
      </c>
      <c r="R195" s="61">
        <f t="shared" si="30"/>
        <v>0.43387671059875982</v>
      </c>
      <c r="S195" s="68"/>
      <c r="T195" s="97"/>
      <c r="U195" s="62">
        <f t="shared" si="31"/>
        <v>2021.2824107652905</v>
      </c>
      <c r="V195" s="45"/>
      <c r="W195" s="45"/>
      <c r="X195" s="45"/>
      <c r="Y195" s="45"/>
      <c r="Z195" s="45"/>
      <c r="AA195" s="45"/>
      <c r="AY195" s="66"/>
      <c r="AZ195" s="66"/>
      <c r="BA195" s="66"/>
      <c r="BB195" s="22"/>
    </row>
    <row r="196" spans="2:54" x14ac:dyDescent="0.45">
      <c r="B196" s="45" t="s">
        <v>580</v>
      </c>
      <c r="C196" s="90"/>
      <c r="D196" s="56"/>
      <c r="E196" s="84"/>
      <c r="F196" s="58"/>
      <c r="G196" s="58"/>
      <c r="H196" s="58"/>
      <c r="I196" s="58"/>
      <c r="J196" s="58"/>
      <c r="K196" s="58"/>
      <c r="L196" s="59">
        <f t="shared" si="28"/>
        <v>0</v>
      </c>
      <c r="M196" s="58"/>
      <c r="N196" s="58"/>
      <c r="O196" s="58"/>
      <c r="P196" s="58"/>
      <c r="Q196" s="60" t="e">
        <f t="shared" si="29"/>
        <v>#DIV/0!</v>
      </c>
      <c r="R196" s="61">
        <f t="shared" si="30"/>
        <v>0.43387671059875982</v>
      </c>
      <c r="S196" s="68"/>
      <c r="T196" s="97"/>
      <c r="U196" s="62">
        <f t="shared" si="31"/>
        <v>2021.2824107652905</v>
      </c>
      <c r="V196" s="45"/>
      <c r="W196" s="45"/>
      <c r="X196" s="45"/>
      <c r="Y196" s="45"/>
      <c r="Z196" s="45"/>
      <c r="AA196" s="45"/>
      <c r="AY196" s="66"/>
      <c r="AZ196" s="66"/>
      <c r="BA196" s="66"/>
      <c r="BB196" s="22"/>
    </row>
    <row r="197" spans="2:54" x14ac:dyDescent="0.45">
      <c r="B197" s="45" t="s">
        <v>581</v>
      </c>
      <c r="C197" s="90"/>
      <c r="D197" s="56"/>
      <c r="E197" s="57"/>
      <c r="F197" s="58"/>
      <c r="G197" s="58"/>
      <c r="H197" s="58"/>
      <c r="I197" s="58"/>
      <c r="J197" s="58"/>
      <c r="K197" s="58"/>
      <c r="L197" s="59">
        <f t="shared" si="28"/>
        <v>0</v>
      </c>
      <c r="M197" s="58"/>
      <c r="N197" s="58"/>
      <c r="O197" s="58"/>
      <c r="P197" s="58"/>
      <c r="Q197" s="60" t="e">
        <f t="shared" si="29"/>
        <v>#DIV/0!</v>
      </c>
      <c r="R197" s="61">
        <f t="shared" si="30"/>
        <v>0.43387671059875982</v>
      </c>
      <c r="S197" s="68"/>
      <c r="T197" s="97"/>
      <c r="U197" s="62">
        <f t="shared" si="31"/>
        <v>2021.2824107652905</v>
      </c>
      <c r="V197" s="45"/>
      <c r="W197" s="45"/>
      <c r="X197" s="45"/>
      <c r="Y197" s="45"/>
      <c r="Z197" s="45"/>
      <c r="AA197" s="45"/>
      <c r="AY197" s="66"/>
      <c r="AZ197" s="66"/>
      <c r="BA197" s="66"/>
      <c r="BB197" s="22"/>
    </row>
    <row r="198" spans="2:54" x14ac:dyDescent="0.45">
      <c r="B198" s="45" t="s">
        <v>582</v>
      </c>
      <c r="C198" s="90"/>
      <c r="D198" s="56"/>
      <c r="E198" s="80"/>
      <c r="F198" s="58"/>
      <c r="G198" s="58"/>
      <c r="H198" s="58"/>
      <c r="I198" s="58"/>
      <c r="J198" s="58"/>
      <c r="K198" s="58"/>
      <c r="L198" s="59">
        <f t="shared" si="28"/>
        <v>0</v>
      </c>
      <c r="M198" s="58"/>
      <c r="N198" s="58"/>
      <c r="O198" s="58"/>
      <c r="P198" s="58"/>
      <c r="Q198" s="60" t="e">
        <f t="shared" si="29"/>
        <v>#DIV/0!</v>
      </c>
      <c r="R198" s="61">
        <f t="shared" si="30"/>
        <v>0.43387671059875982</v>
      </c>
      <c r="S198" s="68"/>
      <c r="T198" s="97"/>
      <c r="U198" s="62">
        <f t="shared" si="31"/>
        <v>2021.2824107652905</v>
      </c>
      <c r="V198" s="45"/>
      <c r="W198" s="45"/>
      <c r="X198" s="45"/>
      <c r="Y198" s="45"/>
      <c r="Z198" s="45"/>
      <c r="AA198" s="45"/>
      <c r="AY198" s="66"/>
      <c r="AZ198" s="66"/>
      <c r="BA198" s="66"/>
      <c r="BB198" s="22"/>
    </row>
    <row r="199" spans="2:54" x14ac:dyDescent="0.45">
      <c r="B199" s="45" t="s">
        <v>583</v>
      </c>
      <c r="C199" s="90"/>
      <c r="D199" s="56"/>
      <c r="E199" s="84"/>
      <c r="F199" s="58"/>
      <c r="G199" s="58"/>
      <c r="H199" s="58"/>
      <c r="I199" s="58"/>
      <c r="J199" s="58"/>
      <c r="K199" s="58"/>
      <c r="L199" s="59">
        <f t="shared" si="28"/>
        <v>0</v>
      </c>
      <c r="M199" s="58"/>
      <c r="N199" s="58"/>
      <c r="O199" s="58"/>
      <c r="P199" s="58"/>
      <c r="Q199" s="60" t="e">
        <f t="shared" si="29"/>
        <v>#DIV/0!</v>
      </c>
      <c r="R199" s="61">
        <f t="shared" si="30"/>
        <v>0.43387671059875982</v>
      </c>
      <c r="S199" s="68"/>
      <c r="T199" s="97"/>
      <c r="U199" s="62">
        <f t="shared" si="31"/>
        <v>2021.2824107652905</v>
      </c>
      <c r="V199" s="45"/>
      <c r="W199" s="45"/>
      <c r="X199" s="45"/>
      <c r="Y199" s="45"/>
      <c r="Z199" s="45"/>
      <c r="AA199" s="45"/>
      <c r="AY199" s="66"/>
      <c r="AZ199" s="66"/>
      <c r="BA199" s="66"/>
      <c r="BB199" s="22"/>
    </row>
    <row r="200" spans="2:54" x14ac:dyDescent="0.45">
      <c r="B200" s="45" t="s">
        <v>584</v>
      </c>
      <c r="C200" s="90"/>
      <c r="D200" s="56"/>
      <c r="E200" s="57"/>
      <c r="F200" s="58"/>
      <c r="G200" s="58"/>
      <c r="H200" s="58"/>
      <c r="I200" s="58"/>
      <c r="J200" s="58"/>
      <c r="K200" s="58"/>
      <c r="L200" s="59">
        <f t="shared" si="28"/>
        <v>0</v>
      </c>
      <c r="M200" s="58"/>
      <c r="N200" s="58"/>
      <c r="O200" s="58"/>
      <c r="P200" s="58"/>
      <c r="Q200" s="60" t="e">
        <f t="shared" si="29"/>
        <v>#DIV/0!</v>
      </c>
      <c r="R200" s="61">
        <f t="shared" si="30"/>
        <v>0.43387671059875982</v>
      </c>
      <c r="S200" s="68"/>
      <c r="T200" s="97"/>
      <c r="U200" s="62">
        <f t="shared" si="31"/>
        <v>2021.2824107652905</v>
      </c>
      <c r="V200" s="45"/>
      <c r="W200" s="45"/>
      <c r="X200" s="45"/>
      <c r="Y200" s="45"/>
      <c r="Z200" s="45"/>
      <c r="AA200" s="45"/>
      <c r="AY200" s="66"/>
      <c r="AZ200" s="66"/>
      <c r="BA200" s="66"/>
      <c r="BB200" s="22"/>
    </row>
    <row r="201" spans="2:54" x14ac:dyDescent="0.45">
      <c r="B201" s="45" t="s">
        <v>585</v>
      </c>
      <c r="C201" s="90"/>
      <c r="D201" s="56"/>
      <c r="E201" s="80"/>
      <c r="F201" s="58"/>
      <c r="G201" s="58"/>
      <c r="H201" s="58"/>
      <c r="I201" s="58"/>
      <c r="J201" s="58"/>
      <c r="K201" s="58"/>
      <c r="L201" s="59">
        <f t="shared" si="28"/>
        <v>0</v>
      </c>
      <c r="M201" s="58"/>
      <c r="N201" s="58"/>
      <c r="O201" s="58"/>
      <c r="P201" s="58"/>
      <c r="Q201" s="60" t="e">
        <f t="shared" si="29"/>
        <v>#DIV/0!</v>
      </c>
      <c r="R201" s="61">
        <f t="shared" si="30"/>
        <v>0.43387671059875982</v>
      </c>
      <c r="S201" s="68"/>
      <c r="T201" s="97"/>
      <c r="U201" s="62">
        <f t="shared" si="31"/>
        <v>2021.2824107652905</v>
      </c>
      <c r="V201" s="45"/>
      <c r="W201" s="45"/>
      <c r="X201" s="45"/>
      <c r="Y201" s="45"/>
      <c r="Z201" s="45"/>
      <c r="AA201" s="45"/>
      <c r="AY201" s="66"/>
      <c r="AZ201" s="66"/>
      <c r="BA201" s="66"/>
      <c r="BB201" s="22"/>
    </row>
    <row r="202" spans="2:54" x14ac:dyDescent="0.45">
      <c r="B202" s="45" t="s">
        <v>586</v>
      </c>
      <c r="C202" s="90"/>
      <c r="D202" s="56"/>
      <c r="E202" s="84"/>
      <c r="F202" s="58"/>
      <c r="G202" s="58"/>
      <c r="H202" s="58"/>
      <c r="I202" s="58"/>
      <c r="J202" s="58"/>
      <c r="K202" s="58"/>
      <c r="L202" s="59">
        <f t="shared" si="28"/>
        <v>0</v>
      </c>
      <c r="M202" s="58"/>
      <c r="N202" s="58"/>
      <c r="O202" s="58"/>
      <c r="P202" s="58"/>
      <c r="Q202" s="60" t="e">
        <f t="shared" si="29"/>
        <v>#DIV/0!</v>
      </c>
      <c r="R202" s="61">
        <f t="shared" si="30"/>
        <v>0.43387671059875982</v>
      </c>
      <c r="S202" s="68"/>
      <c r="T202" s="97"/>
      <c r="U202" s="62">
        <f t="shared" si="31"/>
        <v>2021.2824107652905</v>
      </c>
      <c r="V202" s="45"/>
      <c r="W202" s="45"/>
      <c r="X202" s="45"/>
      <c r="Y202" s="45"/>
      <c r="Z202" s="45"/>
      <c r="AA202" s="45"/>
      <c r="AY202" s="66"/>
      <c r="AZ202" s="66"/>
      <c r="BA202" s="66"/>
      <c r="BB202" s="22"/>
    </row>
    <row r="203" spans="2:54" x14ac:dyDescent="0.45">
      <c r="B203" s="45" t="s">
        <v>587</v>
      </c>
      <c r="C203" s="90"/>
      <c r="D203" s="56"/>
      <c r="E203" s="57"/>
      <c r="F203" s="58"/>
      <c r="G203" s="58"/>
      <c r="H203" s="58"/>
      <c r="I203" s="58"/>
      <c r="J203" s="58"/>
      <c r="K203" s="58"/>
      <c r="L203" s="59">
        <f t="shared" si="28"/>
        <v>0</v>
      </c>
      <c r="M203" s="58"/>
      <c r="N203" s="58"/>
      <c r="O203" s="58"/>
      <c r="P203" s="58"/>
      <c r="Q203" s="60" t="e">
        <f t="shared" si="29"/>
        <v>#DIV/0!</v>
      </c>
      <c r="R203" s="61">
        <f t="shared" si="30"/>
        <v>0.43387671059875982</v>
      </c>
      <c r="S203" s="68"/>
      <c r="T203" s="97"/>
      <c r="U203" s="62">
        <f t="shared" si="31"/>
        <v>2021.2824107652905</v>
      </c>
      <c r="V203" s="45"/>
      <c r="W203" s="45"/>
      <c r="X203" s="45"/>
      <c r="Y203" s="45"/>
      <c r="Z203" s="45"/>
      <c r="AA203" s="45"/>
      <c r="AY203" s="66"/>
      <c r="AZ203" s="66"/>
      <c r="BA203" s="66"/>
      <c r="BB203" s="22"/>
    </row>
    <row r="204" spans="2:54" x14ac:dyDescent="0.45">
      <c r="B204" s="45" t="s">
        <v>588</v>
      </c>
      <c r="C204" s="90"/>
      <c r="D204" s="56"/>
      <c r="E204" s="80"/>
      <c r="F204" s="58"/>
      <c r="G204" s="58"/>
      <c r="H204" s="58"/>
      <c r="I204" s="58"/>
      <c r="J204" s="58"/>
      <c r="K204" s="58"/>
      <c r="L204" s="59">
        <f t="shared" si="28"/>
        <v>0</v>
      </c>
      <c r="M204" s="58"/>
      <c r="N204" s="58"/>
      <c r="O204" s="58"/>
      <c r="P204" s="58"/>
      <c r="Q204" s="60" t="e">
        <f t="shared" si="29"/>
        <v>#DIV/0!</v>
      </c>
      <c r="R204" s="61">
        <f t="shared" si="30"/>
        <v>0.43387671059875982</v>
      </c>
      <c r="S204" s="68"/>
      <c r="T204" s="97"/>
      <c r="U204" s="62">
        <f t="shared" si="31"/>
        <v>2021.2824107652905</v>
      </c>
      <c r="V204" s="45"/>
      <c r="W204" s="45"/>
      <c r="X204" s="45"/>
      <c r="Y204" s="45"/>
      <c r="Z204" s="45"/>
      <c r="AA204" s="45"/>
      <c r="AY204" s="66"/>
      <c r="AZ204" s="66"/>
      <c r="BA204" s="66"/>
      <c r="BB204" s="22"/>
    </row>
    <row r="205" spans="2:54" x14ac:dyDescent="0.45">
      <c r="B205" s="45" t="s">
        <v>589</v>
      </c>
      <c r="C205" s="90"/>
      <c r="D205" s="56"/>
      <c r="E205" s="84"/>
      <c r="F205" s="58"/>
      <c r="G205" s="58"/>
      <c r="H205" s="58"/>
      <c r="I205" s="58"/>
      <c r="J205" s="58"/>
      <c r="K205" s="58"/>
      <c r="L205" s="59">
        <f t="shared" si="28"/>
        <v>0</v>
      </c>
      <c r="M205" s="58"/>
      <c r="N205" s="58"/>
      <c r="O205" s="58"/>
      <c r="P205" s="58"/>
      <c r="Q205" s="60" t="e">
        <f t="shared" si="29"/>
        <v>#DIV/0!</v>
      </c>
      <c r="R205" s="61">
        <f t="shared" si="30"/>
        <v>0.43387671059875982</v>
      </c>
      <c r="S205" s="68"/>
      <c r="T205" s="97"/>
      <c r="U205" s="62">
        <f t="shared" si="31"/>
        <v>2021.2824107652905</v>
      </c>
      <c r="V205" s="45"/>
      <c r="W205" s="45"/>
      <c r="X205" s="45"/>
      <c r="Y205" s="45"/>
      <c r="Z205" s="45"/>
      <c r="AA205" s="45"/>
      <c r="AY205" s="66"/>
      <c r="AZ205" s="66"/>
      <c r="BA205" s="66"/>
      <c r="BB205" s="22"/>
    </row>
    <row r="206" spans="2:54" x14ac:dyDescent="0.45">
      <c r="B206" s="45" t="s">
        <v>590</v>
      </c>
      <c r="C206" s="90"/>
      <c r="D206" s="56"/>
      <c r="E206" s="57"/>
      <c r="F206" s="58"/>
      <c r="G206" s="58"/>
      <c r="H206" s="58"/>
      <c r="I206" s="58"/>
      <c r="J206" s="58"/>
      <c r="K206" s="58"/>
      <c r="L206" s="59">
        <f t="shared" si="28"/>
        <v>0</v>
      </c>
      <c r="M206" s="58"/>
      <c r="N206" s="58"/>
      <c r="O206" s="58"/>
      <c r="P206" s="58"/>
      <c r="Q206" s="60" t="e">
        <f t="shared" si="29"/>
        <v>#DIV/0!</v>
      </c>
      <c r="R206" s="61">
        <f t="shared" si="30"/>
        <v>0.43387671059875982</v>
      </c>
      <c r="S206" s="68"/>
      <c r="T206" s="97"/>
      <c r="U206" s="62">
        <f t="shared" si="31"/>
        <v>2021.2824107652905</v>
      </c>
      <c r="V206" s="45"/>
      <c r="W206" s="45"/>
      <c r="X206" s="45"/>
      <c r="Y206" s="45"/>
      <c r="Z206" s="45"/>
      <c r="AA206" s="45"/>
      <c r="AY206" s="66"/>
      <c r="AZ206" s="66"/>
      <c r="BA206" s="66"/>
      <c r="BB206" s="22"/>
    </row>
    <row r="207" spans="2:54" x14ac:dyDescent="0.45">
      <c r="B207" s="45" t="s">
        <v>591</v>
      </c>
      <c r="C207" s="90"/>
      <c r="D207" s="56"/>
      <c r="E207" s="80"/>
      <c r="F207" s="58"/>
      <c r="G207" s="58"/>
      <c r="H207" s="58"/>
      <c r="I207" s="58"/>
      <c r="J207" s="58"/>
      <c r="K207" s="58"/>
      <c r="L207" s="59">
        <f t="shared" si="28"/>
        <v>0</v>
      </c>
      <c r="M207" s="58"/>
      <c r="N207" s="58"/>
      <c r="O207" s="58"/>
      <c r="P207" s="58"/>
      <c r="Q207" s="60" t="e">
        <f t="shared" si="29"/>
        <v>#DIV/0!</v>
      </c>
      <c r="R207" s="61">
        <f t="shared" si="30"/>
        <v>0.43387671059875982</v>
      </c>
      <c r="S207" s="68"/>
      <c r="T207" s="97"/>
      <c r="U207" s="62">
        <f t="shared" si="31"/>
        <v>2021.2824107652905</v>
      </c>
      <c r="V207" s="45"/>
      <c r="W207" s="45"/>
      <c r="X207" s="45"/>
      <c r="Y207" s="45"/>
      <c r="Z207" s="45"/>
      <c r="AA207" s="45"/>
      <c r="AY207" s="66"/>
      <c r="AZ207" s="66"/>
      <c r="BA207" s="66"/>
      <c r="BB207" s="22"/>
    </row>
    <row r="208" spans="2:54" x14ac:dyDescent="0.45">
      <c r="B208" s="45" t="s">
        <v>592</v>
      </c>
      <c r="C208" s="90"/>
      <c r="D208" s="56"/>
      <c r="E208" s="84"/>
      <c r="F208" s="58"/>
      <c r="G208" s="58"/>
      <c r="H208" s="58"/>
      <c r="I208" s="58"/>
      <c r="J208" s="58"/>
      <c r="K208" s="58"/>
      <c r="L208" s="59">
        <f t="shared" si="28"/>
        <v>0</v>
      </c>
      <c r="M208" s="58"/>
      <c r="N208" s="58"/>
      <c r="O208" s="58"/>
      <c r="P208" s="58"/>
      <c r="Q208" s="60" t="e">
        <f t="shared" si="29"/>
        <v>#DIV/0!</v>
      </c>
      <c r="R208" s="61">
        <f t="shared" si="30"/>
        <v>0.43387671059875982</v>
      </c>
      <c r="S208" s="68"/>
      <c r="T208" s="97"/>
      <c r="U208" s="62">
        <f t="shared" si="31"/>
        <v>2021.2824107652905</v>
      </c>
      <c r="V208" s="45"/>
      <c r="W208" s="45"/>
      <c r="X208" s="45"/>
      <c r="Y208" s="45"/>
      <c r="Z208" s="45"/>
      <c r="AA208" s="45"/>
      <c r="AY208" s="66"/>
      <c r="AZ208" s="66"/>
      <c r="BA208" s="66"/>
      <c r="BB208" s="22"/>
    </row>
    <row r="209" spans="2:54" x14ac:dyDescent="0.45">
      <c r="B209" s="45" t="s">
        <v>593</v>
      </c>
      <c r="C209" s="90"/>
      <c r="D209" s="56"/>
      <c r="E209" s="57"/>
      <c r="F209" s="58"/>
      <c r="G209" s="58"/>
      <c r="H209" s="58"/>
      <c r="I209" s="58"/>
      <c r="J209" s="58"/>
      <c r="K209" s="58"/>
      <c r="L209" s="59">
        <f t="shared" si="28"/>
        <v>0</v>
      </c>
      <c r="M209" s="58"/>
      <c r="N209" s="58"/>
      <c r="O209" s="58"/>
      <c r="P209" s="58"/>
      <c r="Q209" s="60" t="e">
        <f t="shared" si="29"/>
        <v>#DIV/0!</v>
      </c>
      <c r="R209" s="61">
        <f t="shared" si="30"/>
        <v>0.43387671059875982</v>
      </c>
      <c r="S209" s="68"/>
      <c r="T209" s="97"/>
      <c r="U209" s="62">
        <f t="shared" si="31"/>
        <v>2021.2824107652905</v>
      </c>
      <c r="V209" s="45"/>
      <c r="W209" s="45"/>
      <c r="X209" s="45"/>
      <c r="Y209" s="45"/>
      <c r="Z209" s="45"/>
      <c r="AA209" s="45"/>
      <c r="AY209" s="66"/>
      <c r="AZ209" s="66"/>
      <c r="BA209" s="66"/>
      <c r="BB209" s="22"/>
    </row>
    <row r="210" spans="2:54" x14ac:dyDescent="0.45">
      <c r="B210" s="45" t="s">
        <v>594</v>
      </c>
      <c r="C210" s="90"/>
      <c r="D210" s="56"/>
      <c r="E210" s="80"/>
      <c r="F210" s="58"/>
      <c r="G210" s="58"/>
      <c r="H210" s="58"/>
      <c r="I210" s="58"/>
      <c r="J210" s="58"/>
      <c r="K210" s="58"/>
      <c r="L210" s="59">
        <f t="shared" si="28"/>
        <v>0</v>
      </c>
      <c r="M210" s="58"/>
      <c r="N210" s="58"/>
      <c r="O210" s="58"/>
      <c r="P210" s="58"/>
      <c r="Q210" s="60" t="e">
        <f t="shared" si="29"/>
        <v>#DIV/0!</v>
      </c>
      <c r="R210" s="61">
        <f t="shared" si="30"/>
        <v>0.43387671059875982</v>
      </c>
      <c r="S210" s="68"/>
      <c r="T210" s="97"/>
      <c r="U210" s="62">
        <f t="shared" si="31"/>
        <v>2021.2824107652905</v>
      </c>
      <c r="V210" s="45"/>
      <c r="W210" s="45"/>
      <c r="X210" s="45"/>
      <c r="Y210" s="45"/>
      <c r="Z210" s="45"/>
      <c r="AA210" s="45"/>
      <c r="AY210" s="66"/>
      <c r="AZ210" s="66"/>
      <c r="BA210" s="66"/>
      <c r="BB210" s="22"/>
    </row>
    <row r="211" spans="2:54" x14ac:dyDescent="0.45">
      <c r="B211" s="45" t="s">
        <v>595</v>
      </c>
      <c r="C211" s="90"/>
      <c r="D211" s="56"/>
      <c r="E211" s="84"/>
      <c r="F211" s="58"/>
      <c r="G211" s="58"/>
      <c r="H211" s="58"/>
      <c r="I211" s="58"/>
      <c r="J211" s="58"/>
      <c r="K211" s="58"/>
      <c r="L211" s="59">
        <f t="shared" si="28"/>
        <v>0</v>
      </c>
      <c r="M211" s="58"/>
      <c r="N211" s="58"/>
      <c r="O211" s="58"/>
      <c r="P211" s="58"/>
      <c r="Q211" s="60" t="e">
        <f t="shared" si="29"/>
        <v>#DIV/0!</v>
      </c>
      <c r="R211" s="61">
        <f t="shared" si="30"/>
        <v>0.43387671059875982</v>
      </c>
      <c r="S211" s="68"/>
      <c r="T211" s="97"/>
      <c r="U211" s="62">
        <f t="shared" si="31"/>
        <v>2021.2824107652905</v>
      </c>
      <c r="V211" s="45"/>
      <c r="W211" s="45"/>
      <c r="X211" s="45"/>
      <c r="Y211" s="45"/>
      <c r="Z211" s="45"/>
      <c r="AA211" s="45"/>
      <c r="AY211" s="66"/>
      <c r="AZ211" s="66"/>
      <c r="BA211" s="66"/>
      <c r="BB211" s="22"/>
    </row>
    <row r="212" spans="2:54" x14ac:dyDescent="0.45">
      <c r="B212" s="45" t="s">
        <v>596</v>
      </c>
      <c r="C212" s="90"/>
      <c r="D212" s="56"/>
      <c r="E212" s="84"/>
      <c r="F212" s="58"/>
      <c r="G212" s="58"/>
      <c r="H212" s="58"/>
      <c r="I212" s="58"/>
      <c r="J212" s="58"/>
      <c r="K212" s="58"/>
      <c r="L212" s="59">
        <f t="shared" ref="L212:L219" si="32">1/2*((F212*I212+H212*K212+J212*G212)-(G212*H212+I212*J212+K212*F212))/0.1582*100</f>
        <v>0</v>
      </c>
      <c r="M212" s="58"/>
      <c r="N212" s="58"/>
      <c r="O212" s="58"/>
      <c r="P212" s="58"/>
      <c r="Q212" s="60" t="e">
        <f t="shared" ref="Q212:Q219" si="33">O212/P212</f>
        <v>#DIV/0!</v>
      </c>
      <c r="R212" s="61">
        <f t="shared" ref="R212:R219" si="34">SQRT(POWER(M212-$M$12,2)+POWER(N212-$N$12,2))</f>
        <v>0.43387671059875982</v>
      </c>
      <c r="S212" s="68"/>
      <c r="T212" s="97"/>
      <c r="U212" s="62">
        <f t="shared" ref="U212:U219" si="35">(-449*((M212-0.332)/(N212-0.1858))^3)+(3525*((M212-0.332)/(N212-0.1858))^2)+(-6823.3*(M212-0.332)/(N212-0.1858))+5520.33</f>
        <v>2021.2824107652905</v>
      </c>
      <c r="V212" s="45"/>
      <c r="W212" s="45"/>
      <c r="X212" s="45"/>
      <c r="Y212" s="45"/>
      <c r="Z212" s="45"/>
      <c r="AA212" s="45"/>
      <c r="AY212" s="66"/>
      <c r="AZ212" s="66"/>
      <c r="BA212" s="66"/>
      <c r="BB212" s="22"/>
    </row>
    <row r="213" spans="2:54" x14ac:dyDescent="0.45">
      <c r="B213" s="45" t="s">
        <v>597</v>
      </c>
      <c r="C213" s="90"/>
      <c r="D213" s="56"/>
      <c r="E213" s="57"/>
      <c r="F213" s="58"/>
      <c r="G213" s="58"/>
      <c r="H213" s="58"/>
      <c r="I213" s="58"/>
      <c r="J213" s="58"/>
      <c r="K213" s="58"/>
      <c r="L213" s="59">
        <f t="shared" si="32"/>
        <v>0</v>
      </c>
      <c r="M213" s="58"/>
      <c r="N213" s="58"/>
      <c r="O213" s="58"/>
      <c r="P213" s="58"/>
      <c r="Q213" s="60" t="e">
        <f t="shared" si="33"/>
        <v>#DIV/0!</v>
      </c>
      <c r="R213" s="61">
        <f t="shared" si="34"/>
        <v>0.43387671059875982</v>
      </c>
      <c r="S213" s="68"/>
      <c r="T213" s="97"/>
      <c r="U213" s="62">
        <f t="shared" si="35"/>
        <v>2021.2824107652905</v>
      </c>
      <c r="V213" s="45"/>
      <c r="W213" s="45"/>
      <c r="X213" s="45"/>
      <c r="Y213" s="45"/>
      <c r="Z213" s="45"/>
      <c r="AA213" s="45"/>
      <c r="AY213" s="66"/>
      <c r="AZ213" s="66"/>
      <c r="BA213" s="66"/>
      <c r="BB213" s="22"/>
    </row>
    <row r="214" spans="2:54" x14ac:dyDescent="0.45">
      <c r="B214" s="45" t="s">
        <v>598</v>
      </c>
      <c r="C214" s="90"/>
      <c r="D214" s="56"/>
      <c r="E214" s="80"/>
      <c r="F214" s="58"/>
      <c r="G214" s="58"/>
      <c r="H214" s="58"/>
      <c r="I214" s="58"/>
      <c r="J214" s="58"/>
      <c r="K214" s="58"/>
      <c r="L214" s="59">
        <f t="shared" si="32"/>
        <v>0</v>
      </c>
      <c r="M214" s="58"/>
      <c r="N214" s="58"/>
      <c r="O214" s="58"/>
      <c r="P214" s="58"/>
      <c r="Q214" s="60" t="e">
        <f t="shared" si="33"/>
        <v>#DIV/0!</v>
      </c>
      <c r="R214" s="61">
        <f t="shared" si="34"/>
        <v>0.43387671059875982</v>
      </c>
      <c r="S214" s="68"/>
      <c r="T214" s="97"/>
      <c r="U214" s="62">
        <f t="shared" si="35"/>
        <v>2021.2824107652905</v>
      </c>
      <c r="V214" s="45"/>
      <c r="W214" s="45"/>
      <c r="X214" s="45"/>
      <c r="Y214" s="45"/>
      <c r="Z214" s="45"/>
      <c r="AA214" s="45"/>
      <c r="AY214" s="66"/>
      <c r="AZ214" s="66"/>
      <c r="BA214" s="66"/>
      <c r="BB214" s="22"/>
    </row>
    <row r="215" spans="2:54" x14ac:dyDescent="0.45">
      <c r="B215" s="45" t="s">
        <v>599</v>
      </c>
      <c r="C215" s="90"/>
      <c r="D215" s="56"/>
      <c r="E215" s="57"/>
      <c r="F215" s="58"/>
      <c r="G215" s="58"/>
      <c r="H215" s="58"/>
      <c r="I215" s="58"/>
      <c r="J215" s="58"/>
      <c r="K215" s="58"/>
      <c r="L215" s="59">
        <f t="shared" si="32"/>
        <v>0</v>
      </c>
      <c r="M215" s="58"/>
      <c r="N215" s="58"/>
      <c r="O215" s="58"/>
      <c r="P215" s="58"/>
      <c r="Q215" s="60" t="e">
        <f t="shared" si="33"/>
        <v>#DIV/0!</v>
      </c>
      <c r="R215" s="61">
        <f t="shared" si="34"/>
        <v>0.43387671059875982</v>
      </c>
      <c r="S215" s="68"/>
      <c r="T215" s="97"/>
      <c r="U215" s="62">
        <f t="shared" si="35"/>
        <v>2021.2824107652905</v>
      </c>
      <c r="V215" s="45"/>
      <c r="W215" s="45"/>
      <c r="X215" s="45"/>
      <c r="Y215" s="45"/>
      <c r="Z215" s="45"/>
      <c r="AA215" s="45"/>
      <c r="AY215" s="66"/>
      <c r="AZ215" s="66"/>
      <c r="BA215" s="66"/>
      <c r="BB215" s="22"/>
    </row>
    <row r="216" spans="2:54" x14ac:dyDescent="0.45">
      <c r="B216" s="45" t="s">
        <v>600</v>
      </c>
      <c r="C216" s="90"/>
      <c r="D216" s="56"/>
      <c r="E216" s="80"/>
      <c r="F216" s="58"/>
      <c r="G216" s="58"/>
      <c r="H216" s="58"/>
      <c r="I216" s="58"/>
      <c r="J216" s="58"/>
      <c r="K216" s="58"/>
      <c r="L216" s="59">
        <f t="shared" si="32"/>
        <v>0</v>
      </c>
      <c r="M216" s="58"/>
      <c r="N216" s="58"/>
      <c r="O216" s="58"/>
      <c r="P216" s="58"/>
      <c r="Q216" s="60" t="e">
        <f t="shared" si="33"/>
        <v>#DIV/0!</v>
      </c>
      <c r="R216" s="61">
        <f t="shared" si="34"/>
        <v>0.43387671059875982</v>
      </c>
      <c r="S216" s="68"/>
      <c r="T216" s="97"/>
      <c r="U216" s="62">
        <f t="shared" si="35"/>
        <v>2021.2824107652905</v>
      </c>
      <c r="V216" s="45"/>
      <c r="W216" s="45"/>
      <c r="X216" s="45"/>
      <c r="Y216" s="45"/>
      <c r="Z216" s="45"/>
      <c r="AA216" s="45"/>
      <c r="AY216" s="66"/>
      <c r="AZ216" s="66"/>
      <c r="BA216" s="66"/>
      <c r="BB216" s="22"/>
    </row>
    <row r="217" spans="2:54" x14ac:dyDescent="0.45">
      <c r="B217" s="45" t="s">
        <v>601</v>
      </c>
      <c r="C217" s="90"/>
      <c r="D217" s="56"/>
      <c r="E217" s="84"/>
      <c r="F217" s="58"/>
      <c r="G217" s="58"/>
      <c r="H217" s="58"/>
      <c r="I217" s="58"/>
      <c r="J217" s="58"/>
      <c r="K217" s="58"/>
      <c r="L217" s="59">
        <f t="shared" si="32"/>
        <v>0</v>
      </c>
      <c r="M217" s="58"/>
      <c r="N217" s="58"/>
      <c r="O217" s="58"/>
      <c r="P217" s="58"/>
      <c r="Q217" s="60" t="e">
        <f t="shared" si="33"/>
        <v>#DIV/0!</v>
      </c>
      <c r="R217" s="61">
        <f t="shared" si="34"/>
        <v>0.43387671059875982</v>
      </c>
      <c r="S217" s="68"/>
      <c r="T217" s="97"/>
      <c r="U217" s="62">
        <f t="shared" si="35"/>
        <v>2021.2824107652905</v>
      </c>
      <c r="V217" s="45"/>
      <c r="W217" s="45"/>
      <c r="X217" s="45"/>
      <c r="Y217" s="45"/>
      <c r="Z217" s="45"/>
      <c r="AA217" s="45"/>
      <c r="AY217" s="66"/>
      <c r="AZ217" s="66"/>
      <c r="BA217" s="66"/>
      <c r="BB217" s="22"/>
    </row>
    <row r="218" spans="2:54" x14ac:dyDescent="0.45">
      <c r="B218" s="45" t="s">
        <v>602</v>
      </c>
      <c r="C218" s="90"/>
      <c r="D218" s="56"/>
      <c r="E218" s="80"/>
      <c r="F218" s="58"/>
      <c r="G218" s="58"/>
      <c r="H218" s="58"/>
      <c r="I218" s="58"/>
      <c r="J218" s="58"/>
      <c r="K218" s="58"/>
      <c r="L218" s="59">
        <f t="shared" si="32"/>
        <v>0</v>
      </c>
      <c r="M218" s="58"/>
      <c r="N218" s="58"/>
      <c r="O218" s="58"/>
      <c r="P218" s="58"/>
      <c r="Q218" s="60" t="e">
        <f t="shared" si="33"/>
        <v>#DIV/0!</v>
      </c>
      <c r="R218" s="61">
        <f t="shared" si="34"/>
        <v>0.43387671059875982</v>
      </c>
      <c r="S218" s="68"/>
      <c r="T218" s="97"/>
      <c r="U218" s="62">
        <f t="shared" si="35"/>
        <v>2021.2824107652905</v>
      </c>
      <c r="V218" s="45"/>
      <c r="W218" s="45"/>
      <c r="X218" s="45"/>
      <c r="Y218" s="45"/>
      <c r="Z218" s="45"/>
      <c r="AA218" s="45"/>
      <c r="AY218" s="66"/>
      <c r="AZ218" s="66"/>
      <c r="BA218" s="66"/>
      <c r="BB218" s="22"/>
    </row>
    <row r="219" spans="2:54" x14ac:dyDescent="0.45">
      <c r="B219" s="45" t="s">
        <v>603</v>
      </c>
      <c r="C219" s="90"/>
      <c r="D219" s="56"/>
      <c r="E219" s="84"/>
      <c r="F219" s="58"/>
      <c r="G219" s="58"/>
      <c r="H219" s="58"/>
      <c r="I219" s="58"/>
      <c r="J219" s="58"/>
      <c r="K219" s="58"/>
      <c r="L219" s="59">
        <f t="shared" si="32"/>
        <v>0</v>
      </c>
      <c r="M219" s="58"/>
      <c r="N219" s="58"/>
      <c r="O219" s="58"/>
      <c r="P219" s="58"/>
      <c r="Q219" s="60" t="e">
        <f t="shared" si="33"/>
        <v>#DIV/0!</v>
      </c>
      <c r="R219" s="61">
        <f t="shared" si="34"/>
        <v>0.43387671059875982</v>
      </c>
      <c r="S219" s="68"/>
      <c r="T219" s="97"/>
      <c r="U219" s="62">
        <f t="shared" si="35"/>
        <v>2021.2824107652905</v>
      </c>
      <c r="V219" s="45"/>
      <c r="W219" s="45"/>
      <c r="X219" s="45"/>
      <c r="Y219" s="45"/>
      <c r="Z219" s="45"/>
      <c r="AA219" s="45"/>
      <c r="AY219" s="66"/>
      <c r="AZ219" s="66"/>
      <c r="BA219" s="66"/>
      <c r="BB219" s="22"/>
    </row>
    <row r="220" spans="2:54" x14ac:dyDescent="0.45">
      <c r="B220" s="45" t="s">
        <v>604</v>
      </c>
      <c r="C220" s="90"/>
      <c r="D220" s="56"/>
      <c r="E220" s="84"/>
      <c r="F220" s="58"/>
      <c r="G220" s="58"/>
      <c r="H220" s="58"/>
      <c r="I220" s="58"/>
      <c r="J220" s="58"/>
      <c r="K220" s="58"/>
      <c r="L220" s="59"/>
      <c r="M220" s="58"/>
      <c r="N220" s="58"/>
      <c r="O220" s="58"/>
      <c r="P220" s="58"/>
      <c r="Q220" s="60"/>
      <c r="R220" s="61"/>
      <c r="S220" s="83"/>
      <c r="T220" s="83"/>
      <c r="U220" s="62"/>
      <c r="V220" s="45"/>
      <c r="W220" s="45"/>
      <c r="X220" s="45"/>
      <c r="Y220" s="45"/>
      <c r="Z220" s="45"/>
      <c r="AA220" s="45"/>
      <c r="AY220" s="66"/>
      <c r="AZ220" s="66"/>
      <c r="BA220" s="66"/>
      <c r="BB220" s="22"/>
    </row>
    <row r="221" spans="2:54" x14ac:dyDescent="0.45">
      <c r="B221" s="45" t="s">
        <v>605</v>
      </c>
      <c r="C221" s="90"/>
      <c r="D221" s="56"/>
      <c r="E221" s="57"/>
      <c r="F221" s="58"/>
      <c r="G221" s="58"/>
      <c r="H221" s="58"/>
      <c r="I221" s="58"/>
      <c r="J221" s="58"/>
      <c r="K221" s="58"/>
      <c r="L221" s="59"/>
      <c r="M221" s="58"/>
      <c r="N221" s="58"/>
      <c r="O221" s="58"/>
      <c r="P221" s="58"/>
      <c r="Q221" s="60"/>
      <c r="R221" s="61"/>
      <c r="S221" s="83"/>
      <c r="T221" s="83"/>
      <c r="U221" s="62"/>
      <c r="V221" s="45"/>
      <c r="W221" s="45"/>
      <c r="X221" s="45"/>
      <c r="Y221" s="45"/>
      <c r="Z221" s="45"/>
      <c r="AA221" s="45"/>
      <c r="AY221" s="66"/>
      <c r="AZ221" s="66"/>
      <c r="BA221" s="66"/>
      <c r="BB221" s="22"/>
    </row>
    <row r="222" spans="2:54" x14ac:dyDescent="0.45">
      <c r="B222" s="45" t="s">
        <v>606</v>
      </c>
      <c r="C222" s="90"/>
      <c r="D222" s="56"/>
      <c r="E222" s="80"/>
      <c r="F222" s="58"/>
      <c r="G222" s="58"/>
      <c r="H222" s="58"/>
      <c r="I222" s="58"/>
      <c r="J222" s="58"/>
      <c r="K222" s="58"/>
      <c r="L222" s="59"/>
      <c r="M222" s="58"/>
      <c r="N222" s="58"/>
      <c r="O222" s="58"/>
      <c r="P222" s="58"/>
      <c r="Q222" s="60"/>
      <c r="R222" s="61"/>
      <c r="S222" s="83"/>
      <c r="T222" s="83"/>
      <c r="U222" s="62"/>
      <c r="V222" s="45"/>
      <c r="W222" s="45"/>
      <c r="X222" s="45"/>
      <c r="Y222" s="45"/>
      <c r="Z222" s="45"/>
      <c r="AA222" s="45"/>
      <c r="AY222" s="66"/>
      <c r="AZ222" s="66"/>
      <c r="BA222" s="66"/>
      <c r="BB222" s="22"/>
    </row>
    <row r="223" spans="2:54" x14ac:dyDescent="0.45">
      <c r="B223" s="45" t="s">
        <v>607</v>
      </c>
      <c r="C223" s="90"/>
      <c r="D223" s="56"/>
      <c r="E223" s="84"/>
      <c r="F223" s="58"/>
      <c r="G223" s="58"/>
      <c r="H223" s="58"/>
      <c r="I223" s="58"/>
      <c r="J223" s="58"/>
      <c r="K223" s="58"/>
      <c r="L223" s="59"/>
      <c r="M223" s="58"/>
      <c r="N223" s="58"/>
      <c r="O223" s="58"/>
      <c r="P223" s="58"/>
      <c r="Q223" s="60"/>
      <c r="R223" s="61"/>
      <c r="S223" s="83"/>
      <c r="T223" s="83"/>
      <c r="U223" s="62"/>
      <c r="V223" s="45"/>
      <c r="W223" s="45"/>
      <c r="X223" s="45"/>
      <c r="Y223" s="45"/>
      <c r="Z223" s="45"/>
      <c r="AA223" s="45"/>
      <c r="AY223" s="66"/>
      <c r="AZ223" s="66"/>
      <c r="BA223" s="66"/>
      <c r="BB223" s="22"/>
    </row>
    <row r="224" spans="2:54" x14ac:dyDescent="0.45">
      <c r="B224" s="45" t="s">
        <v>608</v>
      </c>
      <c r="C224" s="90"/>
      <c r="D224" s="56"/>
      <c r="E224" s="57"/>
      <c r="F224" s="58"/>
      <c r="G224" s="58"/>
      <c r="H224" s="58"/>
      <c r="I224" s="58"/>
      <c r="J224" s="58"/>
      <c r="K224" s="58"/>
      <c r="L224" s="59"/>
      <c r="M224" s="58"/>
      <c r="N224" s="58"/>
      <c r="O224" s="58"/>
      <c r="P224" s="58"/>
      <c r="Q224" s="60"/>
      <c r="R224" s="61"/>
      <c r="S224" s="83"/>
      <c r="T224" s="83"/>
      <c r="U224" s="62"/>
      <c r="V224" s="45"/>
      <c r="W224" s="45"/>
      <c r="X224" s="45"/>
      <c r="Y224" s="45"/>
      <c r="Z224" s="45"/>
      <c r="AA224" s="45"/>
      <c r="AY224" s="66"/>
      <c r="AZ224" s="66"/>
      <c r="BA224" s="66"/>
      <c r="BB224" s="22"/>
    </row>
    <row r="225" spans="2:54" x14ac:dyDescent="0.45">
      <c r="B225" s="45" t="s">
        <v>609</v>
      </c>
      <c r="C225" s="90"/>
      <c r="D225" s="56"/>
      <c r="E225" s="80"/>
      <c r="F225" s="58"/>
      <c r="G225" s="58"/>
      <c r="H225" s="58"/>
      <c r="I225" s="58"/>
      <c r="J225" s="58"/>
      <c r="K225" s="58"/>
      <c r="L225" s="59"/>
      <c r="M225" s="58"/>
      <c r="N225" s="58"/>
      <c r="O225" s="58"/>
      <c r="P225" s="58"/>
      <c r="Q225" s="60"/>
      <c r="R225" s="61"/>
      <c r="S225" s="83"/>
      <c r="T225" s="83"/>
      <c r="U225" s="62"/>
      <c r="V225" s="45"/>
      <c r="W225" s="45"/>
      <c r="X225" s="45"/>
      <c r="Y225" s="45"/>
      <c r="Z225" s="45"/>
      <c r="AA225" s="45"/>
      <c r="AY225" s="66"/>
      <c r="AZ225" s="66"/>
      <c r="BA225" s="66"/>
      <c r="BB225" s="22"/>
    </row>
    <row r="226" spans="2:54" ht="17" x14ac:dyDescent="0.45">
      <c r="C226" s="98"/>
    </row>
    <row r="227" spans="2:54" ht="17" x14ac:dyDescent="0.45">
      <c r="C227" s="98"/>
    </row>
    <row r="228" spans="2:54" ht="17" x14ac:dyDescent="0.45">
      <c r="C228" s="98"/>
    </row>
    <row r="229" spans="2:54" ht="17" x14ac:dyDescent="0.45">
      <c r="C229" s="98"/>
    </row>
    <row r="230" spans="2:54" ht="17" x14ac:dyDescent="0.45">
      <c r="C230" s="98" t="s">
        <v>727</v>
      </c>
    </row>
    <row r="231" spans="2:54" ht="17" x14ac:dyDescent="0.45">
      <c r="C231" s="98" t="s">
        <v>728</v>
      </c>
    </row>
    <row r="232" spans="2:54" ht="17" x14ac:dyDescent="0.45">
      <c r="C232" s="98" t="s">
        <v>729</v>
      </c>
    </row>
    <row r="233" spans="2:54" ht="17" x14ac:dyDescent="0.45">
      <c r="C233" s="98" t="s">
        <v>730</v>
      </c>
    </row>
    <row r="234" spans="2:54" ht="17" x14ac:dyDescent="0.45">
      <c r="C234" s="98" t="s">
        <v>731</v>
      </c>
    </row>
    <row r="235" spans="2:54" ht="17" x14ac:dyDescent="0.45">
      <c r="C235" s="98" t="s">
        <v>732</v>
      </c>
    </row>
    <row r="236" spans="2:54" ht="17" x14ac:dyDescent="0.45">
      <c r="C236" s="98" t="s">
        <v>733</v>
      </c>
    </row>
    <row r="237" spans="2:54" ht="17" x14ac:dyDescent="0.45">
      <c r="C237" s="98" t="s">
        <v>734</v>
      </c>
    </row>
    <row r="238" spans="2:54" ht="17" x14ac:dyDescent="0.45">
      <c r="C238" s="98" t="s">
        <v>735</v>
      </c>
    </row>
    <row r="239" spans="2:54" ht="17" x14ac:dyDescent="0.45">
      <c r="C239" s="98" t="s">
        <v>736</v>
      </c>
    </row>
    <row r="240" spans="2:54" ht="17" x14ac:dyDescent="0.45">
      <c r="C240" s="98" t="s">
        <v>737</v>
      </c>
    </row>
    <row r="241" spans="3:3" ht="17" x14ac:dyDescent="0.45">
      <c r="C241" s="98" t="s">
        <v>738</v>
      </c>
    </row>
    <row r="242" spans="3:3" ht="17" x14ac:dyDescent="0.45">
      <c r="C242" s="98" t="s">
        <v>739</v>
      </c>
    </row>
    <row r="243" spans="3:3" ht="17" x14ac:dyDescent="0.45">
      <c r="C243" s="98" t="s">
        <v>740</v>
      </c>
    </row>
    <row r="244" spans="3:3" ht="17" x14ac:dyDescent="0.45">
      <c r="C244" s="98" t="s">
        <v>741</v>
      </c>
    </row>
    <row r="245" spans="3:3" ht="17" x14ac:dyDescent="0.45">
      <c r="C245" s="98" t="s">
        <v>742</v>
      </c>
    </row>
    <row r="246" spans="3:3" ht="17" x14ac:dyDescent="0.45">
      <c r="C246" s="98" t="s">
        <v>743</v>
      </c>
    </row>
    <row r="247" spans="3:3" ht="17" x14ac:dyDescent="0.45">
      <c r="C247" s="98" t="s">
        <v>744</v>
      </c>
    </row>
    <row r="248" spans="3:3" ht="17" x14ac:dyDescent="0.45">
      <c r="C248" s="98" t="s">
        <v>745</v>
      </c>
    </row>
    <row r="249" spans="3:3" ht="17" x14ac:dyDescent="0.45">
      <c r="C249" s="98" t="s">
        <v>746</v>
      </c>
    </row>
    <row r="250" spans="3:3" ht="17" x14ac:dyDescent="0.45">
      <c r="C250" s="98" t="s">
        <v>747</v>
      </c>
    </row>
    <row r="251" spans="3:3" ht="17" x14ac:dyDescent="0.45">
      <c r="C251" s="98" t="s">
        <v>748</v>
      </c>
    </row>
    <row r="252" spans="3:3" ht="17" x14ac:dyDescent="0.45">
      <c r="C252" s="98" t="s">
        <v>749</v>
      </c>
    </row>
    <row r="253" spans="3:3" ht="17" x14ac:dyDescent="0.45">
      <c r="C253" s="98" t="s">
        <v>750</v>
      </c>
    </row>
    <row r="254" spans="3:3" ht="17" x14ac:dyDescent="0.45">
      <c r="C254" s="98" t="s">
        <v>751</v>
      </c>
    </row>
    <row r="255" spans="3:3" ht="17" x14ac:dyDescent="0.45">
      <c r="C255" s="98" t="s">
        <v>752</v>
      </c>
    </row>
    <row r="256" spans="3:3" ht="17" x14ac:dyDescent="0.45">
      <c r="C256" s="98" t="s">
        <v>753</v>
      </c>
    </row>
    <row r="257" spans="3:3" ht="17" x14ac:dyDescent="0.45">
      <c r="C257" s="98" t="s">
        <v>754</v>
      </c>
    </row>
    <row r="258" spans="3:3" ht="17" x14ac:dyDescent="0.45">
      <c r="C258" s="98" t="s">
        <v>755</v>
      </c>
    </row>
    <row r="259" spans="3:3" ht="17" x14ac:dyDescent="0.45">
      <c r="C259" s="98" t="s">
        <v>756</v>
      </c>
    </row>
    <row r="260" spans="3:3" ht="17" x14ac:dyDescent="0.45">
      <c r="C260" s="98" t="s">
        <v>757</v>
      </c>
    </row>
    <row r="261" spans="3:3" ht="17" x14ac:dyDescent="0.45">
      <c r="C261" s="98" t="s">
        <v>758</v>
      </c>
    </row>
    <row r="262" spans="3:3" ht="17" x14ac:dyDescent="0.45">
      <c r="C262" s="98" t="s">
        <v>759</v>
      </c>
    </row>
    <row r="263" spans="3:3" ht="17" x14ac:dyDescent="0.45">
      <c r="C263" s="98" t="s">
        <v>760</v>
      </c>
    </row>
    <row r="264" spans="3:3" ht="17" x14ac:dyDescent="0.45">
      <c r="C264" s="98" t="s">
        <v>761</v>
      </c>
    </row>
    <row r="265" spans="3:3" ht="17" x14ac:dyDescent="0.45">
      <c r="C265" s="98" t="s">
        <v>762</v>
      </c>
    </row>
    <row r="266" spans="3:3" ht="17" x14ac:dyDescent="0.45">
      <c r="C266" s="98" t="s">
        <v>763</v>
      </c>
    </row>
    <row r="267" spans="3:3" ht="17" x14ac:dyDescent="0.45">
      <c r="C267" s="98" t="s">
        <v>764</v>
      </c>
    </row>
    <row r="268" spans="3:3" ht="17" x14ac:dyDescent="0.45">
      <c r="C268" s="98" t="s">
        <v>765</v>
      </c>
    </row>
    <row r="269" spans="3:3" ht="17" x14ac:dyDescent="0.45">
      <c r="C269" s="98" t="s">
        <v>766</v>
      </c>
    </row>
    <row r="270" spans="3:3" ht="17" x14ac:dyDescent="0.45">
      <c r="C270" s="98" t="s">
        <v>767</v>
      </c>
    </row>
    <row r="271" spans="3:3" ht="17" x14ac:dyDescent="0.45">
      <c r="C271" s="98" t="s">
        <v>768</v>
      </c>
    </row>
    <row r="272" spans="3:3" ht="17" x14ac:dyDescent="0.45">
      <c r="C272" s="98" t="s">
        <v>769</v>
      </c>
    </row>
    <row r="273" spans="3:3" ht="17" x14ac:dyDescent="0.45">
      <c r="C273" s="98" t="s">
        <v>770</v>
      </c>
    </row>
    <row r="274" spans="3:3" ht="17" x14ac:dyDescent="0.45">
      <c r="C274" s="98" t="s">
        <v>771</v>
      </c>
    </row>
    <row r="275" spans="3:3" ht="17" x14ac:dyDescent="0.45">
      <c r="C275" s="98" t="s">
        <v>772</v>
      </c>
    </row>
    <row r="276" spans="3:3" ht="17" x14ac:dyDescent="0.45">
      <c r="C276" s="98" t="s">
        <v>773</v>
      </c>
    </row>
    <row r="277" spans="3:3" ht="17" x14ac:dyDescent="0.45">
      <c r="C277" s="98" t="s">
        <v>774</v>
      </c>
    </row>
    <row r="278" spans="3:3" ht="17" x14ac:dyDescent="0.45">
      <c r="C278" s="98" t="s">
        <v>775</v>
      </c>
    </row>
    <row r="279" spans="3:3" ht="17" x14ac:dyDescent="0.45">
      <c r="C279" s="98" t="s">
        <v>776</v>
      </c>
    </row>
    <row r="280" spans="3:3" ht="17" x14ac:dyDescent="0.45">
      <c r="C280" s="98" t="s">
        <v>777</v>
      </c>
    </row>
    <row r="281" spans="3:3" ht="17" x14ac:dyDescent="0.45">
      <c r="C281" s="98" t="s">
        <v>778</v>
      </c>
    </row>
    <row r="282" spans="3:3" ht="17" x14ac:dyDescent="0.45">
      <c r="C282" s="98" t="s">
        <v>779</v>
      </c>
    </row>
    <row r="283" spans="3:3" ht="17" x14ac:dyDescent="0.45">
      <c r="C283" s="98" t="s">
        <v>780</v>
      </c>
    </row>
    <row r="284" spans="3:3" ht="17" x14ac:dyDescent="0.45">
      <c r="C284" s="98" t="s">
        <v>781</v>
      </c>
    </row>
    <row r="285" spans="3:3" ht="17" x14ac:dyDescent="0.45">
      <c r="C285" s="98" t="s">
        <v>782</v>
      </c>
    </row>
    <row r="286" spans="3:3" ht="17" x14ac:dyDescent="0.45">
      <c r="C286" s="98" t="s">
        <v>783</v>
      </c>
    </row>
    <row r="287" spans="3:3" ht="17" x14ac:dyDescent="0.45">
      <c r="C287" s="98" t="s">
        <v>784</v>
      </c>
    </row>
    <row r="288" spans="3:3" ht="17" x14ac:dyDescent="0.45">
      <c r="C288" s="98" t="s">
        <v>785</v>
      </c>
    </row>
    <row r="289" spans="3:3" ht="17" x14ac:dyDescent="0.45">
      <c r="C289" s="98" t="s">
        <v>786</v>
      </c>
    </row>
    <row r="290" spans="3:3" ht="17" x14ac:dyDescent="0.45">
      <c r="C290" s="98" t="s">
        <v>787</v>
      </c>
    </row>
    <row r="291" spans="3:3" ht="17" x14ac:dyDescent="0.45">
      <c r="C291" s="98" t="s">
        <v>788</v>
      </c>
    </row>
    <row r="292" spans="3:3" ht="17" x14ac:dyDescent="0.45">
      <c r="C292" s="98" t="s">
        <v>789</v>
      </c>
    </row>
    <row r="293" spans="3:3" ht="17" x14ac:dyDescent="0.45">
      <c r="C293" s="98" t="s">
        <v>790</v>
      </c>
    </row>
    <row r="294" spans="3:3" ht="17" x14ac:dyDescent="0.45">
      <c r="C294" s="98" t="s">
        <v>791</v>
      </c>
    </row>
    <row r="295" spans="3:3" ht="17" x14ac:dyDescent="0.45">
      <c r="C295" s="98" t="s">
        <v>792</v>
      </c>
    </row>
    <row r="296" spans="3:3" ht="17" x14ac:dyDescent="0.45">
      <c r="C296" s="98" t="s">
        <v>793</v>
      </c>
    </row>
    <row r="297" spans="3:3" ht="17" x14ac:dyDescent="0.45">
      <c r="C297" s="98" t="s">
        <v>794</v>
      </c>
    </row>
    <row r="298" spans="3:3" ht="17" x14ac:dyDescent="0.45">
      <c r="C298" s="98" t="s">
        <v>795</v>
      </c>
    </row>
    <row r="299" spans="3:3" ht="17" x14ac:dyDescent="0.45">
      <c r="C299" s="98" t="s">
        <v>796</v>
      </c>
    </row>
    <row r="300" spans="3:3" ht="17" x14ac:dyDescent="0.45">
      <c r="C300" s="98" t="s">
        <v>797</v>
      </c>
    </row>
    <row r="301" spans="3:3" ht="17" x14ac:dyDescent="0.45">
      <c r="C301" s="98" t="s">
        <v>798</v>
      </c>
    </row>
    <row r="302" spans="3:3" ht="17" x14ac:dyDescent="0.45">
      <c r="C302" s="98" t="s">
        <v>799</v>
      </c>
    </row>
    <row r="303" spans="3:3" ht="17" x14ac:dyDescent="0.45">
      <c r="C303" s="98" t="s">
        <v>800</v>
      </c>
    </row>
    <row r="304" spans="3:3" ht="17" x14ac:dyDescent="0.45">
      <c r="C304" s="98" t="s">
        <v>801</v>
      </c>
    </row>
    <row r="305" spans="3:3" ht="17" x14ac:dyDescent="0.45">
      <c r="C305" s="98" t="s">
        <v>802</v>
      </c>
    </row>
    <row r="306" spans="3:3" ht="17" x14ac:dyDescent="0.45">
      <c r="C306" s="98" t="s">
        <v>803</v>
      </c>
    </row>
    <row r="307" spans="3:3" ht="17" x14ac:dyDescent="0.45">
      <c r="C307" s="98" t="s">
        <v>804</v>
      </c>
    </row>
    <row r="308" spans="3:3" ht="17" x14ac:dyDescent="0.45">
      <c r="C308" s="98" t="s">
        <v>805</v>
      </c>
    </row>
    <row r="309" spans="3:3" ht="17" x14ac:dyDescent="0.45">
      <c r="C309" s="98" t="s">
        <v>806</v>
      </c>
    </row>
    <row r="310" spans="3:3" ht="17" x14ac:dyDescent="0.45">
      <c r="C310" s="98" t="s">
        <v>807</v>
      </c>
    </row>
    <row r="311" spans="3:3" ht="17" x14ac:dyDescent="0.45">
      <c r="C311" s="98" t="s">
        <v>808</v>
      </c>
    </row>
    <row r="312" spans="3:3" ht="17" x14ac:dyDescent="0.45">
      <c r="C312" s="98" t="s">
        <v>809</v>
      </c>
    </row>
    <row r="313" spans="3:3" ht="17" x14ac:dyDescent="0.45">
      <c r="C313" s="98" t="s">
        <v>810</v>
      </c>
    </row>
    <row r="314" spans="3:3" ht="17" x14ac:dyDescent="0.45">
      <c r="C314" s="98" t="s">
        <v>811</v>
      </c>
    </row>
    <row r="315" spans="3:3" ht="17" x14ac:dyDescent="0.45">
      <c r="C315" s="98" t="s">
        <v>812</v>
      </c>
    </row>
    <row r="316" spans="3:3" ht="17" x14ac:dyDescent="0.45">
      <c r="C316" s="98" t="s">
        <v>813</v>
      </c>
    </row>
    <row r="317" spans="3:3" ht="17" x14ac:dyDescent="0.45">
      <c r="C317" s="98" t="s">
        <v>814</v>
      </c>
    </row>
    <row r="318" spans="3:3" ht="17" x14ac:dyDescent="0.45">
      <c r="C318" s="98" t="s">
        <v>815</v>
      </c>
    </row>
    <row r="319" spans="3:3" ht="17" x14ac:dyDescent="0.45">
      <c r="C319" s="98" t="s">
        <v>816</v>
      </c>
    </row>
    <row r="320" spans="3:3" ht="17" x14ac:dyDescent="0.45">
      <c r="C320" s="98" t="s">
        <v>817</v>
      </c>
    </row>
    <row r="321" spans="3:3" ht="17" x14ac:dyDescent="0.45">
      <c r="C321" s="98" t="s">
        <v>818</v>
      </c>
    </row>
    <row r="322" spans="3:3" ht="17" x14ac:dyDescent="0.45">
      <c r="C322" s="98" t="s">
        <v>819</v>
      </c>
    </row>
    <row r="323" spans="3:3" ht="17" x14ac:dyDescent="0.45">
      <c r="C323" s="98" t="s">
        <v>820</v>
      </c>
    </row>
    <row r="324" spans="3:3" ht="17" x14ac:dyDescent="0.45">
      <c r="C324" s="98" t="s">
        <v>821</v>
      </c>
    </row>
    <row r="325" spans="3:3" ht="17" x14ac:dyDescent="0.45">
      <c r="C325" s="98" t="s">
        <v>822</v>
      </c>
    </row>
    <row r="326" spans="3:3" ht="17" x14ac:dyDescent="0.45">
      <c r="C326" s="98" t="s">
        <v>823</v>
      </c>
    </row>
    <row r="327" spans="3:3" ht="17" x14ac:dyDescent="0.45">
      <c r="C327" s="98" t="s">
        <v>824</v>
      </c>
    </row>
    <row r="328" spans="3:3" ht="17" x14ac:dyDescent="0.45">
      <c r="C328" s="98" t="s">
        <v>825</v>
      </c>
    </row>
    <row r="329" spans="3:3" ht="17" x14ac:dyDescent="0.45">
      <c r="C329" s="98" t="s">
        <v>826</v>
      </c>
    </row>
    <row r="330" spans="3:3" ht="17" x14ac:dyDescent="0.45">
      <c r="C330" s="98" t="s">
        <v>827</v>
      </c>
    </row>
    <row r="331" spans="3:3" ht="17" x14ac:dyDescent="0.45">
      <c r="C331" s="98" t="s">
        <v>828</v>
      </c>
    </row>
    <row r="332" spans="3:3" ht="17" x14ac:dyDescent="0.45">
      <c r="C332" s="98" t="s">
        <v>829</v>
      </c>
    </row>
    <row r="333" spans="3:3" ht="17" x14ac:dyDescent="0.45">
      <c r="C333" s="98" t="s">
        <v>830</v>
      </c>
    </row>
    <row r="334" spans="3:3" ht="17" x14ac:dyDescent="0.45">
      <c r="C334" s="98" t="s">
        <v>831</v>
      </c>
    </row>
    <row r="335" spans="3:3" ht="17" x14ac:dyDescent="0.45">
      <c r="C335" s="98" t="s">
        <v>832</v>
      </c>
    </row>
    <row r="336" spans="3:3" ht="17" x14ac:dyDescent="0.45">
      <c r="C336" s="98" t="s">
        <v>833</v>
      </c>
    </row>
    <row r="337" spans="3:3" ht="17" x14ac:dyDescent="0.45">
      <c r="C337" s="98" t="s">
        <v>834</v>
      </c>
    </row>
    <row r="338" spans="3:3" ht="17" x14ac:dyDescent="0.45">
      <c r="C338" s="98" t="s">
        <v>835</v>
      </c>
    </row>
    <row r="339" spans="3:3" ht="17" x14ac:dyDescent="0.45">
      <c r="C339" s="98" t="s">
        <v>836</v>
      </c>
    </row>
    <row r="340" spans="3:3" ht="17" x14ac:dyDescent="0.45">
      <c r="C340" s="98" t="s">
        <v>837</v>
      </c>
    </row>
    <row r="341" spans="3:3" ht="17" x14ac:dyDescent="0.45">
      <c r="C341" s="98" t="s">
        <v>838</v>
      </c>
    </row>
    <row r="342" spans="3:3" ht="17" x14ac:dyDescent="0.45">
      <c r="C342" s="98" t="s">
        <v>839</v>
      </c>
    </row>
    <row r="343" spans="3:3" ht="17" x14ac:dyDescent="0.45">
      <c r="C343" s="98" t="s">
        <v>840</v>
      </c>
    </row>
    <row r="344" spans="3:3" ht="17" x14ac:dyDescent="0.45">
      <c r="C344" s="98" t="s">
        <v>841</v>
      </c>
    </row>
    <row r="345" spans="3:3" ht="17" x14ac:dyDescent="0.45">
      <c r="C345" s="98" t="s">
        <v>842</v>
      </c>
    </row>
    <row r="346" spans="3:3" ht="17" x14ac:dyDescent="0.45">
      <c r="C346" s="98" t="s">
        <v>843</v>
      </c>
    </row>
    <row r="347" spans="3:3" ht="17" x14ac:dyDescent="0.45">
      <c r="C347" s="98" t="s">
        <v>844</v>
      </c>
    </row>
    <row r="348" spans="3:3" ht="17" x14ac:dyDescent="0.45">
      <c r="C348" s="98" t="s">
        <v>845</v>
      </c>
    </row>
    <row r="349" spans="3:3" ht="17" x14ac:dyDescent="0.45">
      <c r="C349" s="98" t="s">
        <v>846</v>
      </c>
    </row>
    <row r="350" spans="3:3" ht="17" x14ac:dyDescent="0.45">
      <c r="C350" s="98" t="s">
        <v>847</v>
      </c>
    </row>
    <row r="351" spans="3:3" ht="17" x14ac:dyDescent="0.45">
      <c r="C351" s="98" t="s">
        <v>848</v>
      </c>
    </row>
    <row r="352" spans="3:3" ht="17" x14ac:dyDescent="0.45">
      <c r="C352" s="98" t="s">
        <v>849</v>
      </c>
    </row>
    <row r="353" spans="3:3" ht="17" x14ac:dyDescent="0.45">
      <c r="C353" s="98" t="s">
        <v>850</v>
      </c>
    </row>
    <row r="354" spans="3:3" ht="17" x14ac:dyDescent="0.45">
      <c r="C354" s="98" t="s">
        <v>851</v>
      </c>
    </row>
    <row r="355" spans="3:3" ht="17" x14ac:dyDescent="0.45">
      <c r="C355" s="98" t="s">
        <v>852</v>
      </c>
    </row>
    <row r="356" spans="3:3" ht="17" x14ac:dyDescent="0.45">
      <c r="C356" s="98" t="s">
        <v>853</v>
      </c>
    </row>
    <row r="357" spans="3:3" ht="17" x14ac:dyDescent="0.45">
      <c r="C357" s="98" t="s">
        <v>854</v>
      </c>
    </row>
    <row r="358" spans="3:3" ht="17" x14ac:dyDescent="0.45">
      <c r="C358" s="98" t="s">
        <v>855</v>
      </c>
    </row>
    <row r="359" spans="3:3" ht="17" x14ac:dyDescent="0.45">
      <c r="C359" s="98" t="s">
        <v>856</v>
      </c>
    </row>
    <row r="360" spans="3:3" ht="17" x14ac:dyDescent="0.45">
      <c r="C360" s="98" t="s">
        <v>857</v>
      </c>
    </row>
    <row r="361" spans="3:3" ht="17" x14ac:dyDescent="0.45">
      <c r="C361" s="98" t="s">
        <v>858</v>
      </c>
    </row>
    <row r="362" spans="3:3" ht="17" x14ac:dyDescent="0.45">
      <c r="C362" s="98" t="s">
        <v>859</v>
      </c>
    </row>
    <row r="363" spans="3:3" ht="17" x14ac:dyDescent="0.45">
      <c r="C363" s="98" t="s">
        <v>860</v>
      </c>
    </row>
    <row r="364" spans="3:3" ht="17" x14ac:dyDescent="0.45">
      <c r="C364" s="98" t="s">
        <v>861</v>
      </c>
    </row>
    <row r="365" spans="3:3" ht="17" x14ac:dyDescent="0.45">
      <c r="C365" s="98" t="s">
        <v>862</v>
      </c>
    </row>
    <row r="366" spans="3:3" ht="17" x14ac:dyDescent="0.45">
      <c r="C366" s="98" t="s">
        <v>863</v>
      </c>
    </row>
    <row r="367" spans="3:3" ht="17" x14ac:dyDescent="0.45">
      <c r="C367" s="98" t="s">
        <v>864</v>
      </c>
    </row>
    <row r="368" spans="3:3" ht="17" x14ac:dyDescent="0.45">
      <c r="C368" s="98" t="s">
        <v>865</v>
      </c>
    </row>
    <row r="369" spans="3:3" ht="17" x14ac:dyDescent="0.45">
      <c r="C369" s="98" t="s">
        <v>866</v>
      </c>
    </row>
    <row r="370" spans="3:3" ht="17" x14ac:dyDescent="0.45">
      <c r="C370" s="98" t="s">
        <v>867</v>
      </c>
    </row>
    <row r="371" spans="3:3" ht="17" x14ac:dyDescent="0.45">
      <c r="C371" s="98" t="s">
        <v>868</v>
      </c>
    </row>
    <row r="372" spans="3:3" ht="17" x14ac:dyDescent="0.45">
      <c r="C372" s="98" t="s">
        <v>869</v>
      </c>
    </row>
    <row r="373" spans="3:3" ht="17" x14ac:dyDescent="0.45">
      <c r="C373" s="98" t="s">
        <v>870</v>
      </c>
    </row>
    <row r="374" spans="3:3" ht="17" x14ac:dyDescent="0.45">
      <c r="C374" s="98" t="s">
        <v>871</v>
      </c>
    </row>
    <row r="375" spans="3:3" ht="17" x14ac:dyDescent="0.45">
      <c r="C375" s="98" t="s">
        <v>872</v>
      </c>
    </row>
    <row r="376" spans="3:3" ht="17" x14ac:dyDescent="0.45">
      <c r="C376" s="98" t="s">
        <v>873</v>
      </c>
    </row>
    <row r="377" spans="3:3" ht="17" x14ac:dyDescent="0.45">
      <c r="C377" s="98" t="s">
        <v>874</v>
      </c>
    </row>
    <row r="378" spans="3:3" ht="17" x14ac:dyDescent="0.45">
      <c r="C378" s="98" t="s">
        <v>875</v>
      </c>
    </row>
    <row r="379" spans="3:3" ht="17" x14ac:dyDescent="0.45">
      <c r="C379" s="98" t="s">
        <v>876</v>
      </c>
    </row>
    <row r="380" spans="3:3" ht="17" x14ac:dyDescent="0.45">
      <c r="C380" s="98" t="s">
        <v>877</v>
      </c>
    </row>
    <row r="381" spans="3:3" ht="17" x14ac:dyDescent="0.45">
      <c r="C381" s="98" t="s">
        <v>878</v>
      </c>
    </row>
    <row r="382" spans="3:3" ht="17" x14ac:dyDescent="0.45">
      <c r="C382" s="98" t="s">
        <v>879</v>
      </c>
    </row>
    <row r="383" spans="3:3" ht="17" x14ac:dyDescent="0.45">
      <c r="C383" s="98" t="s">
        <v>880</v>
      </c>
    </row>
    <row r="384" spans="3:3" ht="17" x14ac:dyDescent="0.45">
      <c r="C384" s="98" t="s">
        <v>881</v>
      </c>
    </row>
    <row r="385" spans="3:3" ht="17" x14ac:dyDescent="0.45">
      <c r="C385" s="98" t="s">
        <v>882</v>
      </c>
    </row>
    <row r="386" spans="3:3" ht="17" x14ac:dyDescent="0.45">
      <c r="C386" s="98" t="s">
        <v>883</v>
      </c>
    </row>
    <row r="387" spans="3:3" ht="17" x14ac:dyDescent="0.45">
      <c r="C387" s="98" t="s">
        <v>884</v>
      </c>
    </row>
    <row r="388" spans="3:3" ht="17" x14ac:dyDescent="0.45">
      <c r="C388" s="98" t="s">
        <v>885</v>
      </c>
    </row>
    <row r="389" spans="3:3" ht="17" x14ac:dyDescent="0.45">
      <c r="C389" s="98" t="s">
        <v>886</v>
      </c>
    </row>
    <row r="390" spans="3:3" ht="17" x14ac:dyDescent="0.45">
      <c r="C390" s="98" t="s">
        <v>887</v>
      </c>
    </row>
    <row r="391" spans="3:3" ht="17" x14ac:dyDescent="0.45">
      <c r="C391" s="98" t="s">
        <v>888</v>
      </c>
    </row>
    <row r="392" spans="3:3" ht="17" x14ac:dyDescent="0.45">
      <c r="C392" s="98" t="s">
        <v>889</v>
      </c>
    </row>
    <row r="393" spans="3:3" ht="17" x14ac:dyDescent="0.45">
      <c r="C393" s="98" t="s">
        <v>890</v>
      </c>
    </row>
    <row r="394" spans="3:3" ht="17" x14ac:dyDescent="0.45">
      <c r="C394" s="98" t="s">
        <v>891</v>
      </c>
    </row>
    <row r="395" spans="3:3" ht="17" x14ac:dyDescent="0.45">
      <c r="C395" s="98" t="s">
        <v>892</v>
      </c>
    </row>
    <row r="396" spans="3:3" ht="17" x14ac:dyDescent="0.45">
      <c r="C396" s="98" t="s">
        <v>893</v>
      </c>
    </row>
    <row r="397" spans="3:3" ht="17" x14ac:dyDescent="0.45">
      <c r="C397" s="98" t="s">
        <v>894</v>
      </c>
    </row>
    <row r="398" spans="3:3" ht="17" x14ac:dyDescent="0.45">
      <c r="C398" s="98" t="s">
        <v>895</v>
      </c>
    </row>
    <row r="399" spans="3:3" ht="17" x14ac:dyDescent="0.45">
      <c r="C399" s="98" t="s">
        <v>896</v>
      </c>
    </row>
    <row r="400" spans="3:3" ht="17" x14ac:dyDescent="0.45">
      <c r="C400" s="98" t="s">
        <v>897</v>
      </c>
    </row>
    <row r="401" spans="3:3" ht="17" x14ac:dyDescent="0.45">
      <c r="C401" s="98" t="s">
        <v>898</v>
      </c>
    </row>
    <row r="402" spans="3:3" ht="17" x14ac:dyDescent="0.45">
      <c r="C402" s="98" t="s">
        <v>899</v>
      </c>
    </row>
    <row r="403" spans="3:3" ht="17" x14ac:dyDescent="0.45">
      <c r="C403" s="98" t="s">
        <v>900</v>
      </c>
    </row>
    <row r="404" spans="3:3" ht="17" x14ac:dyDescent="0.45">
      <c r="C404" s="98" t="s">
        <v>901</v>
      </c>
    </row>
    <row r="405" spans="3:3" ht="17" x14ac:dyDescent="0.45">
      <c r="C405" s="98" t="s">
        <v>902</v>
      </c>
    </row>
    <row r="406" spans="3:3" ht="17" x14ac:dyDescent="0.45">
      <c r="C406" s="98" t="s">
        <v>903</v>
      </c>
    </row>
    <row r="407" spans="3:3" ht="17" x14ac:dyDescent="0.45">
      <c r="C407" s="98" t="s">
        <v>904</v>
      </c>
    </row>
    <row r="408" spans="3:3" ht="17" x14ac:dyDescent="0.45">
      <c r="C408" s="98" t="s">
        <v>905</v>
      </c>
    </row>
    <row r="409" spans="3:3" ht="17" x14ac:dyDescent="0.45">
      <c r="C409" s="98" t="s">
        <v>906</v>
      </c>
    </row>
    <row r="410" spans="3:3" ht="17" x14ac:dyDescent="0.45">
      <c r="C410" s="98" t="s">
        <v>907</v>
      </c>
    </row>
    <row r="411" spans="3:3" ht="17" x14ac:dyDescent="0.45">
      <c r="C411" s="98" t="s">
        <v>908</v>
      </c>
    </row>
    <row r="412" spans="3:3" ht="17" x14ac:dyDescent="0.45">
      <c r="C412" s="98" t="s">
        <v>909</v>
      </c>
    </row>
    <row r="413" spans="3:3" ht="17" x14ac:dyDescent="0.45">
      <c r="C413" s="98" t="s">
        <v>910</v>
      </c>
    </row>
    <row r="414" spans="3:3" ht="17" x14ac:dyDescent="0.45">
      <c r="C414" s="98" t="s">
        <v>911</v>
      </c>
    </row>
    <row r="415" spans="3:3" ht="17" x14ac:dyDescent="0.45">
      <c r="C415" s="98" t="s">
        <v>912</v>
      </c>
    </row>
    <row r="416" spans="3:3" ht="17" x14ac:dyDescent="0.45">
      <c r="C416" s="98" t="s">
        <v>913</v>
      </c>
    </row>
    <row r="417" spans="3:3" ht="17" x14ac:dyDescent="0.45">
      <c r="C417" s="98" t="s">
        <v>914</v>
      </c>
    </row>
    <row r="418" spans="3:3" ht="17" x14ac:dyDescent="0.45">
      <c r="C418" s="98" t="s">
        <v>915</v>
      </c>
    </row>
    <row r="419" spans="3:3" ht="17" x14ac:dyDescent="0.45">
      <c r="C419" s="98" t="s">
        <v>916</v>
      </c>
    </row>
    <row r="420" spans="3:3" ht="17" x14ac:dyDescent="0.45">
      <c r="C420" s="98" t="s">
        <v>917</v>
      </c>
    </row>
    <row r="421" spans="3:3" ht="17" x14ac:dyDescent="0.45">
      <c r="C421" s="98" t="s">
        <v>918</v>
      </c>
    </row>
    <row r="422" spans="3:3" ht="17" x14ac:dyDescent="0.45">
      <c r="C422" s="98" t="s">
        <v>919</v>
      </c>
    </row>
    <row r="423" spans="3:3" ht="17" x14ac:dyDescent="0.45">
      <c r="C423" s="98" t="s">
        <v>920</v>
      </c>
    </row>
    <row r="424" spans="3:3" ht="17" x14ac:dyDescent="0.45">
      <c r="C424" s="98" t="s">
        <v>921</v>
      </c>
    </row>
    <row r="425" spans="3:3" ht="17" x14ac:dyDescent="0.45">
      <c r="C425" s="98" t="s">
        <v>922</v>
      </c>
    </row>
    <row r="426" spans="3:3" ht="17" x14ac:dyDescent="0.45">
      <c r="C426" s="98" t="s">
        <v>923</v>
      </c>
    </row>
    <row r="427" spans="3:3" ht="17" x14ac:dyDescent="0.45">
      <c r="C427" s="98" t="s">
        <v>924</v>
      </c>
    </row>
    <row r="428" spans="3:3" ht="17" x14ac:dyDescent="0.45">
      <c r="C428" s="98" t="s">
        <v>925</v>
      </c>
    </row>
    <row r="429" spans="3:3" ht="17" x14ac:dyDescent="0.45">
      <c r="C429" s="98" t="s">
        <v>926</v>
      </c>
    </row>
  </sheetData>
  <mergeCells count="26">
    <mergeCell ref="B16:D16"/>
    <mergeCell ref="B17:D17"/>
    <mergeCell ref="F1:O7"/>
    <mergeCell ref="B9:B10"/>
    <mergeCell ref="C9:D9"/>
    <mergeCell ref="F9:G9"/>
    <mergeCell ref="H9:I9"/>
    <mergeCell ref="J9:K9"/>
    <mergeCell ref="L9:L10"/>
    <mergeCell ref="M9:O9"/>
    <mergeCell ref="B18:D18"/>
    <mergeCell ref="AY18:BB18"/>
    <mergeCell ref="B19:C19"/>
    <mergeCell ref="Z9:Z10"/>
    <mergeCell ref="AA9:AA10"/>
    <mergeCell ref="B11:D11"/>
    <mergeCell ref="B12:D12"/>
    <mergeCell ref="B13:D13"/>
    <mergeCell ref="B14:D14"/>
    <mergeCell ref="Q9:Q10"/>
    <mergeCell ref="R9:R10"/>
    <mergeCell ref="S9:T9"/>
    <mergeCell ref="U9:U10"/>
    <mergeCell ref="V9:W9"/>
    <mergeCell ref="X9:Y9"/>
    <mergeCell ref="B15:D15"/>
  </mergeCells>
  <phoneticPr fontId="3" type="noConversion"/>
  <conditionalFormatting sqref="C1:C1048576">
    <cfRule type="duplicateValues" dxfId="116" priority="4"/>
  </conditionalFormatting>
  <conditionalFormatting sqref="C20:C225">
    <cfRule type="duplicateValues" dxfId="115" priority="958"/>
  </conditionalFormatting>
  <conditionalFormatting sqref="C226:C429">
    <cfRule type="duplicateValues" dxfId="114" priority="957"/>
  </conditionalFormatting>
  <conditionalFormatting sqref="C430:C1048576 C1:C18">
    <cfRule type="duplicateValues" dxfId="113" priority="16"/>
  </conditionalFormatting>
  <conditionalFormatting sqref="D20:E225">
    <cfRule type="containsText" dxfId="112" priority="12" operator="containsText" text="NG">
      <formula>NOT(ISERROR(SEARCH("NG",D20)))</formula>
    </cfRule>
  </conditionalFormatting>
  <conditionalFormatting sqref="D226:E1048576 D10:E10">
    <cfRule type="duplicateValues" dxfId="111" priority="964"/>
  </conditionalFormatting>
  <conditionalFormatting sqref="D226:E1048576">
    <cfRule type="duplicateValues" dxfId="110" priority="966"/>
  </conditionalFormatting>
  <conditionalFormatting sqref="L20:L219">
    <cfRule type="cellIs" dxfId="109" priority="2" operator="lessThan">
      <formula>70.8</formula>
    </cfRule>
  </conditionalFormatting>
  <conditionalFormatting sqref="L20:L225">
    <cfRule type="cellIs" dxfId="108" priority="3" operator="lessThan">
      <formula>$I$11</formula>
    </cfRule>
  </conditionalFormatting>
  <conditionalFormatting sqref="O20:O225">
    <cfRule type="cellIs" dxfId="107" priority="6" operator="lessThan">
      <formula>1000</formula>
    </cfRule>
    <cfRule type="cellIs" dxfId="106" priority="7" operator="greaterThan">
      <formula>1050</formula>
    </cfRule>
  </conditionalFormatting>
  <conditionalFormatting sqref="Q20:Q225">
    <cfRule type="cellIs" dxfId="105" priority="8" operator="lessThan">
      <formula>1200</formula>
    </cfRule>
  </conditionalFormatting>
  <conditionalFormatting sqref="R20:R225">
    <cfRule type="cellIs" dxfId="104" priority="9" operator="greaterThan">
      <formula>0.005</formula>
    </cfRule>
  </conditionalFormatting>
  <conditionalFormatting sqref="S20:S225">
    <cfRule type="cellIs" dxfId="103" priority="10" operator="lessThan">
      <formula>80</formula>
    </cfRule>
  </conditionalFormatting>
  <conditionalFormatting sqref="T20:T225">
    <cfRule type="cellIs" dxfId="102" priority="11" operator="less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Daily_BU설비데이터 </vt:lpstr>
      <vt:lpstr>출하데이터_Vlookup</vt:lpstr>
      <vt:lpstr>출하데이터_data</vt:lpstr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민지</dc:creator>
  <cp:lastModifiedBy>곽원용</cp:lastModifiedBy>
  <dcterms:created xsi:type="dcterms:W3CDTF">2026-01-09T04:15:38Z</dcterms:created>
  <dcterms:modified xsi:type="dcterms:W3CDTF">2026-04-25T23:58:59Z</dcterms:modified>
</cp:coreProperties>
</file>